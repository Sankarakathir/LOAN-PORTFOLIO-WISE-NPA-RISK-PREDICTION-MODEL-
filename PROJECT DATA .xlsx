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20" windowHeight="12300" firstSheet="2" activeTab="2"/>
  </bookViews>
  <sheets>
    <sheet name="SEGMENT EDA" sheetId="12" state="hidden" r:id="rId1"/>
    <sheet name="CHARTS" sheetId="13" state="hidden" r:id="rId2"/>
    <sheet name="MASTER LEVEL TABLE" sheetId="1" r:id="rId3"/>
    <sheet name="MACRO LEVEL TABLE" sheetId="3" r:id="rId4"/>
    <sheet name="EDA WORK" sheetId="5" state="hidden" r:id="rId5"/>
    <sheet name="LOAN PIVOT" sheetId="14" state="hidden" r:id="rId6"/>
    <sheet name="LOAN TABLE 1" sheetId="4" r:id="rId7"/>
    <sheet name="DUMMY LOAN" sheetId="16" state="hidden" r:id="rId8"/>
  </sheet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<sst xmlns="http://schemas.openxmlformats.org/spreadsheetml/2006/main" count="7409" uniqueCount="2389">
  <si>
    <t>LOAN TYPE</t>
  </si>
  <si>
    <t>Average of TOTAL ADVANCES</t>
  </si>
  <si>
    <t>Average of GROSS NPA</t>
  </si>
  <si>
    <t>Average of GNPA RATIO</t>
  </si>
  <si>
    <t>Average of NET NPA</t>
  </si>
  <si>
    <t>Average of NPA RATIO</t>
  </si>
  <si>
    <t>AGRICULTURE</t>
  </si>
  <si>
    <t>EDUCATION LOAN</t>
  </si>
  <si>
    <t>HOME LOAN</t>
  </si>
  <si>
    <t>PERSONAL LOAN</t>
  </si>
  <si>
    <t>SME</t>
  </si>
  <si>
    <t>Grand Total</t>
  </si>
  <si>
    <t>QUARTER-END-DATE</t>
  </si>
  <si>
    <t>Sum of TOTAL ADVANCES</t>
  </si>
  <si>
    <t>Sum of GROSS NPA</t>
  </si>
  <si>
    <t>Sum of RECOVERY</t>
  </si>
  <si>
    <t>QUARTERS</t>
  </si>
  <si>
    <t>TOTAL ADVANCES</t>
  </si>
  <si>
    <t>GROSS NPA</t>
  </si>
  <si>
    <t>GNPA RATIO</t>
  </si>
  <si>
    <t>PROVISION RATE</t>
  </si>
  <si>
    <t>PROVISION</t>
  </si>
  <si>
    <t>NET NPA</t>
  </si>
  <si>
    <t>NPA RATIO</t>
  </si>
  <si>
    <t>RECOVERY</t>
  </si>
  <si>
    <t>NO.OF ACCOUNTS</t>
  </si>
  <si>
    <t>REPO RATES</t>
  </si>
  <si>
    <t>CPI</t>
  </si>
  <si>
    <t>GDP</t>
  </si>
  <si>
    <t>Q1 FY19</t>
  </si>
  <si>
    <t>Q2 FY19</t>
  </si>
  <si>
    <t>Q3 FY19</t>
  </si>
  <si>
    <t>Q4 FY19</t>
  </si>
  <si>
    <t>Q1 FY20</t>
  </si>
  <si>
    <t>Q2 FY20</t>
  </si>
  <si>
    <t>Q3 FY20</t>
  </si>
  <si>
    <t>Q4 FY20</t>
  </si>
  <si>
    <t>Q1 FY21</t>
  </si>
  <si>
    <t>Q2 FY21</t>
  </si>
  <si>
    <t>Q3 FY21</t>
  </si>
  <si>
    <t>Q4 FY21</t>
  </si>
  <si>
    <t>Q1 FY22</t>
  </si>
  <si>
    <t>Q2 FY22</t>
  </si>
  <si>
    <t>Q3 FY22</t>
  </si>
  <si>
    <t>Q4 FY22</t>
  </si>
  <si>
    <t>Q1 FY23</t>
  </si>
  <si>
    <t>Q2 FY23</t>
  </si>
  <si>
    <t>Q3 FY23</t>
  </si>
  <si>
    <t>Q4 FY23</t>
  </si>
  <si>
    <t>REPO RATE</t>
  </si>
  <si>
    <t>INFLATION RATE(YOY)</t>
  </si>
  <si>
    <t>GDP(YOY)</t>
  </si>
  <si>
    <t>CPI INFLATION</t>
  </si>
  <si>
    <t>UNEMPLOYMENT RATE (%)</t>
  </si>
  <si>
    <t>AGRI OUTPUT INDEX( BASE 100)</t>
  </si>
  <si>
    <t>INDUSTRIAL GROWTH (%)</t>
  </si>
  <si>
    <t>GNPA CAL</t>
  </si>
  <si>
    <t>GNPA DIFF</t>
  </si>
  <si>
    <t>DEFAULT STATUS</t>
  </si>
  <si>
    <t>Average of LOAN AMOUNT</t>
  </si>
  <si>
    <t>Average of TENURE(MONTHS)</t>
  </si>
  <si>
    <t>Average of INTEREST RATE</t>
  </si>
  <si>
    <t>LOAN ID</t>
  </si>
  <si>
    <t>QUARTER</t>
  </si>
  <si>
    <t>LOAN START DATE</t>
  </si>
  <si>
    <t>LOAN AMOUNT</t>
  </si>
  <si>
    <t>INTEREST RATE</t>
  </si>
  <si>
    <t>TENURE(MONTHS)</t>
  </si>
  <si>
    <t>OUTSTANDING LOAN</t>
  </si>
  <si>
    <t>RECOVERY AMOUNT</t>
  </si>
  <si>
    <t>PROVISION RATE(%)</t>
  </si>
  <si>
    <t>L0001</t>
  </si>
  <si>
    <t>Q4 FY18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</si>
  <si>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</si>
  <si>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</si>
  <si>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</si>
  <si>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</si>
  <si>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</si>
  <si>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</si>
  <si>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</si>
  <si>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</si>
  <si>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</si>
  <si>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</si>
  <si>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</si>
  <si>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</si>
  <si>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</si>
  <si>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</si>
  <si>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</si>
  <si>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</si>
  <si>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</si>
  <si>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</si>
  <si>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</si>
  <si>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</si>
  <si>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</si>
  <si>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</si>
  <si>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</si>
  <si>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</si>
  <si>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</si>
  <si>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</si>
  <si>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</si>
  <si>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</si>
  <si>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</si>
  <si>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</si>
  <si>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</si>
  <si>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</si>
  <si>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</si>
  <si>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</si>
  <si>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</si>
  <si>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</si>
  <si>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</si>
  <si>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</si>
  <si>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</si>
  <si>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</si>
  <si>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</si>
  <si>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</si>
  <si>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</si>
  <si>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</si>
  <si>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</si>
  <si>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</si>
  <si>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</si>
  <si>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</si>
  <si>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</si>
  <si>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</si>
  <si>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</si>
  <si>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</si>
  <si>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</si>
  <si>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</si>
  <si>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</si>
  <si>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</si>
  <si>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</si>
  <si>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</si>
  <si>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</si>
  <si>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</si>
  <si>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</si>
  <si>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</si>
  <si>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</si>
  <si>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</si>
  <si>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</si>
  <si>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</si>
  <si>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</si>
  <si>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</si>
  <si>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</si>
  <si>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</si>
  <si>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</si>
  <si>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</si>
  <si>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</si>
  <si>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</si>
  <si>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</si>
  <si>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</si>
  <si>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</si>
  <si>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</si>
  <si>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</si>
  <si>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</si>
  <si>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</si>
  <si>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</si>
  <si>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</si>
  <si>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</si>
  <si>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</si>
  <si>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</si>
  <si>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</si>
  <si>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</si>
  <si>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</si>
  <si>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</si>
  <si>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</si>
  <si>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</si>
  <si>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</si>
  <si>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</si>
  <si>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</si>
  <si>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</si>
  <si>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</si>
  <si>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</si>
  <si>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</si>
  <si>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</si>
  <si>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</si>
  <si>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</si>
  <si>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</si>
  <si>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</si>
  <si>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</si>
  <si>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</si>
  <si>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</si>
  <si>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</si>
  <si>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</si>
  <si>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</si>
  <si>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</si>
  <si>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</si>
  <si>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</si>
  <si>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</si>
  <si>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</si>
  <si>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</si>
  <si>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</si>
  <si>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</si>
  <si>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</si>
  <si>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</si>
  <si>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</si>
  <si>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</si>
  <si>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</si>
  <si>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</si>
  <si>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</si>
  <si>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</si>
  <si>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</si>
  <si>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</si>
  <si>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</si>
  <si>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</si>
  <si>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</si>
  <si>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</si>
  <si>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</si>
  <si>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</si>
  <si>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</si>
  <si>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</si>
  <si>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</si>
  <si>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</si>
  <si>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</si>
  <si>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</si>
  <si>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</si>
  <si>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</si>
  <si>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</si>
  <si>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</si>
  <si>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</si>
  <si>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</si>
  <si>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</si>
  <si>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</si>
  <si>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</si>
  <si>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</si>
  <si>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</si>
  <si>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</si>
  <si>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</si>
  <si>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</si>
  <si>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</si>
  <si>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</si>
  <si>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</si>
  <si>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</si>
  <si>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</si>
  <si>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</si>
  <si>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</si>
  <si>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</si>
  <si>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</si>
  <si>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</si>
  <si>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</si>
  <si>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</si>
  <si>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</si>
  <si>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</si>
  <si>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</si>
  <si>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</si>
  <si>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</si>
  <si>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</si>
  <si>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</si>
  <si>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</si>
  <si>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</si>
  <si>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</si>
  <si>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</si>
  <si>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</si>
  <si>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</si>
  <si>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</si>
  <si>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</si>
  <si>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</si>
  <si>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</si>
  <si>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</si>
  <si>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</si>
  <si>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</si>
  <si>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</si>
  <si>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</si>
  <si>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</si>
  <si>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</si>
  <si>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</si>
  <si>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</si>
  <si>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</si>
  <si>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</si>
  <si>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</si>
  <si>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</si>
  <si>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</si>
  <si>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</si>
  <si>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</si>
  <si>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</si>
  <si>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</si>
  <si>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</si>
  <si>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</si>
  <si>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</si>
  <si>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</si>
  <si>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</si>
  <si>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</si>
  <si>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</si>
  <si>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</si>
  <si>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</si>
  <si>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</si>
  <si>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</si>
  <si>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</si>
  <si>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</si>
  <si>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</si>
  <si>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</si>
  <si>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</si>
  <si>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</si>
  <si>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</si>
  <si>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</si>
  <si>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</si>
  <si>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</si>
  <si>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</si>
  <si>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</si>
  <si>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</si>
  <si>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</si>
  <si>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</si>
  <si>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</si>
  <si>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</si>
  <si>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</si>
  <si>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</si>
  <si>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</si>
  <si>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</si>
  <si>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</si>
  <si>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</si>
  <si>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</si>
  <si>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</si>
  <si>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</si>
  <si>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</si>
  <si>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</si>
  <si>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</si>
  <si>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</si>
  <si>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</si>
  <si>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</si>
  <si>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</si>
  <si>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</si>
  <si>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</si>
  <si>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</si>
  <si>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</si>
  <si>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</si>
  <si>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</si>
  <si>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</si>
  <si>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</si>
  <si>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</si>
  <si>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</si>
  <si>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</si>
  <si>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</si>
  <si>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</si>
  <si>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</si>
  <si>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</si>
  <si>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</si>
  <si>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</si>
  <si>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</si>
  <si>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</si>
  <si>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</si>
  <si>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</si>
  <si>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</si>
  <si>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</si>
  <si>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</si>
  <si>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</si>
  <si>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</si>
  <si>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</si>
  <si>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</si>
  <si>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</si>
  <si>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</si>
  <si>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</si>
  <si>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</si>
  <si>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</si>
  <si>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</si>
  <si>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</si>
  <si>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</si>
  <si>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</si>
  <si>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</si>
  <si>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</si>
  <si>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</si>
  <si>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</si>
  <si>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</si>
  <si>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</si>
  <si>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</si>
  <si>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</si>
  <si>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</si>
  <si>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</si>
  <si>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</si>
  <si>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</si>
  <si>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</si>
  <si>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</si>
  <si>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</si>
  <si>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</si>
  <si>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</si>
  <si>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</si>
  <si>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</si>
  <si>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</si>
  <si>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</si>
  <si>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</si>
  <si>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</si>
  <si>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</si>
  <si>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</si>
  <si>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</si>
  <si>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</si>
  <si>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</si>
  <si>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</si>
  <si>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</si>
  <si>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</si>
  <si>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</si>
  <si>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</si>
  <si>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</si>
  <si>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</si>
  <si>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</si>
  <si>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</si>
  <si>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</si>
  <si>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</si>
  <si>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</si>
  <si>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</si>
  <si>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</si>
  <si>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</si>
  <si>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</si>
  <si>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</si>
  <si>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</si>
  <si>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</si>
  <si>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</si>
  <si>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</si>
  <si>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</si>
  <si>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</si>
  <si>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</si>
  <si>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</si>
  <si>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</si>
  <si>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</si>
  <si>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</si>
  <si>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</si>
  <si>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</si>
  <si>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</si>
  <si>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</si>
  <si>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</si>
  <si>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</si>
  <si>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</si>
  <si>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</si>
  <si>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</si>
  <si>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</si>
  <si>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</si>
  <si>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</si>
  <si>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</si>
  <si>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</si>
  <si>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</si>
  <si>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</si>
  <si>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</si>
  <si>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</si>
  <si>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</si>
  <si>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</si>
  <si>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</si>
  <si>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</si>
  <si>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</si>
  <si>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</si>
  <si>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</si>
  <si>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</si>
  <si>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</si>
  <si>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</si>
  <si>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</si>
  <si>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</si>
  <si>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</si>
  <si>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</si>
  <si>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</si>
  <si>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</si>
  <si>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</si>
  <si>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</si>
  <si>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</si>
  <si>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</si>
  <si>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</si>
  <si>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</si>
  <si>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</si>
  <si>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</si>
  <si>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</si>
  <si>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</si>
  <si>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</si>
  <si>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</si>
  <si>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</si>
  <si>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</si>
  <si>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</si>
  <si>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</si>
  <si>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</si>
  <si>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</si>
  <si>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</si>
  <si>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</si>
  <si>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</si>
  <si>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</si>
  <si>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</si>
  <si>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</si>
  <si>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</si>
  <si>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</si>
  <si>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</si>
  <si>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</si>
  <si>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</si>
  <si>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</si>
  <si>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</si>
  <si>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</si>
  <si>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</si>
  <si>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</si>
  <si>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</si>
  <si>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</si>
  <si>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</si>
  <si>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</si>
  <si>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</si>
  <si>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</si>
  <si>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</si>
  <si>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</si>
  <si>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</si>
  <si>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</si>
  <si>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</si>
  <si>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</si>
  <si>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</si>
  <si>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</si>
  <si>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</si>
  <si>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</si>
  <si>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</si>
  <si>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</si>
  <si>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</si>
  <si>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</si>
  <si>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</si>
  <si>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</si>
  <si>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</si>
  <si>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</si>
  <si>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</si>
  <si>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</si>
  <si>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</si>
  <si>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</si>
  <si>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</si>
  <si>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</si>
  <si>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</si>
  <si>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</si>
  <si>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</si>
  <si>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</si>
  <si>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</si>
  <si>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</si>
  <si>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</si>
  <si>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</si>
  <si>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</si>
  <si>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</si>
  <si>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</si>
  <si>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</si>
  <si>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</si>
  <si>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</si>
  <si>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</si>
  <si>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</si>
  <si>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</si>
  <si>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</si>
  <si>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</si>
  <si>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</si>
  <si>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</si>
  <si>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</si>
  <si>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</si>
  <si>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</si>
  <si>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</si>
  <si>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</si>
  <si>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</si>
  <si>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</si>
  <si>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</si>
  <si>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</si>
  <si>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</si>
  <si>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</si>
  <si>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</si>
  <si>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</si>
  <si>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</si>
  <si>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</si>
  <si>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</si>
  <si>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</si>
  <si>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</si>
  <si>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</si>
  <si>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</si>
  <si>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</si>
  <si>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</si>
  <si>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</si>
  <si>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</si>
  <si>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</si>
  <si>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</si>
  <si>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</si>
  <si>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</si>
  <si>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</si>
  <si>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</si>
  <si>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</si>
  <si>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</si>
  <si>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</si>
  <si>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</si>
  <si>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</si>
  <si>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</si>
  <si>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</si>
  <si>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</si>
  <si>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</si>
  <si>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</si>
  <si>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</si>
  <si>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</si>
  <si>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</si>
  <si>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</si>
  <si>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</si>
  <si>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</si>
  <si>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</si>
  <si>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</si>
  <si>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</si>
  <si>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</si>
  <si>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</si>
  <si>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</si>
  <si>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</si>
  <si>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</si>
  <si>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</si>
  <si>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</si>
  <si>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L0515</t>
  </si>
  <si>
    <t>L0516</t>
  </si>
  <si>
    <t>L0517</t>
  </si>
  <si>
    <t>L0518</t>
  </si>
  <si>
    <t>L0519</t>
  </si>
  <si>
    <t>L0520</t>
  </si>
  <si>
    <t>L0521</t>
  </si>
  <si>
    <t>L0522</t>
  </si>
  <si>
    <t>L0523</t>
  </si>
  <si>
    <t>L0524</t>
  </si>
  <si>
    <t>L0525</t>
  </si>
  <si>
    <t>L0526</t>
  </si>
  <si>
    <t>L0527</t>
  </si>
  <si>
    <t>L0528</t>
  </si>
  <si>
    <t>L0529</t>
  </si>
  <si>
    <t>L0530</t>
  </si>
  <si>
    <t>L0531</t>
  </si>
  <si>
    <t>L0532</t>
  </si>
  <si>
    <t>L0533</t>
  </si>
  <si>
    <t>L0534</t>
  </si>
  <si>
    <t>L0535</t>
  </si>
  <si>
    <t>L0536</t>
  </si>
  <si>
    <t>L0537</t>
  </si>
  <si>
    <t>L0538</t>
  </si>
  <si>
    <t>L0539</t>
  </si>
  <si>
    <t>L0540</t>
  </si>
  <si>
    <t>L0541</t>
  </si>
  <si>
    <t>L0542</t>
  </si>
  <si>
    <t>L0543</t>
  </si>
  <si>
    <t>L0544</t>
  </si>
  <si>
    <t>L0545</t>
  </si>
  <si>
    <t>L0546</t>
  </si>
  <si>
    <t>L0547</t>
  </si>
  <si>
    <t>L0548</t>
  </si>
  <si>
    <t>L0549</t>
  </si>
  <si>
    <t>L0550</t>
  </si>
  <si>
    <t>L0551</t>
  </si>
  <si>
    <t>L0552</t>
  </si>
  <si>
    <t>L0553</t>
  </si>
  <si>
    <t>L0554</t>
  </si>
  <si>
    <t>L0555</t>
  </si>
  <si>
    <t>L0556</t>
  </si>
  <si>
    <t>L0557</t>
  </si>
  <si>
    <t>L0558</t>
  </si>
  <si>
    <t>L0559</t>
  </si>
  <si>
    <t>L0560</t>
  </si>
  <si>
    <t>L0561</t>
  </si>
  <si>
    <t>L0562</t>
  </si>
  <si>
    <t>L0563</t>
  </si>
  <si>
    <t>L0564</t>
  </si>
  <si>
    <t>L0565</t>
  </si>
  <si>
    <t>L0566</t>
  </si>
  <si>
    <t>L0567</t>
  </si>
  <si>
    <t>L0568</t>
  </si>
  <si>
    <t>L0569</t>
  </si>
  <si>
    <t>L0570</t>
  </si>
  <si>
    <t>L0571</t>
  </si>
  <si>
    <t>L0572</t>
  </si>
  <si>
    <t>L0573</t>
  </si>
  <si>
    <t>L0574</t>
  </si>
  <si>
    <t>L0575</t>
  </si>
  <si>
    <t>L0576</t>
  </si>
  <si>
    <t>L0577</t>
  </si>
  <si>
    <t>L0578</t>
  </si>
  <si>
    <t>L0579</t>
  </si>
  <si>
    <t>L0580</t>
  </si>
  <si>
    <t>L0581</t>
  </si>
  <si>
    <t>L0582</t>
  </si>
  <si>
    <t>L0583</t>
  </si>
  <si>
    <t>L0584</t>
  </si>
  <si>
    <t>L0585</t>
  </si>
  <si>
    <t>L0586</t>
  </si>
  <si>
    <t>L0587</t>
  </si>
  <si>
    <t>L0588</t>
  </si>
  <si>
    <t>L0589</t>
  </si>
  <si>
    <t>L0590</t>
  </si>
  <si>
    <t>L0591</t>
  </si>
  <si>
    <t>L0592</t>
  </si>
  <si>
    <t>L0593</t>
  </si>
  <si>
    <t>L0594</t>
  </si>
  <si>
    <t>L0595</t>
  </si>
  <si>
    <t>L0596</t>
  </si>
  <si>
    <t>L0597</t>
  </si>
  <si>
    <t>L0598</t>
  </si>
  <si>
    <t>L0599</t>
  </si>
  <si>
    <t>L0600</t>
  </si>
  <si>
    <t>L0601</t>
  </si>
  <si>
    <t>L0602</t>
  </si>
  <si>
    <t>L0603</t>
  </si>
  <si>
    <t>L0604</t>
  </si>
  <si>
    <t>L0605</t>
  </si>
  <si>
    <t>L0606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</si>
  <si>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</si>
  <si>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</si>
  <si>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</si>
  <si>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</si>
  <si>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</si>
  <si>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</si>
  <si>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</si>
  <si>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</si>
  <si>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L0615</t>
  </si>
  <si>
    <t>L0616</t>
  </si>
  <si>
    <t>L0617</t>
  </si>
  <si>
    <t>L0618</t>
  </si>
  <si>
    <t>L0619</t>
  </si>
  <si>
    <t>L0620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</si>
  <si>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</si>
  <si>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</si>
  <si>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</si>
  <si>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</si>
  <si>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</si>
  <si>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</si>
  <si>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</si>
  <si>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</si>
  <si>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</si>
  <si>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</si>
  <si>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</si>
  <si>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</si>
  <si>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</si>
  <si>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</si>
  <si>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</si>
  <si>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</si>
  <si>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</si>
  <si>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</si>
  <si>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</si>
  <si>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</si>
  <si>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</si>
  <si>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</si>
  <si>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</si>
  <si>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L0644</t>
  </si>
  <si>
    <t>L0645</t>
  </si>
  <si>
    <t>L0646</t>
  </si>
  <si>
    <t>L0647</t>
  </si>
  <si>
    <t>L0648</t>
  </si>
  <si>
    <t>L0649</t>
  </si>
  <si>
    <t>L0650</t>
  </si>
  <si>
    <t>L0651</t>
  </si>
  <si>
    <t>L0652</t>
  </si>
  <si>
    <t>L0653</t>
  </si>
  <si>
    <t>L0654</t>
  </si>
  <si>
    <t>L0655</t>
  </si>
  <si>
    <t>L0656</t>
  </si>
  <si>
    <t>L0657</t>
  </si>
  <si>
    <t>L0658</t>
  </si>
  <si>
    <t>L0659</t>
  </si>
  <si>
    <t>L0660</t>
  </si>
  <si>
    <t>L0661</t>
  </si>
  <si>
    <t>L0662</t>
  </si>
  <si>
    <t>L0663</t>
  </si>
  <si>
    <t>L0664</t>
  </si>
  <si>
    <t>L0665</t>
  </si>
  <si>
    <t>L0666</t>
  </si>
  <si>
    <t>L0667</t>
  </si>
  <si>
    <t>L0668</t>
  </si>
  <si>
    <t>L0669</t>
  </si>
  <si>
    <t>L0670</t>
  </si>
  <si>
    <t>L0671</t>
  </si>
  <si>
    <t>L0672</t>
  </si>
  <si>
    <t>L0673</t>
  </si>
  <si>
    <t>L0674</t>
  </si>
  <si>
    <t>L0675</t>
  </si>
  <si>
    <t>L0676</t>
  </si>
  <si>
    <t>L0677</t>
  </si>
  <si>
    <t>L0678</t>
  </si>
  <si>
    <t>L0679</t>
  </si>
  <si>
    <t>L0680</t>
  </si>
  <si>
    <t>L0681</t>
  </si>
  <si>
    <t>L0682</t>
  </si>
  <si>
    <t>L0683</t>
  </si>
  <si>
    <t>L0684</t>
  </si>
  <si>
    <t>L0685</t>
  </si>
  <si>
    <t>L0686</t>
  </si>
  <si>
    <t>L0687</t>
  </si>
  <si>
    <t>L0688</t>
  </si>
  <si>
    <t>L0689</t>
  </si>
  <si>
    <t>L0690</t>
  </si>
  <si>
    <t>L0691</t>
  </si>
  <si>
    <t>L0692</t>
  </si>
  <si>
    <t>L0693</t>
  </si>
  <si>
    <t>L0694</t>
  </si>
  <si>
    <t>L0695</t>
  </si>
  <si>
    <t>L0696</t>
  </si>
  <si>
    <t>L0697</t>
  </si>
  <si>
    <t>L0698</t>
  </si>
  <si>
    <t>L0699</t>
  </si>
  <si>
    <t>L0700</t>
  </si>
  <si>
    <t>L0701</t>
  </si>
  <si>
    <t>L0702</t>
  </si>
  <si>
    <t>L0703</t>
  </si>
  <si>
    <t>L0704</t>
  </si>
  <si>
    <t>L0705</t>
  </si>
  <si>
    <t>L0706</t>
  </si>
  <si>
    <t>L0707</t>
  </si>
  <si>
    <t>L0708</t>
  </si>
  <si>
    <t>L0709</t>
  </si>
  <si>
    <t>L0710</t>
  </si>
  <si>
    <t>L0711</t>
  </si>
  <si>
    <t>L0712</t>
  </si>
  <si>
    <t>L0713</t>
  </si>
  <si>
    <t>L0714</t>
  </si>
  <si>
    <t>L0715</t>
  </si>
  <si>
    <t>L0716</t>
  </si>
  <si>
    <t>L0717</t>
  </si>
  <si>
    <t>L0718</t>
  </si>
  <si>
    <t>L0719</t>
  </si>
  <si>
    <t>L0720</t>
  </si>
  <si>
    <t>L0721</t>
  </si>
  <si>
    <t>L0722</t>
  </si>
  <si>
    <t>L0723</t>
  </si>
  <si>
    <t>L0724</t>
  </si>
  <si>
    <t>L0725</t>
  </si>
  <si>
    <t>L0726</t>
  </si>
  <si>
    <t>L0727</t>
  </si>
  <si>
    <t>L0728</t>
  </si>
  <si>
    <t>L0729</t>
  </si>
  <si>
    <t>L0730</t>
  </si>
  <si>
    <t>L0731</t>
  </si>
  <si>
    <t>L0732</t>
  </si>
  <si>
    <t>L0733</t>
  </si>
  <si>
    <t>L0734</t>
  </si>
  <si>
    <t>L0735</t>
  </si>
  <si>
    <t>L0736</t>
  </si>
  <si>
    <t>L0737</t>
  </si>
  <si>
    <t>L0738</t>
  </si>
  <si>
    <t>L0739</t>
  </si>
  <si>
    <t>L0740</t>
  </si>
  <si>
    <t>L0741</t>
  </si>
  <si>
    <t>L0742</t>
  </si>
  <si>
    <t>L0743</t>
  </si>
  <si>
    <t>L0744</t>
  </si>
  <si>
    <t>L0745</t>
  </si>
  <si>
    <t>L0746</t>
  </si>
  <si>
    <t>L0747</t>
  </si>
  <si>
    <t>L0748</t>
  </si>
  <si>
    <t>L0749</t>
  </si>
  <si>
    <t>L0750</t>
  </si>
  <si>
    <t>L0751</t>
  </si>
  <si>
    <t>L0752</t>
  </si>
  <si>
    <t>L0753</t>
  </si>
  <si>
    <t>L0754</t>
  </si>
  <si>
    <t>L0755</t>
  </si>
  <si>
    <t>L0756</t>
  </si>
  <si>
    <t>L0757</t>
  </si>
  <si>
    <t>L0758</t>
  </si>
  <si>
    <t>L0759</t>
  </si>
  <si>
    <t>L0760</t>
  </si>
  <si>
    <t>L0761</t>
  </si>
  <si>
    <t>L0762</t>
  </si>
  <si>
    <t>L0763</t>
  </si>
  <si>
    <t>L0764</t>
  </si>
  <si>
    <t>L0765</t>
  </si>
  <si>
    <t>L0766</t>
  </si>
  <si>
    <t>L0767</t>
  </si>
  <si>
    <t>L0768</t>
  </si>
  <si>
    <t>L0769</t>
  </si>
  <si>
    <t>L0770</t>
  </si>
  <si>
    <t>L0771</t>
  </si>
  <si>
    <t>L0772</t>
  </si>
  <si>
    <t>L0773</t>
  </si>
  <si>
    <t>L0774</t>
  </si>
  <si>
    <t>L0775</t>
  </si>
  <si>
    <t>L0776</t>
  </si>
  <si>
    <t>L0777</t>
  </si>
  <si>
    <t>L0778</t>
  </si>
  <si>
    <t>L0779</t>
  </si>
  <si>
    <t>L0780</t>
  </si>
  <si>
    <t>L0781</t>
  </si>
  <si>
    <t>L0782</t>
  </si>
  <si>
    <t>L0783</t>
  </si>
  <si>
    <t>L0784</t>
  </si>
  <si>
    <t>L0785</t>
  </si>
  <si>
    <t>L0786</t>
  </si>
  <si>
    <t>L0787</t>
  </si>
  <si>
    <t>L0788</t>
  </si>
  <si>
    <t>L0789</t>
  </si>
  <si>
    <t>L0790</t>
  </si>
  <si>
    <t>L0791</t>
  </si>
  <si>
    <t>L0792</t>
  </si>
  <si>
    <t>L0793</t>
  </si>
  <si>
    <t>L0794</t>
  </si>
  <si>
    <t>L0795</t>
  </si>
  <si>
    <t>L0796</t>
  </si>
  <si>
    <t>L0797</t>
  </si>
  <si>
    <t>L0798</t>
  </si>
  <si>
    <t>L0799</t>
  </si>
  <si>
    <t>L0800</t>
  </si>
  <si>
    <t>L0801</t>
  </si>
  <si>
    <t>L0802</t>
  </si>
  <si>
    <t>L0803</t>
  </si>
  <si>
    <t>L0804</t>
  </si>
  <si>
    <t>L0805</t>
  </si>
  <si>
    <t>L0806</t>
  </si>
  <si>
    <t>L0807</t>
  </si>
  <si>
    <t>L0808</t>
  </si>
  <si>
    <t>L0809</t>
  </si>
  <si>
    <t>L0810</t>
  </si>
  <si>
    <t>L0811</t>
  </si>
  <si>
    <t>L0812</t>
  </si>
  <si>
    <t>L0813</t>
  </si>
  <si>
    <t>L0814</t>
  </si>
  <si>
    <t>L0815</t>
  </si>
  <si>
    <t>L0816</t>
  </si>
  <si>
    <t>L0817</t>
  </si>
  <si>
    <t>L0818</t>
  </si>
  <si>
    <t>L0819</t>
  </si>
  <si>
    <t>L0820</t>
  </si>
  <si>
    <t>L0821</t>
  </si>
  <si>
    <t>L0822</t>
  </si>
  <si>
    <t>L0823</t>
  </si>
  <si>
    <t>L0824</t>
  </si>
  <si>
    <t>L0825</t>
  </si>
  <si>
    <t>L0826</t>
  </si>
  <si>
    <t>L0827</t>
  </si>
  <si>
    <t>L0828</t>
  </si>
  <si>
    <t>L0829</t>
  </si>
  <si>
    <t>L0830</t>
  </si>
  <si>
    <t>L0831</t>
  </si>
  <si>
    <t>L0832</t>
  </si>
  <si>
    <t>L0833</t>
  </si>
  <si>
    <t>L0834</t>
  </si>
  <si>
    <t>L0835</t>
  </si>
  <si>
    <t>L0836</t>
  </si>
  <si>
    <t>L0837</t>
  </si>
  <si>
    <t>L0838</t>
  </si>
  <si>
    <t>L0839</t>
  </si>
  <si>
    <t>L0840</t>
  </si>
  <si>
    <t>L0841</t>
  </si>
  <si>
    <t>L0842</t>
  </si>
  <si>
    <t>L0843</t>
  </si>
  <si>
    <t>L0844</t>
  </si>
  <si>
    <t>L0845</t>
  </si>
  <si>
    <t>L0846</t>
  </si>
  <si>
    <t>L0847</t>
  </si>
  <si>
    <t>L0848</t>
  </si>
  <si>
    <t>L0849</t>
  </si>
  <si>
    <t>L0850</t>
  </si>
  <si>
    <t>L0851</t>
  </si>
  <si>
    <t>L0852</t>
  </si>
  <si>
    <t>L0853</t>
  </si>
  <si>
    <t>L0854</t>
  </si>
  <si>
    <t>L0855</t>
  </si>
  <si>
    <t>L0856</t>
  </si>
  <si>
    <t>L0857</t>
  </si>
  <si>
    <t>L0858</t>
  </si>
  <si>
    <t>L0859</t>
  </si>
  <si>
    <t>L0860</t>
  </si>
  <si>
    <t>L0861</t>
  </si>
  <si>
    <t>L0862</t>
  </si>
  <si>
    <t>L0863</t>
  </si>
  <si>
    <t>L0864</t>
  </si>
  <si>
    <t>L0865</t>
  </si>
  <si>
    <t>L0866</t>
  </si>
  <si>
    <t>L0867</t>
  </si>
  <si>
    <t>L0868</t>
  </si>
  <si>
    <t>L0869</t>
  </si>
  <si>
    <t>L0870</t>
  </si>
  <si>
    <t>L0871</t>
  </si>
  <si>
    <t>L0872</t>
  </si>
  <si>
    <t>L0873</t>
  </si>
  <si>
    <t>L0874</t>
  </si>
  <si>
    <t>L0875</t>
  </si>
  <si>
    <t>L0876</t>
  </si>
  <si>
    <t>L0877</t>
  </si>
  <si>
    <t>L0878</t>
  </si>
  <si>
    <t>L0879</t>
  </si>
  <si>
    <t>L0880</t>
  </si>
  <si>
    <t>L0881</t>
  </si>
  <si>
    <t>L0882</t>
  </si>
  <si>
    <t>L0883</t>
  </si>
  <si>
    <t>L0884</t>
  </si>
  <si>
    <t>L0885</t>
  </si>
  <si>
    <t>L0886</t>
  </si>
  <si>
    <t>L0887</t>
  </si>
  <si>
    <t>L0888</t>
  </si>
  <si>
    <t>L0889</t>
  </si>
  <si>
    <t>L0890</t>
  </si>
  <si>
    <t>L0891</t>
  </si>
  <si>
    <t>L0892</t>
  </si>
  <si>
    <t>L0893</t>
  </si>
  <si>
    <t>L0894</t>
  </si>
  <si>
    <t>L0895</t>
  </si>
  <si>
    <t>L0896</t>
  </si>
  <si>
    <t>L0897</t>
  </si>
  <si>
    <t>L0898</t>
  </si>
  <si>
    <t>L0899</t>
  </si>
  <si>
    <t>L0900</t>
  </si>
  <si>
    <t>L0901</t>
  </si>
  <si>
    <t>L0902</t>
  </si>
  <si>
    <t>L0903</t>
  </si>
  <si>
    <t>L0904</t>
  </si>
  <si>
    <t>L0905</t>
  </si>
  <si>
    <t>L0906</t>
  </si>
  <si>
    <t>L0907</t>
  </si>
  <si>
    <t>L0908</t>
  </si>
  <si>
    <t>L0909</t>
  </si>
  <si>
    <t>L0910</t>
  </si>
  <si>
    <t>L0911</t>
  </si>
  <si>
    <t>L0912</t>
  </si>
  <si>
    <t>L0913</t>
  </si>
  <si>
    <t>L0914</t>
  </si>
  <si>
    <t>L0915</t>
  </si>
  <si>
    <t>L0916</t>
  </si>
  <si>
    <t>L0917</t>
  </si>
  <si>
    <t>L0918</t>
  </si>
  <si>
    <t>L0919</t>
  </si>
  <si>
    <t>L0920</t>
  </si>
  <si>
    <t>L0921</t>
  </si>
  <si>
    <t>L0922</t>
  </si>
  <si>
    <t>L0923</t>
  </si>
  <si>
    <t>L0924</t>
  </si>
  <si>
    <t>L0925</t>
  </si>
  <si>
    <t>L0926</t>
  </si>
  <si>
    <t>L0927</t>
  </si>
  <si>
    <t>L0928</t>
  </si>
  <si>
    <t>L0929</t>
  </si>
  <si>
    <t>L0930</t>
  </si>
  <si>
    <t>L0931</t>
  </si>
  <si>
    <t>L0932</t>
  </si>
  <si>
    <t>L0933</t>
  </si>
  <si>
    <t>L0934</t>
  </si>
  <si>
    <t>L0935</t>
  </si>
  <si>
    <t>L0936</t>
  </si>
  <si>
    <t>L0937</t>
  </si>
  <si>
    <t>L0938</t>
  </si>
  <si>
    <t>L0939</t>
  </si>
  <si>
    <t>L0940</t>
  </si>
  <si>
    <t>L0941</t>
  </si>
  <si>
    <t>L0942</t>
  </si>
  <si>
    <t>L0943</t>
  </si>
  <si>
    <t>L0944</t>
  </si>
  <si>
    <t>L0945</t>
  </si>
  <si>
    <t>L0946</t>
  </si>
  <si>
    <t>L0947</t>
  </si>
  <si>
    <t>L0948</t>
  </si>
  <si>
    <t>L0949</t>
  </si>
  <si>
    <t>L0950</t>
  </si>
  <si>
    <t>L0951</t>
  </si>
  <si>
    <t>L0952</t>
  </si>
  <si>
    <t>L0953</t>
  </si>
  <si>
    <t>L0954</t>
  </si>
  <si>
    <t>L0955</t>
  </si>
  <si>
    <t>L0956</t>
  </si>
  <si>
    <t>L0957</t>
  </si>
  <si>
    <t>L0958</t>
  </si>
  <si>
    <t>L0959</t>
  </si>
  <si>
    <t>L0960</t>
  </si>
  <si>
    <t>L0961</t>
  </si>
  <si>
    <t>L0962</t>
  </si>
  <si>
    <t>L0963</t>
  </si>
  <si>
    <t>L0964</t>
  </si>
  <si>
    <t>L0965</t>
  </si>
  <si>
    <t>L0966</t>
  </si>
  <si>
    <t>L0967</t>
  </si>
  <si>
    <t>L0968</t>
  </si>
  <si>
    <t>L0969</t>
  </si>
  <si>
    <t>L0970</t>
  </si>
  <si>
    <t>L0971</t>
  </si>
  <si>
    <t>L0972</t>
  </si>
  <si>
    <t>L0973</t>
  </si>
  <si>
    <t>L0974</t>
  </si>
  <si>
    <t>L0975</t>
  </si>
  <si>
    <t>L0976</t>
  </si>
  <si>
    <t>L0977</t>
  </si>
  <si>
    <t>L0978</t>
  </si>
  <si>
    <t>L0979</t>
  </si>
  <si>
    <t>L0980</t>
  </si>
  <si>
    <t>L0981</t>
  </si>
  <si>
    <t>L0982</t>
  </si>
  <si>
    <t>L0983</t>
  </si>
  <si>
    <t>L0984</t>
  </si>
  <si>
    <t>L0985</t>
  </si>
  <si>
    <t>L0986</t>
  </si>
  <si>
    <t>L0987</t>
  </si>
  <si>
    <t>L0988</t>
  </si>
  <si>
    <t>L0989</t>
  </si>
  <si>
    <t>L0990</t>
  </si>
  <si>
    <t>L0991</t>
  </si>
  <si>
    <t>L0992</t>
  </si>
  <si>
    <t>L0993</t>
  </si>
  <si>
    <t>L0994</t>
  </si>
  <si>
    <t>L0995</t>
  </si>
  <si>
    <t>L0996</t>
  </si>
  <si>
    <t>L0997</t>
  </si>
  <si>
    <t>L0998</t>
  </si>
  <si>
    <t>L0999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</si>
  <si>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</si>
  <si>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</si>
  <si>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</si>
  <si>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</si>
  <si>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</si>
  <si>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</si>
  <si>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</si>
  <si>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</si>
  <si>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</si>
  <si>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</si>
  <si>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</si>
  <si>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</si>
  <si>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</si>
  <si>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</si>
  <si>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</si>
  <si>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</si>
  <si>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</si>
  <si>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</si>
  <si>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</si>
  <si>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</si>
  <si>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</si>
  <si>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</si>
  <si>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</si>
  <si>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</si>
  <si>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</si>
  <si>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</si>
  <si>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</si>
  <si>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</si>
  <si>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</si>
  <si>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</si>
  <si>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</si>
  <si>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</si>
  <si>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</si>
  <si>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</si>
  <si>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</si>
  <si>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</si>
  <si>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</si>
  <si>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</si>
  <si>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</si>
  <si>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</si>
  <si>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</si>
  <si>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</si>
  <si>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</si>
  <si>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</si>
  <si>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</si>
  <si>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</si>
  <si>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</si>
  <si>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</si>
  <si>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</si>
  <si>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</si>
  <si>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</si>
  <si>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</si>
  <si>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</si>
  <si>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</si>
  <si>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</si>
  <si>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</si>
  <si>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</si>
  <si>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</si>
  <si>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</si>
  <si>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</si>
  <si>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</si>
  <si>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</si>
  <si>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</si>
  <si>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</si>
  <si>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</si>
  <si>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</si>
  <si>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</si>
  <si>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</si>
  <si>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</si>
  <si>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</si>
  <si>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</si>
  <si>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</si>
  <si>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</si>
  <si>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</si>
  <si>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</si>
  <si>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</si>
  <si>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</si>
  <si>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</si>
  <si>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</si>
  <si>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</si>
  <si>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</si>
  <si>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</si>
  <si>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</si>
  <si>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</si>
  <si>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</si>
  <si>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</si>
  <si>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</si>
  <si>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</si>
  <si>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</si>
  <si>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</si>
  <si>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</si>
  <si>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</si>
  <si>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</si>
  <si>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</si>
  <si>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</si>
  <si>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</si>
  <si>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</si>
  <si>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</si>
  <si>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</si>
  <si>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</si>
  <si>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</si>
  <si>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</si>
  <si>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</si>
  <si>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</si>
  <si>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</si>
  <si>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</si>
  <si>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</si>
  <si>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</si>
  <si>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</si>
  <si>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</si>
  <si>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</si>
  <si>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</si>
  <si>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</si>
  <si>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</si>
  <si>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</si>
  <si>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</si>
  <si>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</si>
  <si>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</si>
  <si>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</si>
  <si>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</si>
  <si>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</si>
  <si>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</si>
  <si>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</si>
  <si>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</si>
  <si>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</si>
  <si>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</si>
  <si>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</si>
  <si>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</si>
  <si>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</si>
  <si>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</si>
  <si>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</si>
  <si>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</si>
  <si>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</si>
  <si>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</si>
  <si>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</si>
  <si>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</si>
  <si>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</si>
  <si>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</si>
  <si>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</si>
  <si>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</si>
  <si>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</si>
  <si>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</si>
  <si>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</si>
  <si>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</si>
  <si>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</si>
  <si>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</si>
  <si>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</si>
  <si>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</si>
  <si>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</si>
  <si>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</si>
  <si>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</si>
  <si>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</si>
  <si>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</si>
  <si>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</si>
  <si>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</si>
  <si>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</si>
  <si>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</si>
  <si>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</si>
  <si>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</si>
  <si>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</si>
  <si>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</si>
  <si>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</si>
  <si>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</si>
  <si>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</si>
  <si>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</si>
  <si>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</si>
  <si>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</si>
  <si>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</si>
  <si>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</si>
  <si>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</si>
  <si>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</si>
  <si>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</si>
  <si>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</si>
  <si>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</si>
  <si>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</si>
  <si>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</si>
  <si>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</si>
  <si>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</si>
  <si>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</si>
  <si>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</si>
  <si>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</si>
  <si>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</si>
  <si>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</si>
  <si>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</si>
  <si>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</si>
  <si>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</si>
  <si>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</si>
  <si>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</si>
  <si>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</si>
  <si>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</si>
  <si>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</si>
  <si>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</si>
  <si>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</si>
  <si>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</si>
  <si>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</si>
  <si>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</si>
  <si>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</si>
  <si>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</si>
  <si>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</si>
  <si>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</si>
  <si>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</si>
  <si>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</si>
  <si>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</si>
  <si>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</si>
  <si>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</si>
  <si>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</si>
  <si>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</si>
  <si>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</si>
  <si>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</si>
  <si>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</si>
  <si>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</si>
  <si>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</si>
  <si>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</si>
  <si>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</si>
  <si>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</si>
  <si>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</si>
  <si>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</si>
  <si>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</si>
  <si>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</si>
  <si>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</si>
  <si>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</si>
  <si>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</si>
  <si>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</si>
  <si>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</si>
  <si>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</si>
  <si>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</si>
  <si>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</si>
  <si>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</si>
  <si>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</si>
  <si>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</si>
  <si>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</si>
  <si>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</si>
  <si>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</si>
  <si>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</si>
  <si>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</si>
  <si>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</si>
  <si>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</si>
  <si>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</si>
  <si>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</si>
  <si>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</si>
  <si>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</si>
  <si>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</si>
  <si>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</si>
  <si>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</si>
  <si>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</si>
  <si>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</si>
  <si>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</si>
  <si>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</si>
  <si>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</si>
  <si>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</si>
  <si>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</si>
  <si>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</si>
  <si>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</si>
  <si>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</si>
  <si>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</si>
  <si>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</si>
  <si>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</si>
  <si>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</si>
  <si>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</si>
  <si>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</si>
  <si>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</si>
  <si>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</si>
  <si>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</si>
  <si>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</si>
  <si>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</si>
  <si>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</si>
  <si>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</si>
  <si>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</si>
  <si>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</si>
  <si>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</si>
  <si>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</si>
  <si>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</si>
  <si>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</si>
  <si>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</si>
  <si>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</si>
  <si>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</si>
  <si>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</si>
  <si>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</si>
  <si>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</si>
  <si>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</si>
  <si>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</si>
  <si>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</si>
  <si>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</si>
  <si>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</si>
  <si>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</si>
  <si>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</si>
  <si>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</si>
  <si>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</si>
  <si>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</si>
  <si>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</si>
  <si>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</si>
  <si>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</si>
  <si>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</si>
  <si>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</si>
  <si>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</si>
  <si>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</si>
  <si>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</si>
  <si>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</si>
  <si>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</si>
  <si>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</si>
  <si>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</si>
  <si>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LOAN_ID</t>
  </si>
  <si>
    <t>LOAN_TYPE</t>
  </si>
  <si>
    <t>INTEREST_RATE</t>
  </si>
  <si>
    <t>LOAN_AMOUNT</t>
  </si>
  <si>
    <t>OUTSTANDING_LOAN</t>
  </si>
  <si>
    <t>DEFAULT_STATUS</t>
  </si>
  <si>
    <t>RECOVERY_AMOUNT</t>
  </si>
  <si>
    <t>AGRI_OUTPUT_INDEX</t>
  </si>
  <si>
    <t>REPO_RATE</t>
  </si>
  <si>
    <t>INFLATION_RATE</t>
  </si>
  <si>
    <t>GDP_YoY</t>
  </si>
  <si>
    <t>UNEMPLOYMENT_RATE</t>
  </si>
  <si>
    <t>INDUSTRIAL_GROWTH</t>
  </si>
  <si>
    <t>LN000001</t>
  </si>
  <si>
    <t>LN000002</t>
  </si>
  <si>
    <t>LN000003</t>
  </si>
  <si>
    <t>LN000004</t>
  </si>
  <si>
    <t>LN000005</t>
  </si>
  <si>
    <t>LN000006</t>
  </si>
  <si>
    <t>LN000007</t>
  </si>
  <si>
    <t>LN000008</t>
  </si>
  <si>
    <t>LN000009</t>
  </si>
  <si>
    <t>LN000010</t>
  </si>
  <si>
    <t>LN000011</t>
  </si>
  <si>
    <t>LN000012</t>
  </si>
  <si>
    <t>LN000013</t>
  </si>
  <si>
    <t>LN000014</t>
  </si>
  <si>
    <t>LN000015</t>
  </si>
  <si>
    <t>LN000016</t>
  </si>
  <si>
    <t>LN000017</t>
  </si>
  <si>
    <t>LN000018</t>
  </si>
  <si>
    <t>LN000019</t>
  </si>
  <si>
    <t>LN000020</t>
  </si>
  <si>
    <t>LN000021</t>
  </si>
  <si>
    <t>LN000022</t>
  </si>
  <si>
    <t>LN000023</t>
  </si>
  <si>
    <t>LN000024</t>
  </si>
  <si>
    <t>LN000025</t>
  </si>
  <si>
    <t>LN000026</t>
  </si>
  <si>
    <t>LN000027</t>
  </si>
  <si>
    <t>LN000028</t>
  </si>
  <si>
    <t>LN000029</t>
  </si>
  <si>
    <t>LN000030</t>
  </si>
  <si>
    <t>LN000031</t>
  </si>
  <si>
    <t>LN000032</t>
  </si>
  <si>
    <t>LN000033</t>
  </si>
  <si>
    <t>LN000034</t>
  </si>
  <si>
    <t>LN000035</t>
  </si>
  <si>
    <t>LN000036</t>
  </si>
  <si>
    <t>LN000037</t>
  </si>
  <si>
    <t>LN000038</t>
  </si>
  <si>
    <t>LN000039</t>
  </si>
  <si>
    <t>LN000040</t>
  </si>
  <si>
    <t>LN000041</t>
  </si>
  <si>
    <t>LN000042</t>
  </si>
  <si>
    <t>LN000043</t>
  </si>
  <si>
    <t>LN000044</t>
  </si>
  <si>
    <t>LN000045</t>
  </si>
  <si>
    <t>LN000046</t>
  </si>
  <si>
    <t>LN000047</t>
  </si>
  <si>
    <t>LN000048</t>
  </si>
  <si>
    <t>LN000049</t>
  </si>
  <si>
    <t>LN000050</t>
  </si>
  <si>
    <t>LN000051</t>
  </si>
  <si>
    <t>LN000052</t>
  </si>
  <si>
    <t>LN000053</t>
  </si>
  <si>
    <t>LN000054</t>
  </si>
  <si>
    <t>LN000055</t>
  </si>
  <si>
    <t>LN000056</t>
  </si>
  <si>
    <t>LN000057</t>
  </si>
  <si>
    <t>LN000058</t>
  </si>
  <si>
    <t>LN000059</t>
  </si>
  <si>
    <t>LN000060</t>
  </si>
  <si>
    <t>LN000061</t>
  </si>
  <si>
    <t>LN000062</t>
  </si>
  <si>
    <t>LN000063</t>
  </si>
  <si>
    <t>LN000064</t>
  </si>
  <si>
    <t>LN000065</t>
  </si>
  <si>
    <t>LN000066</t>
  </si>
  <si>
    <t>LN000067</t>
  </si>
  <si>
    <t>LN000068</t>
  </si>
  <si>
    <t>LN000069</t>
  </si>
  <si>
    <t>LN000070</t>
  </si>
  <si>
    <t>LN000071</t>
  </si>
  <si>
    <t>LN000072</t>
  </si>
  <si>
    <t>LN000073</t>
  </si>
  <si>
    <t>LN000074</t>
  </si>
  <si>
    <t>LN000075</t>
  </si>
  <si>
    <t>LN000076</t>
  </si>
  <si>
    <t>LN000077</t>
  </si>
  <si>
    <t>LN000078</t>
  </si>
  <si>
    <t>LN000079</t>
  </si>
  <si>
    <t>LN000080</t>
  </si>
  <si>
    <t>LN000081</t>
  </si>
  <si>
    <t>LN000082</t>
  </si>
  <si>
    <t>LN000083</t>
  </si>
  <si>
    <t>LN000084</t>
  </si>
  <si>
    <t>LN000085</t>
  </si>
  <si>
    <t>LN000086</t>
  </si>
  <si>
    <t>LN000087</t>
  </si>
  <si>
    <t>LN000088</t>
  </si>
  <si>
    <t>LN000089</t>
  </si>
  <si>
    <t>LN000090</t>
  </si>
  <si>
    <t>LN000091</t>
  </si>
  <si>
    <t>LN000092</t>
  </si>
  <si>
    <t>LN000093</t>
  </si>
  <si>
    <t>LN000094</t>
  </si>
  <si>
    <t>LN000095</t>
  </si>
  <si>
    <t>LN000096</t>
  </si>
  <si>
    <t>LN000097</t>
  </si>
  <si>
    <t>LN000098</t>
  </si>
  <si>
    <t>LN000099</t>
  </si>
  <si>
    <t>LN000100</t>
  </si>
  <si>
    <t>LN000101</t>
  </si>
  <si>
    <t>LN000102</t>
  </si>
  <si>
    <t>LN000103</t>
  </si>
  <si>
    <t>LN000104</t>
  </si>
  <si>
    <t>LN000105</t>
  </si>
  <si>
    <t>LN000106</t>
  </si>
  <si>
    <t>LN000107</t>
  </si>
  <si>
    <t>LN000108</t>
  </si>
  <si>
    <t>LN000109</t>
  </si>
  <si>
    <t>LN000110</t>
  </si>
  <si>
    <t>LN000111</t>
  </si>
  <si>
    <t>LN000112</t>
  </si>
  <si>
    <t>LN000113</t>
  </si>
  <si>
    <t>LN000114</t>
  </si>
  <si>
    <t>LN000115</t>
  </si>
  <si>
    <t>LN000116</t>
  </si>
  <si>
    <t>LN000117</t>
  </si>
  <si>
    <t>LN000118</t>
  </si>
  <si>
    <t>LN000119</t>
  </si>
  <si>
    <t>LN000120</t>
  </si>
  <si>
    <t>LN000121</t>
  </si>
  <si>
    <t>LN000122</t>
  </si>
  <si>
    <t>LN000123</t>
  </si>
  <si>
    <t>LN000124</t>
  </si>
  <si>
    <t>LN000125</t>
  </si>
  <si>
    <t>LN000126</t>
  </si>
  <si>
    <t>LN000127</t>
  </si>
  <si>
    <t>LN000128</t>
  </si>
  <si>
    <t>LN000129</t>
  </si>
  <si>
    <t>LN000130</t>
  </si>
  <si>
    <t>LN000131</t>
  </si>
  <si>
    <t>LN000132</t>
  </si>
  <si>
    <t>LN000133</t>
  </si>
  <si>
    <t>LN000134</t>
  </si>
  <si>
    <t>LN000135</t>
  </si>
  <si>
    <t>LN000136</t>
  </si>
  <si>
    <t>LN000137</t>
  </si>
  <si>
    <t>LN000138</t>
  </si>
  <si>
    <t>LN000139</t>
  </si>
  <si>
    <t>LN000140</t>
  </si>
  <si>
    <t>LN000141</t>
  </si>
  <si>
    <t>LN000142</t>
  </si>
  <si>
    <t>LN000143</t>
  </si>
  <si>
    <t>LN000144</t>
  </si>
  <si>
    <t>LN000145</t>
  </si>
  <si>
    <t>LN000146</t>
  </si>
  <si>
    <t>LN000147</t>
  </si>
  <si>
    <t>LN000148</t>
  </si>
  <si>
    <t>LN000149</t>
  </si>
  <si>
    <t>LN000150</t>
  </si>
  <si>
    <t>LN000151</t>
  </si>
  <si>
    <t>LN000152</t>
  </si>
  <si>
    <t>LN000153</t>
  </si>
  <si>
    <t>LN000154</t>
  </si>
  <si>
    <t>LN000155</t>
  </si>
  <si>
    <t>LN000156</t>
  </si>
  <si>
    <t>LN000157</t>
  </si>
  <si>
    <t>LN000158</t>
  </si>
  <si>
    <t>LN000159</t>
  </si>
  <si>
    <t>LN000160</t>
  </si>
  <si>
    <t>LN000161</t>
  </si>
  <si>
    <t>LN000162</t>
  </si>
  <si>
    <t>LN000163</t>
  </si>
  <si>
    <t>LN000164</t>
  </si>
  <si>
    <t>LN000165</t>
  </si>
  <si>
    <t>LN000166</t>
  </si>
  <si>
    <t>LN000167</t>
  </si>
  <si>
    <t>LN000168</t>
  </si>
  <si>
    <t>EDUCATION</t>
  </si>
  <si>
    <t>LN000169</t>
  </si>
  <si>
    <t>LN000170</t>
  </si>
  <si>
    <t>LN000171</t>
  </si>
  <si>
    <t>LN000172</t>
  </si>
  <si>
    <t>LN000173</t>
  </si>
  <si>
    <t>LN000174</t>
  </si>
  <si>
    <t>LN000175</t>
  </si>
  <si>
    <t>LN000176</t>
  </si>
  <si>
    <t>LN000177</t>
  </si>
  <si>
    <t>LN000178</t>
  </si>
  <si>
    <t>LN000179</t>
  </si>
  <si>
    <t>LN000180</t>
  </si>
  <si>
    <t>LN000181</t>
  </si>
  <si>
    <t>LN000182</t>
  </si>
  <si>
    <t>LN000183</t>
  </si>
  <si>
    <t>LN000184</t>
  </si>
  <si>
    <t>LN000185</t>
  </si>
  <si>
    <t>LN000186</t>
  </si>
  <si>
    <t>LN000187</t>
  </si>
  <si>
    <t>LN000188</t>
  </si>
  <si>
    <t>LN000189</t>
  </si>
  <si>
    <t>LN000190</t>
  </si>
  <si>
    <t>LN000191</t>
  </si>
  <si>
    <t>LN000192</t>
  </si>
  <si>
    <t>LN000193</t>
  </si>
  <si>
    <t>LN000194</t>
  </si>
  <si>
    <t>LN000195</t>
  </si>
  <si>
    <t>LN000196</t>
  </si>
  <si>
    <t>LN000197</t>
  </si>
  <si>
    <t>LN000198</t>
  </si>
  <si>
    <t>LN000199</t>
  </si>
  <si>
    <t>LN000200</t>
  </si>
  <si>
    <t>LN000201</t>
  </si>
  <si>
    <t>LN000202</t>
  </si>
  <si>
    <t>LN000203</t>
  </si>
  <si>
    <t>LN000204</t>
  </si>
  <si>
    <t>LN000205</t>
  </si>
  <si>
    <t>LN000206</t>
  </si>
  <si>
    <t>LN000207</t>
  </si>
  <si>
    <t>LN000208</t>
  </si>
  <si>
    <t>LN000209</t>
  </si>
  <si>
    <t>LN000210</t>
  </si>
  <si>
    <t>LN000211</t>
  </si>
  <si>
    <t>LN000212</t>
  </si>
  <si>
    <t>LN000213</t>
  </si>
  <si>
    <t>LN000214</t>
  </si>
  <si>
    <t>LN000215</t>
  </si>
  <si>
    <t>LN000216</t>
  </si>
  <si>
    <t>LN000217</t>
  </si>
  <si>
    <t>LN000218</t>
  </si>
  <si>
    <t>LN000219</t>
  </si>
  <si>
    <t>LN000220</t>
  </si>
  <si>
    <t>LN000221</t>
  </si>
  <si>
    <t>LN000222</t>
  </si>
  <si>
    <t>LN000223</t>
  </si>
  <si>
    <t>LN000224</t>
  </si>
  <si>
    <t>LN000225</t>
  </si>
  <si>
    <t>LN000226</t>
  </si>
  <si>
    <t>LN000227</t>
  </si>
  <si>
    <t>LN000228</t>
  </si>
  <si>
    <t>LN000229</t>
  </si>
  <si>
    <t>LN000230</t>
  </si>
  <si>
    <t>LN000231</t>
  </si>
  <si>
    <t>LN000232</t>
  </si>
  <si>
    <t>LN000233</t>
  </si>
  <si>
    <t>LN000234</t>
  </si>
  <si>
    <t>LN000235</t>
  </si>
  <si>
    <t>LN000236</t>
  </si>
  <si>
    <t>LN000237</t>
  </si>
  <si>
    <t>LN000238</t>
  </si>
  <si>
    <t>LN000239</t>
  </si>
  <si>
    <t>LN000240</t>
  </si>
  <si>
    <t>LN000241</t>
  </si>
  <si>
    <t>LN000242</t>
  </si>
  <si>
    <t>LN000243</t>
  </si>
  <si>
    <t>LN000244</t>
  </si>
  <si>
    <t>LN000245</t>
  </si>
  <si>
    <t>LN000246</t>
  </si>
  <si>
    <t>LN000247</t>
  </si>
  <si>
    <t>LN000248</t>
  </si>
  <si>
    <t>LN000249</t>
  </si>
  <si>
    <t>LN000250</t>
  </si>
  <si>
    <t>LN000251</t>
  </si>
  <si>
    <t>LN000252</t>
  </si>
  <si>
    <t>LN000253</t>
  </si>
  <si>
    <t>LN000254</t>
  </si>
  <si>
    <t>LN000255</t>
  </si>
  <si>
    <t>LN000256</t>
  </si>
  <si>
    <t>LN000257</t>
  </si>
  <si>
    <t>LN000258</t>
  </si>
  <si>
    <t>LN000259</t>
  </si>
  <si>
    <t>LN000260</t>
  </si>
  <si>
    <t>LN000261</t>
  </si>
  <si>
    <t>LN000262</t>
  </si>
  <si>
    <t>LN000263</t>
  </si>
  <si>
    <t>LN000264</t>
  </si>
  <si>
    <t>LN000265</t>
  </si>
  <si>
    <t>LN000266</t>
  </si>
  <si>
    <t>LN000267</t>
  </si>
  <si>
    <t>LN000268</t>
  </si>
  <si>
    <t>LN000269</t>
  </si>
  <si>
    <t>LN000270</t>
  </si>
  <si>
    <t>LN000271</t>
  </si>
  <si>
    <t>LN000272</t>
  </si>
  <si>
    <t>LN000273</t>
  </si>
  <si>
    <t>LN000274</t>
  </si>
  <si>
    <t>LN000275</t>
  </si>
  <si>
    <t>LN000276</t>
  </si>
  <si>
    <t>LN000277</t>
  </si>
  <si>
    <t>LN000278</t>
  </si>
  <si>
    <t>LN000279</t>
  </si>
  <si>
    <t>LN000280</t>
  </si>
  <si>
    <t>LN000281</t>
  </si>
  <si>
    <t>LN000282</t>
  </si>
  <si>
    <t>LN000283</t>
  </si>
  <si>
    <t>LN000284</t>
  </si>
  <si>
    <t>LN000285</t>
  </si>
  <si>
    <t>LN000286</t>
  </si>
  <si>
    <t>LN000287</t>
  </si>
  <si>
    <t>LN000288</t>
  </si>
  <si>
    <t>LN000289</t>
  </si>
  <si>
    <t>LN000290</t>
  </si>
  <si>
    <t>LN000291</t>
  </si>
  <si>
    <t>LN000292</t>
  </si>
  <si>
    <t>LN000293</t>
  </si>
  <si>
    <t>LN000294</t>
  </si>
  <si>
    <t>LN000295</t>
  </si>
  <si>
    <t>LN000296</t>
  </si>
  <si>
    <t>LN000297</t>
  </si>
  <si>
    <t>LN000298</t>
  </si>
  <si>
    <t>LN000299</t>
  </si>
  <si>
    <t>LN000300</t>
  </si>
  <si>
    <t>LN000301</t>
  </si>
  <si>
    <t>LN000302</t>
  </si>
  <si>
    <t>LN000303</t>
  </si>
  <si>
    <t>LN000304</t>
  </si>
  <si>
    <t>LN000305</t>
  </si>
  <si>
    <t>LN000306</t>
  </si>
  <si>
    <t>LN000307</t>
  </si>
  <si>
    <t>LN000308</t>
  </si>
  <si>
    <t>LN000309</t>
  </si>
  <si>
    <t>LN000310</t>
  </si>
  <si>
    <t>LN000311</t>
  </si>
  <si>
    <t>LN000312</t>
  </si>
  <si>
    <t>LN000313</t>
  </si>
  <si>
    <t>LN000314</t>
  </si>
  <si>
    <t>LN000315</t>
  </si>
  <si>
    <t>LN000316</t>
  </si>
  <si>
    <t>LN000317</t>
  </si>
  <si>
    <t>LN000318</t>
  </si>
  <si>
    <t>LN000319</t>
  </si>
  <si>
    <t>LN000320</t>
  </si>
  <si>
    <t>LN000321</t>
  </si>
  <si>
    <t>LN000322</t>
  </si>
  <si>
    <t>LN000323</t>
  </si>
  <si>
    <t>LN000324</t>
  </si>
  <si>
    <t>LN000325</t>
  </si>
  <si>
    <t>LN000326</t>
  </si>
  <si>
    <t>LN000327</t>
  </si>
  <si>
    <t>LN000328</t>
  </si>
  <si>
    <t>LN000329</t>
  </si>
  <si>
    <t>LN000330</t>
  </si>
  <si>
    <t>LN000331</t>
  </si>
  <si>
    <t>LN000332</t>
  </si>
  <si>
    <t>LN000333</t>
  </si>
  <si>
    <t>LN000334</t>
  </si>
  <si>
    <t>LN000335</t>
  </si>
  <si>
    <t>HOME</t>
  </si>
  <si>
    <t>LN000336</t>
  </si>
  <si>
    <t>LN000337</t>
  </si>
  <si>
    <t>LN000338</t>
  </si>
  <si>
    <t>LN000339</t>
  </si>
  <si>
    <t>LN000340</t>
  </si>
  <si>
    <t>LN000341</t>
  </si>
  <si>
    <t>LN000342</t>
  </si>
  <si>
    <t>LN000343</t>
  </si>
  <si>
    <t>LN000344</t>
  </si>
  <si>
    <t>LN000345</t>
  </si>
  <si>
    <t>LN000346</t>
  </si>
  <si>
    <t>LN000347</t>
  </si>
  <si>
    <t>LN000348</t>
  </si>
  <si>
    <t>LN000349</t>
  </si>
  <si>
    <t>LN000350</t>
  </si>
  <si>
    <t>LN000351</t>
  </si>
  <si>
    <t>LN000352</t>
  </si>
  <si>
    <t>LN000353</t>
  </si>
  <si>
    <t>LN000354</t>
  </si>
  <si>
    <t>LN000355</t>
  </si>
  <si>
    <t>LN000356</t>
  </si>
  <si>
    <t>LN000357</t>
  </si>
  <si>
    <t>LN000358</t>
  </si>
  <si>
    <t>LN000359</t>
  </si>
  <si>
    <t>LN000360</t>
  </si>
  <si>
    <t>LN000361</t>
  </si>
  <si>
    <t>LN000362</t>
  </si>
  <si>
    <t>LN000363</t>
  </si>
  <si>
    <t>LN000364</t>
  </si>
  <si>
    <t>LN000365</t>
  </si>
  <si>
    <t>LN000366</t>
  </si>
  <si>
    <t>LN000367</t>
  </si>
  <si>
    <t>LN000368</t>
  </si>
  <si>
    <t>LN000369</t>
  </si>
  <si>
    <t>LN000370</t>
  </si>
  <si>
    <t>LN000371</t>
  </si>
  <si>
    <t>LN000372</t>
  </si>
  <si>
    <t>LN000373</t>
  </si>
  <si>
    <t>LN000374</t>
  </si>
  <si>
    <t>LN000375</t>
  </si>
  <si>
    <t>LN000376</t>
  </si>
  <si>
    <t>LN000377</t>
  </si>
  <si>
    <t>LN000378</t>
  </si>
  <si>
    <t>LN000379</t>
  </si>
  <si>
    <t>LN000380</t>
  </si>
  <si>
    <t>LN000381</t>
  </si>
  <si>
    <t>LN000382</t>
  </si>
  <si>
    <t>LN000383</t>
  </si>
  <si>
    <t>LN000384</t>
  </si>
  <si>
    <t>LN000385</t>
  </si>
  <si>
    <t>LN000386</t>
  </si>
  <si>
    <t>LN000387</t>
  </si>
  <si>
    <t>LN000388</t>
  </si>
  <si>
    <t>LN000389</t>
  </si>
  <si>
    <t>LN000390</t>
  </si>
  <si>
    <t>LN000391</t>
  </si>
  <si>
    <t>LN000392</t>
  </si>
  <si>
    <t>LN000393</t>
  </si>
  <si>
    <t>LN000394</t>
  </si>
  <si>
    <t>LN000395</t>
  </si>
  <si>
    <t>LN000396</t>
  </si>
  <si>
    <t>LN000397</t>
  </si>
  <si>
    <t>LN000398</t>
  </si>
  <si>
    <t>LN000399</t>
  </si>
  <si>
    <t>LN000400</t>
  </si>
  <si>
    <t>LN000401</t>
  </si>
  <si>
    <t>LN000402</t>
  </si>
  <si>
    <t>LN000403</t>
  </si>
  <si>
    <t>LN000404</t>
  </si>
  <si>
    <t>LN000405</t>
  </si>
  <si>
    <t>LN000406</t>
  </si>
  <si>
    <t>LN000407</t>
  </si>
  <si>
    <t>LN000408</t>
  </si>
  <si>
    <t>LN000409</t>
  </si>
  <si>
    <t>LN000410</t>
  </si>
  <si>
    <t>LN000411</t>
  </si>
  <si>
    <t>LN000412</t>
  </si>
  <si>
    <t>LN000413</t>
  </si>
  <si>
    <t>LN000414</t>
  </si>
  <si>
    <t>LN000415</t>
  </si>
  <si>
    <t>LN000416</t>
  </si>
  <si>
    <t>LN000417</t>
  </si>
  <si>
    <t>LN000418</t>
  </si>
  <si>
    <t>LN000419</t>
  </si>
  <si>
    <t>LN000420</t>
  </si>
  <si>
    <t>LN000421</t>
  </si>
  <si>
    <t>LN000422</t>
  </si>
  <si>
    <t>LN000423</t>
  </si>
  <si>
    <t>LN000424</t>
  </si>
  <si>
    <t>LN000425</t>
  </si>
  <si>
    <t>LN000426</t>
  </si>
  <si>
    <t>LN000427</t>
  </si>
  <si>
    <t>LN000428</t>
  </si>
  <si>
    <t>LN000429</t>
  </si>
  <si>
    <t>LN000430</t>
  </si>
  <si>
    <t>LN000431</t>
  </si>
  <si>
    <t>LN000432</t>
  </si>
  <si>
    <t>LN000433</t>
  </si>
  <si>
    <t>LN000434</t>
  </si>
  <si>
    <t>LN000435</t>
  </si>
  <si>
    <t>LN000436</t>
  </si>
  <si>
    <t>LN000437</t>
  </si>
  <si>
    <t>LN000438</t>
  </si>
  <si>
    <t>LN000439</t>
  </si>
  <si>
    <t>LN000440</t>
  </si>
  <si>
    <t>LN000441</t>
  </si>
  <si>
    <t>LN000442</t>
  </si>
  <si>
    <t>LN000443</t>
  </si>
  <si>
    <t>LN000444</t>
  </si>
  <si>
    <t>LN000445</t>
  </si>
  <si>
    <t>LN000446</t>
  </si>
  <si>
    <t>LN000447</t>
  </si>
  <si>
    <t>LN000448</t>
  </si>
  <si>
    <t>LN000449</t>
  </si>
  <si>
    <t>LN000450</t>
  </si>
  <si>
    <t>LN000451</t>
  </si>
  <si>
    <t>LN000452</t>
  </si>
  <si>
    <t>LN000453</t>
  </si>
  <si>
    <t>LN000454</t>
  </si>
  <si>
    <t>LN000455</t>
  </si>
  <si>
    <t>LN000456</t>
  </si>
  <si>
    <t>LN000457</t>
  </si>
  <si>
    <t>LN000458</t>
  </si>
  <si>
    <t>LN000459</t>
  </si>
  <si>
    <t>LN000460</t>
  </si>
  <si>
    <t>LN000461</t>
  </si>
  <si>
    <t>LN000462</t>
  </si>
  <si>
    <t>LN000463</t>
  </si>
  <si>
    <t>LN000464</t>
  </si>
  <si>
    <t>LN000465</t>
  </si>
  <si>
    <t>LN000466</t>
  </si>
  <si>
    <t>LN000467</t>
  </si>
  <si>
    <t>LN000468</t>
  </si>
  <si>
    <t>LN000469</t>
  </si>
  <si>
    <t>LN000470</t>
  </si>
  <si>
    <t>LN000471</t>
  </si>
  <si>
    <t>LN000472</t>
  </si>
  <si>
    <t>LN000473</t>
  </si>
  <si>
    <t>LN000474</t>
  </si>
  <si>
    <t>LN000475</t>
  </si>
  <si>
    <t>LN000476</t>
  </si>
  <si>
    <t>LN000477</t>
  </si>
  <si>
    <t>LN000478</t>
  </si>
  <si>
    <t>LN000479</t>
  </si>
  <si>
    <t>LN000480</t>
  </si>
  <si>
    <t>LN000481</t>
  </si>
  <si>
    <t>LN000482</t>
  </si>
  <si>
    <t>LN000483</t>
  </si>
  <si>
    <t>LN000484</t>
  </si>
  <si>
    <t>LN000485</t>
  </si>
  <si>
    <t>LN000486</t>
  </si>
  <si>
    <t>LN000487</t>
  </si>
  <si>
    <t>LN000488</t>
  </si>
  <si>
    <t>LN000489</t>
  </si>
  <si>
    <t>LN000490</t>
  </si>
  <si>
    <t>LN000491</t>
  </si>
  <si>
    <t>LN000492</t>
  </si>
  <si>
    <t>LN000493</t>
  </si>
  <si>
    <t>LN000494</t>
  </si>
  <si>
    <t>LN000495</t>
  </si>
  <si>
    <t>LN000496</t>
  </si>
  <si>
    <t>LN000497</t>
  </si>
  <si>
    <t>LN000498</t>
  </si>
  <si>
    <t>LN000499</t>
  </si>
  <si>
    <t>LN000500</t>
  </si>
  <si>
    <t>LN000501</t>
  </si>
  <si>
    <t>LN000502</t>
  </si>
  <si>
    <t>PERSONAL</t>
  </si>
  <si>
    <t>LN000503</t>
  </si>
  <si>
    <t>LN000504</t>
  </si>
  <si>
    <t>LN000505</t>
  </si>
  <si>
    <t>LN000506</t>
  </si>
  <si>
    <t>LN000507</t>
  </si>
  <si>
    <t>LN000508</t>
  </si>
  <si>
    <t>LN000509</t>
  </si>
  <si>
    <t>LN000510</t>
  </si>
  <si>
    <t>LN000511</t>
  </si>
  <si>
    <t>LN000512</t>
  </si>
  <si>
    <t>LN000513</t>
  </si>
  <si>
    <t>LN000514</t>
  </si>
  <si>
    <t>LN000515</t>
  </si>
  <si>
    <t>LN000516</t>
  </si>
  <si>
    <t>LN000517</t>
  </si>
  <si>
    <t>LN000518</t>
  </si>
  <si>
    <t>LN000519</t>
  </si>
  <si>
    <t>LN000520</t>
  </si>
  <si>
    <t>LN000521</t>
  </si>
  <si>
    <t>LN000522</t>
  </si>
  <si>
    <t>LN000523</t>
  </si>
  <si>
    <t>LN000524</t>
  </si>
  <si>
    <t>LN000525</t>
  </si>
  <si>
    <t>LN000526</t>
  </si>
  <si>
    <t>LN000527</t>
  </si>
  <si>
    <t>LN000528</t>
  </si>
  <si>
    <t>LN000529</t>
  </si>
  <si>
    <t>LN000530</t>
  </si>
  <si>
    <t>LN000531</t>
  </si>
  <si>
    <t>LN000532</t>
  </si>
  <si>
    <t>LN000533</t>
  </si>
  <si>
    <t>LN000534</t>
  </si>
  <si>
    <t>LN000535</t>
  </si>
  <si>
    <t>LN000536</t>
  </si>
  <si>
    <t>LN000537</t>
  </si>
  <si>
    <t>LN000538</t>
  </si>
  <si>
    <t>LN000539</t>
  </si>
  <si>
    <t>LN000540</t>
  </si>
  <si>
    <t>LN000541</t>
  </si>
  <si>
    <t>LN000542</t>
  </si>
  <si>
    <t>LN000543</t>
  </si>
  <si>
    <t>LN000544</t>
  </si>
  <si>
    <t>LN000545</t>
  </si>
  <si>
    <t>LN000546</t>
  </si>
  <si>
    <t>LN000547</t>
  </si>
  <si>
    <t>LN000548</t>
  </si>
  <si>
    <t>LN000549</t>
  </si>
  <si>
    <t>LN000550</t>
  </si>
  <si>
    <t>LN000551</t>
  </si>
  <si>
    <t>LN000552</t>
  </si>
  <si>
    <t>LN000553</t>
  </si>
  <si>
    <t>LN000554</t>
  </si>
  <si>
    <t>LN000555</t>
  </si>
  <si>
    <t>LN000556</t>
  </si>
  <si>
    <t>LN000557</t>
  </si>
  <si>
    <t>LN000558</t>
  </si>
  <si>
    <t>LN000559</t>
  </si>
  <si>
    <t>LN000560</t>
  </si>
  <si>
    <t>LN000561</t>
  </si>
  <si>
    <t>LN000562</t>
  </si>
  <si>
    <t>LN000563</t>
  </si>
  <si>
    <t>LN000564</t>
  </si>
  <si>
    <t>LN000565</t>
  </si>
  <si>
    <t>LN000566</t>
  </si>
  <si>
    <t>LN000567</t>
  </si>
  <si>
    <t>LN000568</t>
  </si>
  <si>
    <t>LN000569</t>
  </si>
  <si>
    <t>LN000570</t>
  </si>
  <si>
    <t>LN000571</t>
  </si>
  <si>
    <t>LN000572</t>
  </si>
  <si>
    <t>LN000573</t>
  </si>
  <si>
    <t>LN000574</t>
  </si>
  <si>
    <t>LN000575</t>
  </si>
  <si>
    <t>LN000576</t>
  </si>
  <si>
    <t>LN000577</t>
  </si>
  <si>
    <t>LN000578</t>
  </si>
  <si>
    <t>LN000579</t>
  </si>
  <si>
    <t>LN000580</t>
  </si>
  <si>
    <t>LN000581</t>
  </si>
  <si>
    <t>LN000582</t>
  </si>
  <si>
    <t>LN000583</t>
  </si>
  <si>
    <t>LN000584</t>
  </si>
  <si>
    <t>LN000585</t>
  </si>
  <si>
    <t>LN000586</t>
  </si>
  <si>
    <t>LN000587</t>
  </si>
  <si>
    <t>LN000588</t>
  </si>
  <si>
    <t>LN000589</t>
  </si>
  <si>
    <t>LN000590</t>
  </si>
  <si>
    <t>LN000591</t>
  </si>
  <si>
    <t>LN000592</t>
  </si>
  <si>
    <t>LN000593</t>
  </si>
  <si>
    <t>LN000594</t>
  </si>
  <si>
    <t>LN000595</t>
  </si>
  <si>
    <t>LN000596</t>
  </si>
  <si>
    <t>LN000597</t>
  </si>
  <si>
    <t>LN000598</t>
  </si>
  <si>
    <t>LN000599</t>
  </si>
  <si>
    <t>LN000600</t>
  </si>
  <si>
    <t>LN000601</t>
  </si>
  <si>
    <t>LN000602</t>
  </si>
  <si>
    <t>LN000603</t>
  </si>
  <si>
    <t>LN000604</t>
  </si>
  <si>
    <t>LN000605</t>
  </si>
  <si>
    <t>LN000606</t>
  </si>
  <si>
    <t>LN000607</t>
  </si>
  <si>
    <t>LN000608</t>
  </si>
  <si>
    <t>LN000609</t>
  </si>
  <si>
    <t>LN000610</t>
  </si>
  <si>
    <t>LN000611</t>
  </si>
  <si>
    <t>LN000612</t>
  </si>
  <si>
    <t>LN000613</t>
  </si>
  <si>
    <t>LN000614</t>
  </si>
  <si>
    <t>LN000615</t>
  </si>
  <si>
    <t>LN000616</t>
  </si>
  <si>
    <t>LN000617</t>
  </si>
  <si>
    <t>LN000618</t>
  </si>
  <si>
    <t>LN000619</t>
  </si>
  <si>
    <t>LN000620</t>
  </si>
  <si>
    <t>LN000621</t>
  </si>
  <si>
    <t>LN000622</t>
  </si>
  <si>
    <t>LN000623</t>
  </si>
  <si>
    <t>LN000624</t>
  </si>
  <si>
    <t>LN000625</t>
  </si>
  <si>
    <t>LN000626</t>
  </si>
  <si>
    <t>LN000627</t>
  </si>
  <si>
    <t>LN000628</t>
  </si>
  <si>
    <t>LN000629</t>
  </si>
  <si>
    <t>LN000630</t>
  </si>
  <si>
    <t>LN000631</t>
  </si>
  <si>
    <t>LN000632</t>
  </si>
  <si>
    <t>LN000633</t>
  </si>
  <si>
    <t>LN000634</t>
  </si>
  <si>
    <t>LN000635</t>
  </si>
  <si>
    <t>LN000636</t>
  </si>
  <si>
    <t>LN000637</t>
  </si>
  <si>
    <t>LN000638</t>
  </si>
  <si>
    <t>LN000639</t>
  </si>
  <si>
    <t>LN000640</t>
  </si>
  <si>
    <t>LN000641</t>
  </si>
  <si>
    <t>LN000642</t>
  </si>
  <si>
    <t>LN000643</t>
  </si>
  <si>
    <t>LN000644</t>
  </si>
  <si>
    <t>LN000645</t>
  </si>
  <si>
    <t>LN000646</t>
  </si>
  <si>
    <t>LN000647</t>
  </si>
  <si>
    <t>LN000648</t>
  </si>
  <si>
    <t>LN000649</t>
  </si>
  <si>
    <t>LN000650</t>
  </si>
  <si>
    <t>LN000651</t>
  </si>
  <si>
    <t>LN000652</t>
  </si>
  <si>
    <t>LN000653</t>
  </si>
  <si>
    <t>LN000654</t>
  </si>
  <si>
    <t>LN000655</t>
  </si>
  <si>
    <t>LN000656</t>
  </si>
  <si>
    <t>LN000657</t>
  </si>
  <si>
    <t>LN000658</t>
  </si>
  <si>
    <t>LN000659</t>
  </si>
  <si>
    <t>LN000660</t>
  </si>
  <si>
    <t>LN000661</t>
  </si>
  <si>
    <t>LN000662</t>
  </si>
  <si>
    <t>LN000663</t>
  </si>
  <si>
    <t>LN000664</t>
  </si>
  <si>
    <t>LN000665</t>
  </si>
  <si>
    <t>LN000666</t>
  </si>
  <si>
    <t>LN000667</t>
  </si>
  <si>
    <t>LN000668</t>
  </si>
  <si>
    <t>LN000669</t>
  </si>
  <si>
    <t>LN000670</t>
  </si>
  <si>
    <t>LN000671</t>
  </si>
  <si>
    <t>LN000672</t>
  </si>
  <si>
    <t>LN000673</t>
  </si>
  <si>
    <t>LN000674</t>
  </si>
  <si>
    <t>LN000675</t>
  </si>
  <si>
    <t>LN000676</t>
  </si>
  <si>
    <t>LN000677</t>
  </si>
  <si>
    <t>LN000678</t>
  </si>
  <si>
    <t>LN000679</t>
  </si>
  <si>
    <t>LN000680</t>
  </si>
  <si>
    <t>LN000681</t>
  </si>
  <si>
    <t>LN000682</t>
  </si>
  <si>
    <t>LN000683</t>
  </si>
  <si>
    <t>LN000684</t>
  </si>
  <si>
    <t>LN000685</t>
  </si>
  <si>
    <t>LN000686</t>
  </si>
  <si>
    <t>LN000687</t>
  </si>
  <si>
    <t>LN000688</t>
  </si>
  <si>
    <t>LN000689</t>
  </si>
  <si>
    <t>LN000690</t>
  </si>
  <si>
    <t>LN000691</t>
  </si>
  <si>
    <t>LN000692</t>
  </si>
  <si>
    <t>LN000693</t>
  </si>
  <si>
    <t>LN000694</t>
  </si>
  <si>
    <t>LN000695</t>
  </si>
  <si>
    <t>LN000696</t>
  </si>
  <si>
    <t>LN000697</t>
  </si>
  <si>
    <t>LN000698</t>
  </si>
  <si>
    <t>LN000699</t>
  </si>
  <si>
    <t>LN000700</t>
  </si>
  <si>
    <t>LN000701</t>
  </si>
  <si>
    <t>LN000702</t>
  </si>
  <si>
    <t>LN000703</t>
  </si>
  <si>
    <t>LN000704</t>
  </si>
  <si>
    <t>LN000705</t>
  </si>
  <si>
    <t>LN000706</t>
  </si>
  <si>
    <t>LN000707</t>
  </si>
  <si>
    <t>LN000708</t>
  </si>
  <si>
    <t>LN000709</t>
  </si>
  <si>
    <t>LN000710</t>
  </si>
  <si>
    <t>LN000711</t>
  </si>
  <si>
    <t>LN000712</t>
  </si>
  <si>
    <t>LN000713</t>
  </si>
  <si>
    <t>LN000714</t>
  </si>
  <si>
    <t>LN000715</t>
  </si>
  <si>
    <t>LN000716</t>
  </si>
  <si>
    <t>LN000717</t>
  </si>
  <si>
    <t>LN000718</t>
  </si>
  <si>
    <t>LN000719</t>
  </si>
  <si>
    <t>LN000720</t>
  </si>
  <si>
    <t>LN000721</t>
  </si>
  <si>
    <t>LN000722</t>
  </si>
  <si>
    <t>LN000723</t>
  </si>
  <si>
    <t>LN000724</t>
  </si>
  <si>
    <t>LN000725</t>
  </si>
  <si>
    <t>LN000726</t>
  </si>
  <si>
    <t>LN000727</t>
  </si>
  <si>
    <t>LN000728</t>
  </si>
  <si>
    <t>LN000729</t>
  </si>
  <si>
    <t>LN000730</t>
  </si>
  <si>
    <t>LN000731</t>
  </si>
  <si>
    <t>LN000732</t>
  </si>
  <si>
    <t>LN000733</t>
  </si>
  <si>
    <t>LN000734</t>
  </si>
  <si>
    <t>LN000735</t>
  </si>
  <si>
    <t>LN000736</t>
  </si>
  <si>
    <t>LN000737</t>
  </si>
  <si>
    <t>LN000738</t>
  </si>
  <si>
    <t>LN000739</t>
  </si>
  <si>
    <t>LN000740</t>
  </si>
  <si>
    <t>LN000741</t>
  </si>
  <si>
    <t>LN000742</t>
  </si>
  <si>
    <t>LN000743</t>
  </si>
  <si>
    <t>LN000744</t>
  </si>
  <si>
    <t>LN000745</t>
  </si>
  <si>
    <t>LN000746</t>
  </si>
  <si>
    <t>LN000747</t>
  </si>
  <si>
    <t>LN000748</t>
  </si>
  <si>
    <t>LN000749</t>
  </si>
  <si>
    <t>LN000750</t>
  </si>
  <si>
    <t>LN000751</t>
  </si>
  <si>
    <t>LN000752</t>
  </si>
  <si>
    <t>LN000753</t>
  </si>
  <si>
    <t>LN000754</t>
  </si>
  <si>
    <t>LN000755</t>
  </si>
  <si>
    <t>LN000756</t>
  </si>
  <si>
    <t>LN000757</t>
  </si>
  <si>
    <t>LN000758</t>
  </si>
  <si>
    <t>LN000759</t>
  </si>
  <si>
    <t>LN000760</t>
  </si>
  <si>
    <t>LN000761</t>
  </si>
  <si>
    <t>LN000762</t>
  </si>
  <si>
    <t>LN000763</t>
  </si>
  <si>
    <t>LN000764</t>
  </si>
  <si>
    <t>LN000765</t>
  </si>
  <si>
    <t>LN000766</t>
  </si>
  <si>
    <t>LN000767</t>
  </si>
  <si>
    <t>LN000768</t>
  </si>
  <si>
    <t>LN000769</t>
  </si>
  <si>
    <t>LN000770</t>
  </si>
  <si>
    <t>LN000771</t>
  </si>
  <si>
    <t>LN000772</t>
  </si>
  <si>
    <t>LN000773</t>
  </si>
  <si>
    <t>LN000774</t>
  </si>
  <si>
    <t>LN000775</t>
  </si>
  <si>
    <t>LN000776</t>
  </si>
  <si>
    <t>LN000777</t>
  </si>
  <si>
    <t>LN000778</t>
  </si>
  <si>
    <t>LN000779</t>
  </si>
  <si>
    <t>LN000780</t>
  </si>
  <si>
    <t>LN000781</t>
  </si>
  <si>
    <t>LN000782</t>
  </si>
  <si>
    <t>LN000783</t>
  </si>
  <si>
    <t>LN000784</t>
  </si>
  <si>
    <t>LN000785</t>
  </si>
  <si>
    <t>LN000786</t>
  </si>
  <si>
    <t>LN000787</t>
  </si>
  <si>
    <t>LN000788</t>
  </si>
  <si>
    <t>LN000789</t>
  </si>
  <si>
    <t>LN000790</t>
  </si>
  <si>
    <t>LN000791</t>
  </si>
  <si>
    <t>LN000792</t>
  </si>
  <si>
    <t>LN000793</t>
  </si>
  <si>
    <t>LN000794</t>
  </si>
  <si>
    <t>LN000795</t>
  </si>
  <si>
    <t>LN000796</t>
  </si>
  <si>
    <t>LN000797</t>
  </si>
  <si>
    <t>LN000798</t>
  </si>
  <si>
    <t>LN000799</t>
  </si>
  <si>
    <t>LN000800</t>
  </si>
  <si>
    <t>LN000801</t>
  </si>
  <si>
    <t>LN000802</t>
  </si>
  <si>
    <t>LN000803</t>
  </si>
  <si>
    <t>LN000804</t>
  </si>
  <si>
    <t>LN000805</t>
  </si>
  <si>
    <t>LN000806</t>
  </si>
  <si>
    <t>LN000807</t>
  </si>
  <si>
    <t>LN000808</t>
  </si>
  <si>
    <t>LN000809</t>
  </si>
  <si>
    <t>LN000810</t>
  </si>
  <si>
    <t>LN000811</t>
  </si>
  <si>
    <t>LN000812</t>
  </si>
  <si>
    <t>LN000813</t>
  </si>
  <si>
    <t>LN000814</t>
  </si>
  <si>
    <t>LN000815</t>
  </si>
  <si>
    <t>LN000816</t>
  </si>
  <si>
    <t>LN000817</t>
  </si>
  <si>
    <t>LN000818</t>
  </si>
  <si>
    <t>LN000819</t>
  </si>
  <si>
    <t>LN000820</t>
  </si>
  <si>
    <t>LN000821</t>
  </si>
  <si>
    <t>LN000822</t>
  </si>
  <si>
    <t>LN000823</t>
  </si>
  <si>
    <t>LN000824</t>
  </si>
  <si>
    <t>LN000825</t>
  </si>
  <si>
    <t>LN000826</t>
  </si>
  <si>
    <t>LN000827</t>
  </si>
  <si>
    <t>LN000828</t>
  </si>
  <si>
    <t>LN000829</t>
  </si>
  <si>
    <t>LN000830</t>
  </si>
  <si>
    <t>LN000831</t>
  </si>
  <si>
    <t>LN000832</t>
  </si>
  <si>
    <t>LN000833</t>
  </si>
  <si>
    <t>LN000834</t>
  </si>
  <si>
    <t>LN000835</t>
  </si>
  <si>
    <t>CAR</t>
  </si>
  <si>
    <t>LN000836</t>
  </si>
  <si>
    <t>LN000837</t>
  </si>
  <si>
    <t>LN000838</t>
  </si>
  <si>
    <t>LN000839</t>
  </si>
  <si>
    <t>LN000840</t>
  </si>
  <si>
    <t>LN000841</t>
  </si>
  <si>
    <t>LN000842</t>
  </si>
  <si>
    <t>LN000843</t>
  </si>
  <si>
    <t>LN000844</t>
  </si>
  <si>
    <t>LN000845</t>
  </si>
  <si>
    <t>LN000846</t>
  </si>
  <si>
    <t>LN000847</t>
  </si>
  <si>
    <t>LN000848</t>
  </si>
  <si>
    <t>LN000849</t>
  </si>
  <si>
    <t>LN000850</t>
  </si>
  <si>
    <t>LN000851</t>
  </si>
  <si>
    <t>LN000852</t>
  </si>
  <si>
    <t>LN000853</t>
  </si>
  <si>
    <t>LN000854</t>
  </si>
  <si>
    <t>LN000855</t>
  </si>
  <si>
    <t>LN000856</t>
  </si>
  <si>
    <t>LN000857</t>
  </si>
  <si>
    <t>LN000858</t>
  </si>
  <si>
    <t>LN000859</t>
  </si>
  <si>
    <t>LN000860</t>
  </si>
  <si>
    <t>LN000861</t>
  </si>
  <si>
    <t>LN000862</t>
  </si>
  <si>
    <t>LN000863</t>
  </si>
  <si>
    <t>LN000864</t>
  </si>
  <si>
    <t>LN000865</t>
  </si>
  <si>
    <t>LN000866</t>
  </si>
  <si>
    <t>LN000867</t>
  </si>
  <si>
    <t>LN000868</t>
  </si>
  <si>
    <t>LN000869</t>
  </si>
  <si>
    <t>LN000870</t>
  </si>
  <si>
    <t>LN000871</t>
  </si>
  <si>
    <t>LN000872</t>
  </si>
  <si>
    <t>LN000873</t>
  </si>
  <si>
    <t>LN000874</t>
  </si>
  <si>
    <t>LN000875</t>
  </si>
  <si>
    <t>LN000876</t>
  </si>
  <si>
    <t>LN000877</t>
  </si>
  <si>
    <t>LN000878</t>
  </si>
  <si>
    <t>LN000879</t>
  </si>
  <si>
    <t>LN000880</t>
  </si>
  <si>
    <t>LN000881</t>
  </si>
  <si>
    <t>LN000882</t>
  </si>
  <si>
    <t>LN000883</t>
  </si>
  <si>
    <t>LN000884</t>
  </si>
  <si>
    <t>LN000885</t>
  </si>
  <si>
    <t>LN000886</t>
  </si>
  <si>
    <t>LN000887</t>
  </si>
  <si>
    <t>LN000888</t>
  </si>
  <si>
    <t>LN000889</t>
  </si>
  <si>
    <t>LN000890</t>
  </si>
  <si>
    <t>LN000891</t>
  </si>
  <si>
    <t>LN000892</t>
  </si>
  <si>
    <t>LN000893</t>
  </si>
  <si>
    <t>LN000894</t>
  </si>
  <si>
    <t>LN000895</t>
  </si>
  <si>
    <t>LN000896</t>
  </si>
  <si>
    <t>LN000897</t>
  </si>
  <si>
    <t>LN000898</t>
  </si>
  <si>
    <t>LN000899</t>
  </si>
  <si>
    <t>LN000900</t>
  </si>
  <si>
    <t>LN000901</t>
  </si>
  <si>
    <t>LN000902</t>
  </si>
  <si>
    <t>LN000903</t>
  </si>
  <si>
    <t>LN000904</t>
  </si>
  <si>
    <t>LN000905</t>
  </si>
  <si>
    <t>LN000906</t>
  </si>
  <si>
    <t>LN000907</t>
  </si>
  <si>
    <t>LN000908</t>
  </si>
  <si>
    <t>LN000909</t>
  </si>
  <si>
    <t>LN000910</t>
  </si>
  <si>
    <t>LN000911</t>
  </si>
  <si>
    <t>LN000912</t>
  </si>
  <si>
    <t>LN000913</t>
  </si>
  <si>
    <t>LN000914</t>
  </si>
  <si>
    <t>LN000915</t>
  </si>
  <si>
    <t>LN000916</t>
  </si>
  <si>
    <t>LN000917</t>
  </si>
  <si>
    <t>LN000918</t>
  </si>
  <si>
    <t>LN000919</t>
  </si>
  <si>
    <t>LN000920</t>
  </si>
  <si>
    <t>LN000921</t>
  </si>
  <si>
    <t>LN000922</t>
  </si>
  <si>
    <t>LN000923</t>
  </si>
  <si>
    <t>LN000924</t>
  </si>
  <si>
    <t>LN000925</t>
  </si>
  <si>
    <t>LN000926</t>
  </si>
  <si>
    <t>LN000927</t>
  </si>
  <si>
    <t>LN000928</t>
  </si>
  <si>
    <t>LN000929</t>
  </si>
  <si>
    <t>LN000930</t>
  </si>
  <si>
    <t>LN000931</t>
  </si>
  <si>
    <t>LN000932</t>
  </si>
  <si>
    <t>LN000933</t>
  </si>
  <si>
    <t>LN000934</t>
  </si>
  <si>
    <t>LN000935</t>
  </si>
  <si>
    <t>LN000936</t>
  </si>
  <si>
    <t>LN000937</t>
  </si>
  <si>
    <t>LN000938</t>
  </si>
  <si>
    <t>LN000939</t>
  </si>
  <si>
    <t>LN000940</t>
  </si>
  <si>
    <t>LN000941</t>
  </si>
  <si>
    <t>LN000942</t>
  </si>
  <si>
    <t>LN000943</t>
  </si>
  <si>
    <t>LN000944</t>
  </si>
  <si>
    <t>LN000945</t>
  </si>
  <si>
    <t>LN000946</t>
  </si>
  <si>
    <t>LN000947</t>
  </si>
  <si>
    <t>LN000948</t>
  </si>
  <si>
    <t>LN000949</t>
  </si>
  <si>
    <t>LN000950</t>
  </si>
  <si>
    <t>LN000951</t>
  </si>
  <si>
    <t>LN000952</t>
  </si>
  <si>
    <t>LN000953</t>
  </si>
  <si>
    <t>LN000954</t>
  </si>
  <si>
    <t>LN000955</t>
  </si>
  <si>
    <t>LN000956</t>
  </si>
  <si>
    <t>LN000957</t>
  </si>
  <si>
    <t>LN000958</t>
  </si>
  <si>
    <t>LN000959</t>
  </si>
  <si>
    <t>LN000960</t>
  </si>
  <si>
    <t>LN000961</t>
  </si>
  <si>
    <t>LN000962</t>
  </si>
  <si>
    <t>LN000963</t>
  </si>
  <si>
    <t>LN000964</t>
  </si>
  <si>
    <t>LN000965</t>
  </si>
  <si>
    <t>LN000966</t>
  </si>
  <si>
    <t>LN000967</t>
  </si>
  <si>
    <t>LN000968</t>
  </si>
  <si>
    <t>LN000969</t>
  </si>
  <si>
    <t>LN000970</t>
  </si>
  <si>
    <t>LN000971</t>
  </si>
  <si>
    <t>LN000972</t>
  </si>
  <si>
    <t>LN000973</t>
  </si>
  <si>
    <t>LN000974</t>
  </si>
  <si>
    <t>LN000975</t>
  </si>
  <si>
    <t>LN000976</t>
  </si>
  <si>
    <t>LN000977</t>
  </si>
  <si>
    <t>LN000978</t>
  </si>
  <si>
    <t>LN000979</t>
  </si>
  <si>
    <t>LN000980</t>
  </si>
  <si>
    <t>LN000981</t>
  </si>
  <si>
    <t>LN000982</t>
  </si>
  <si>
    <t>LN000983</t>
  </si>
  <si>
    <t>LN000984</t>
  </si>
  <si>
    <t>LN000985</t>
  </si>
  <si>
    <t>LN000986</t>
  </si>
  <si>
    <t>LN000987</t>
  </si>
  <si>
    <t>LN000988</t>
  </si>
  <si>
    <t>LN000989</t>
  </si>
  <si>
    <t>LN000990</t>
  </si>
  <si>
    <t>LN000991</t>
  </si>
  <si>
    <t>LN000992</t>
  </si>
  <si>
    <t>LN000993</t>
  </si>
  <si>
    <t>LN000994</t>
  </si>
  <si>
    <t>LN000995</t>
  </si>
  <si>
    <t>LN000996</t>
  </si>
  <si>
    <t>LN000997</t>
  </si>
  <si>
    <t>LN000998</t>
  </si>
  <si>
    <t>LN000999</t>
  </si>
  <si>
    <t>LN001000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</si>
</sst>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₹-449]#,##0;[$₹-449]\-#,##0"/>
    <numFmt numFmtId="177" formatCode="dd/mm/yyyy;@"/>
    <numFmt numFmtId="178" formatCode="[$₹-449]#,##0_);\([$₹-449]#,##0\)"/>
    <numFmt numFmtId="179" formatCode="0.0_ "/>
    <numFmt numFmtId="180" formatCode="0.0%"/>
    <numFmt numFmtId="181" formatCode="[$₹-44A]#,##0;[$₹-44A]\-#,##0"/>
    <numFmt numFmtId="182" formatCode="0.000_ "/>
    <numFmt numFmtId="183" formatCode="0.000%"/>
    <numFmt numFmtId="184" formatCode="[$₹-447]#,##0.00;[$₹-447]\-#,##0.00"/>
    <numFmt numFmtId="185" formatCode="[$₹-449]#,##0.00;[$₹-449]\-#,##0.00"/>
    <numFmt numFmtId="186" formatCode="[$₹-446]#,##0;[$₹-446]\-#,##0"/>
  </numFmts>
  <fonts count="2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 Light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medium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0">
    <xf numFmtId="0" fontId="0" fillId="0" borderId="0" xfId="0"/>
    <xf numFmtId="176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0" fontId="0" fillId="0" borderId="2" xfId="0" applyFont="1" applyFill="1" applyBorder="1" applyAlignment="1"/>
    <xf numFmtId="49" fontId="0" fillId="0" borderId="0" xfId="0" applyNumberFormat="1" applyFont="1" applyFill="1" applyAlignment="1"/>
    <xf numFmtId="0" fontId="0" fillId="0" borderId="0" xfId="0" applyFont="1" applyFill="1" applyAlignment="1"/>
    <xf numFmtId="176" fontId="1" fillId="2" borderId="1" xfId="0" applyNumberFormat="1" applyFont="1" applyFill="1" applyBorder="1" applyAlignment="1">
      <alignment horizontal="center" vertical="top"/>
    </xf>
    <xf numFmtId="176" fontId="0" fillId="0" borderId="0" xfId="0" applyNumberFormat="1" applyFont="1" applyFill="1" applyAlignment="1"/>
    <xf numFmtId="0" fontId="0" fillId="0" borderId="3" xfId="0" applyFont="1" applyFill="1" applyBorder="1" applyAlignment="1"/>
    <xf numFmtId="49" fontId="0" fillId="0" borderId="4" xfId="0" applyNumberFormat="1" applyFont="1" applyFill="1" applyBorder="1" applyAlignment="1"/>
    <xf numFmtId="0" fontId="0" fillId="0" borderId="4" xfId="0" applyFont="1" applyFill="1" applyBorder="1" applyAlignment="1"/>
    <xf numFmtId="176" fontId="0" fillId="0" borderId="4" xfId="0" applyNumberFormat="1" applyFont="1" applyFill="1" applyBorder="1" applyAlignment="1"/>
    <xf numFmtId="0" fontId="0" fillId="0" borderId="0" xfId="0" applyAlignment="1">
      <alignment horizontal="center" vertical="center"/>
    </xf>
    <xf numFmtId="177" fontId="0" fillId="0" borderId="0" xfId="2" applyNumberFormat="1" applyAlignment="1">
      <alignment horizontal="center" vertical="center"/>
    </xf>
    <xf numFmtId="178" fontId="0" fillId="0" borderId="0" xfId="2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77" fontId="2" fillId="0" borderId="1" xfId="2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177" fontId="0" fillId="0" borderId="0" xfId="2" applyNumberFormat="1" applyFont="1" applyFill="1" applyAlignment="1">
      <alignment horizontal="center" vertical="center"/>
    </xf>
    <xf numFmtId="177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 wrapText="1"/>
    </xf>
    <xf numFmtId="178" fontId="2" fillId="0" borderId="1" xfId="2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8" fontId="0" fillId="0" borderId="0" xfId="2" applyNumberFormat="1" applyFont="1" applyFill="1" applyAlignment="1">
      <alignment horizontal="center" vertical="center"/>
    </xf>
    <xf numFmtId="178" fontId="0" fillId="0" borderId="0" xfId="0" applyNumberFormat="1" applyFont="1" applyFill="1" applyAlignment="1">
      <alignment horizontal="center" vertical="center"/>
    </xf>
    <xf numFmtId="179" fontId="0" fillId="0" borderId="0" xfId="0" applyNumberFormat="1" applyFont="1" applyFill="1" applyAlignment="1">
      <alignment horizontal="center" vertical="center"/>
    </xf>
    <xf numFmtId="9" fontId="2" fillId="0" borderId="0" xfId="3" applyFont="1" applyFill="1" applyAlignment="1">
      <alignment horizontal="center" vertical="center" wrapText="1"/>
    </xf>
    <xf numFmtId="180" fontId="0" fillId="0" borderId="0" xfId="3" applyNumberFormat="1" applyFont="1" applyFill="1" applyAlignment="1">
      <alignment horizontal="center" vertical="center"/>
    </xf>
    <xf numFmtId="9" fontId="0" fillId="0" borderId="0" xfId="3" applyFont="1" applyFill="1" applyAlignment="1">
      <alignment horizontal="center" vertical="center"/>
    </xf>
    <xf numFmtId="9" fontId="3" fillId="0" borderId="0" xfId="3" applyFont="1" applyFill="1" applyAlignment="1">
      <alignment horizontal="center" vertical="center"/>
    </xf>
    <xf numFmtId="9" fontId="0" fillId="0" borderId="0" xfId="3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8" fontId="3" fillId="0" borderId="0" xfId="2" applyNumberFormat="1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179" fontId="3" fillId="0" borderId="0" xfId="0" applyNumberFormat="1" applyFont="1" applyFill="1" applyAlignment="1">
      <alignment horizontal="center" vertical="center"/>
    </xf>
    <xf numFmtId="181" fontId="3" fillId="0" borderId="0" xfId="2" applyNumberFormat="1" applyFont="1" applyFill="1" applyAlignment="1">
      <alignment horizontal="center" vertical="center"/>
    </xf>
    <xf numFmtId="0" fontId="0" fillId="0" borderId="0" xfId="3" applyNumberFormat="1"/>
    <xf numFmtId="1" fontId="0" fillId="0" borderId="0" xfId="0" applyNumberFormat="1"/>
    <xf numFmtId="182" fontId="0" fillId="0" borderId="0" xfId="3" applyNumberFormat="1"/>
    <xf numFmtId="0" fontId="0" fillId="0" borderId="0" xfId="0" applyFont="1"/>
    <xf numFmtId="176" fontId="0" fillId="0" borderId="0" xfId="2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81" fontId="0" fillId="0" borderId="0" xfId="2" applyNumberFormat="1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83" fontId="0" fillId="0" borderId="0" xfId="3" applyNumberFormat="1" applyAlignment="1">
      <alignment horizontal="center" vertical="center"/>
    </xf>
    <xf numFmtId="183" fontId="0" fillId="0" borderId="0" xfId="0" applyNumberFormat="1" applyAlignment="1">
      <alignment horizontal="center" vertical="center" wrapText="1"/>
    </xf>
    <xf numFmtId="18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3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3" applyNumberFormat="1" applyFont="1" applyAlignment="1">
      <alignment horizontal="center" vertical="center"/>
    </xf>
    <xf numFmtId="10" fontId="0" fillId="0" borderId="0" xfId="3" applyNumberFormat="1"/>
    <xf numFmtId="0" fontId="0" fillId="0" borderId="0" xfId="3" applyNumberFormat="1" applyAlignment="1">
      <alignment horizontal="center"/>
    </xf>
    <xf numFmtId="10" fontId="0" fillId="0" borderId="0" xfId="3" applyNumberFormat="1" applyAlignment="1"/>
    <xf numFmtId="10" fontId="0" fillId="0" borderId="0" xfId="3" applyNumberFormat="1" applyAlignment="1">
      <alignment horizontal="center" vertical="center"/>
    </xf>
    <xf numFmtId="10" fontId="0" fillId="0" borderId="0" xfId="3" applyNumberFormat="1" applyAlignment="1">
      <alignment horizontal="center" vertical="center" wrapText="1"/>
    </xf>
    <xf numFmtId="10" fontId="0" fillId="0" borderId="0" xfId="3" applyNumberFormat="1" applyFont="1" applyAlignment="1">
      <alignment horizontal="center" vertical="center"/>
    </xf>
    <xf numFmtId="0" fontId="0" fillId="0" borderId="0" xfId="3" applyNumberFormat="1" applyAlignment="1">
      <alignment horizontal="center" vertical="center" wrapText="1"/>
    </xf>
    <xf numFmtId="10" fontId="0" fillId="0" borderId="0" xfId="3" applyNumberFormat="1" applyAlignment="1">
      <alignment vertical="center"/>
    </xf>
    <xf numFmtId="0" fontId="0" fillId="0" borderId="0" xfId="3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84" fontId="0" fillId="0" borderId="0" xfId="2" applyNumberFormat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80" fontId="0" fillId="0" borderId="0" xfId="3" applyNumberFormat="1" applyAlignment="1">
      <alignment horizontal="center" vertical="center"/>
    </xf>
    <xf numFmtId="49" fontId="4" fillId="0" borderId="5" xfId="0" applyNumberFormat="1" applyFont="1" applyFill="1" applyBorder="1" applyAlignment="1" applyProtection="1">
      <alignment horizontal="center" vertical="center"/>
    </xf>
    <xf numFmtId="177" fontId="2" fillId="0" borderId="5" xfId="2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vertical="center"/>
    </xf>
    <xf numFmtId="184" fontId="2" fillId="0" borderId="5" xfId="2" applyNumberFormat="1" applyFont="1" applyFill="1" applyBorder="1" applyAlignment="1" applyProtection="1">
      <alignment horizontal="center" vertical="center"/>
    </xf>
    <xf numFmtId="49" fontId="4" fillId="3" borderId="6" xfId="0" applyNumberFormat="1" applyFont="1" applyFill="1" applyBorder="1" applyAlignment="1" applyProtection="1">
      <alignment horizontal="center" vertical="center"/>
    </xf>
    <xf numFmtId="177" fontId="0" fillId="3" borderId="6" xfId="0" applyNumberFormat="1" applyFont="1" applyFill="1" applyBorder="1" applyAlignment="1" applyProtection="1">
      <alignment horizontal="center" vertical="center"/>
    </xf>
    <xf numFmtId="0" fontId="0" fillId="3" borderId="6" xfId="0" applyNumberFormat="1" applyFont="1" applyFill="1" applyBorder="1" applyAlignment="1" applyProtection="1">
      <alignment horizontal="center" vertical="center"/>
    </xf>
    <xf numFmtId="184" fontId="0" fillId="3" borderId="6" xfId="0" applyNumberFormat="1" applyFont="1" applyFill="1" applyBorder="1" applyAlignment="1" applyProtection="1">
      <alignment horizontal="center" vertical="center"/>
    </xf>
    <xf numFmtId="49" fontId="4" fillId="0" borderId="7" xfId="0" applyNumberFormat="1" applyFont="1" applyFill="1" applyBorder="1" applyAlignment="1" applyProtection="1">
      <alignment horizontal="center" vertical="center"/>
    </xf>
    <xf numFmtId="177" fontId="0" fillId="0" borderId="7" xfId="0" applyNumberFormat="1" applyFont="1" applyFill="1" applyBorder="1" applyAlignment="1" applyProtection="1">
      <alignment horizontal="center" vertical="center"/>
    </xf>
    <xf numFmtId="0" fontId="0" fillId="0" borderId="7" xfId="0" applyNumberFormat="1" applyFont="1" applyFill="1" applyBorder="1" applyAlignment="1" applyProtection="1">
      <alignment horizontal="center" vertical="center"/>
    </xf>
    <xf numFmtId="184" fontId="0" fillId="0" borderId="7" xfId="0" applyNumberFormat="1" applyFont="1" applyFill="1" applyBorder="1" applyAlignment="1" applyProtection="1">
      <alignment horizontal="center" vertical="center"/>
    </xf>
    <xf numFmtId="49" fontId="4" fillId="3" borderId="7" xfId="0" applyNumberFormat="1" applyFont="1" applyFill="1" applyBorder="1" applyAlignment="1" applyProtection="1">
      <alignment horizontal="center" vertical="center"/>
    </xf>
    <xf numFmtId="177" fontId="0" fillId="3" borderId="7" xfId="0" applyNumberFormat="1" applyFont="1" applyFill="1" applyBorder="1" applyAlignment="1" applyProtection="1">
      <alignment horizontal="center" vertical="center"/>
    </xf>
    <xf numFmtId="0" fontId="0" fillId="3" borderId="7" xfId="0" applyNumberFormat="1" applyFont="1" applyFill="1" applyBorder="1" applyAlignment="1" applyProtection="1">
      <alignment horizontal="center" vertical="center"/>
    </xf>
    <xf numFmtId="184" fontId="0" fillId="3" borderId="7" xfId="0" applyNumberFormat="1" applyFont="1" applyFill="1" applyBorder="1" applyAlignment="1" applyProtection="1">
      <alignment horizontal="center" vertical="center"/>
    </xf>
    <xf numFmtId="185" fontId="2" fillId="0" borderId="5" xfId="0" applyNumberFormat="1" applyFont="1" applyFill="1" applyBorder="1" applyAlignment="1" applyProtection="1">
      <alignment horizontal="center" vertical="center"/>
    </xf>
    <xf numFmtId="180" fontId="2" fillId="0" borderId="5" xfId="3" applyNumberFormat="1" applyFont="1" applyFill="1" applyBorder="1" applyAlignment="1" applyProtection="1">
      <alignment horizontal="center" vertical="center"/>
    </xf>
    <xf numFmtId="181" fontId="2" fillId="0" borderId="5" xfId="2" applyNumberFormat="1" applyFont="1" applyFill="1" applyBorder="1" applyAlignment="1" applyProtection="1">
      <alignment horizontal="center" vertical="center"/>
    </xf>
    <xf numFmtId="185" fontId="0" fillId="3" borderId="6" xfId="0" applyNumberFormat="1" applyFont="1" applyFill="1" applyBorder="1" applyAlignment="1" applyProtection="1">
      <alignment horizontal="center" vertical="center"/>
    </xf>
    <xf numFmtId="180" fontId="0" fillId="3" borderId="6" xfId="3" applyNumberFormat="1" applyFont="1" applyFill="1" applyBorder="1" applyAlignment="1" applyProtection="1">
      <alignment horizontal="center" vertical="center"/>
    </xf>
    <xf numFmtId="181" fontId="0" fillId="3" borderId="6" xfId="2" applyNumberFormat="1" applyFont="1" applyFill="1" applyBorder="1" applyAlignment="1" applyProtection="1">
      <alignment horizontal="center" vertical="center"/>
    </xf>
    <xf numFmtId="185" fontId="0" fillId="0" borderId="7" xfId="0" applyNumberFormat="1" applyFont="1" applyFill="1" applyBorder="1" applyAlignment="1" applyProtection="1">
      <alignment horizontal="center" vertical="center"/>
    </xf>
    <xf numFmtId="180" fontId="0" fillId="0" borderId="7" xfId="3" applyNumberFormat="1" applyFont="1" applyFill="1" applyBorder="1" applyAlignment="1" applyProtection="1">
      <alignment horizontal="center" vertical="center"/>
    </xf>
    <xf numFmtId="181" fontId="0" fillId="0" borderId="7" xfId="2" applyNumberFormat="1" applyFont="1" applyFill="1" applyBorder="1" applyAlignment="1" applyProtection="1">
      <alignment horizontal="center" vertical="center"/>
    </xf>
    <xf numFmtId="185" fontId="0" fillId="3" borderId="7" xfId="0" applyNumberFormat="1" applyFont="1" applyFill="1" applyBorder="1" applyAlignment="1" applyProtection="1">
      <alignment horizontal="center" vertical="center"/>
    </xf>
    <xf numFmtId="180" fontId="0" fillId="3" borderId="7" xfId="3" applyNumberFormat="1" applyFont="1" applyFill="1" applyBorder="1" applyAlignment="1" applyProtection="1">
      <alignment horizontal="center" vertical="center"/>
    </xf>
    <xf numFmtId="181" fontId="0" fillId="3" borderId="7" xfId="2" applyNumberFormat="1" applyFont="1" applyFill="1" applyBorder="1" applyAlignment="1" applyProtection="1">
      <alignment horizontal="center" vertical="center"/>
    </xf>
    <xf numFmtId="180" fontId="3" fillId="3" borderId="7" xfId="3" applyNumberFormat="1" applyFont="1" applyFill="1" applyBorder="1" applyAlignment="1" applyProtection="1">
      <alignment horizontal="center" vertical="center"/>
    </xf>
    <xf numFmtId="176" fontId="2" fillId="0" borderId="5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 vertical="center"/>
    </xf>
    <xf numFmtId="176" fontId="0" fillId="3" borderId="6" xfId="0" applyNumberFormat="1" applyFont="1" applyFill="1" applyBorder="1" applyAlignment="1" applyProtection="1">
      <alignment horizontal="center" vertical="center"/>
    </xf>
    <xf numFmtId="176" fontId="0" fillId="0" borderId="7" xfId="0" applyNumberFormat="1" applyFont="1" applyFill="1" applyBorder="1" applyAlignment="1" applyProtection="1">
      <alignment horizontal="center" vertical="center"/>
    </xf>
    <xf numFmtId="176" fontId="0" fillId="3" borderId="7" xfId="0" applyNumberFormat="1" applyFont="1" applyFill="1" applyBorder="1" applyAlignment="1" applyProtection="1">
      <alignment horizontal="center" vertical="center"/>
    </xf>
    <xf numFmtId="9" fontId="0" fillId="3" borderId="6" xfId="0" applyNumberFormat="1" applyFont="1" applyFill="1" applyBorder="1" applyAlignment="1" applyProtection="1">
      <alignment horizontal="center" vertical="center"/>
    </xf>
    <xf numFmtId="10" fontId="0" fillId="3" borderId="6" xfId="0" applyNumberFormat="1" applyFont="1" applyFill="1" applyBorder="1" applyAlignment="1" applyProtection="1">
      <alignment horizontal="center" vertical="center"/>
    </xf>
    <xf numFmtId="10" fontId="0" fillId="0" borderId="7" xfId="0" applyNumberFormat="1" applyFont="1" applyFill="1" applyBorder="1" applyAlignment="1" applyProtection="1">
      <alignment horizontal="center" vertical="center"/>
    </xf>
    <xf numFmtId="10" fontId="0" fillId="3" borderId="7" xfId="0" applyNumberFormat="1" applyFont="1" applyFill="1" applyBorder="1" applyAlignment="1" applyProtection="1">
      <alignment horizontal="center" vertical="center"/>
    </xf>
    <xf numFmtId="9" fontId="0" fillId="0" borderId="7" xfId="3" applyNumberFormat="1" applyFont="1" applyFill="1" applyBorder="1" applyAlignment="1" applyProtection="1">
      <alignment horizontal="center" vertical="center"/>
    </xf>
    <xf numFmtId="9" fontId="0" fillId="3" borderId="7" xfId="3" applyNumberFormat="1" applyFont="1" applyFill="1" applyBorder="1" applyAlignment="1" applyProtection="1">
      <alignment horizontal="center" vertical="center"/>
    </xf>
    <xf numFmtId="9" fontId="0" fillId="3" borderId="7" xfId="0" applyNumberFormat="1" applyFont="1" applyFill="1" applyBorder="1" applyAlignment="1" applyProtection="1">
      <alignment horizontal="center" vertical="center"/>
    </xf>
    <xf numFmtId="9" fontId="0" fillId="0" borderId="7" xfId="0" applyNumberFormat="1" applyFont="1" applyFill="1" applyBorder="1" applyAlignment="1" applyProtection="1">
      <alignment horizontal="center" vertical="center"/>
    </xf>
    <xf numFmtId="49" fontId="4" fillId="3" borderId="7" xfId="0" applyNumberFormat="1" applyFont="1" applyFill="1" applyBorder="1" applyAlignment="1" applyProtection="1">
      <alignment horizontal="center" vertical="center" wrapText="1"/>
    </xf>
    <xf numFmtId="49" fontId="4" fillId="0" borderId="7" xfId="0" applyNumberFormat="1" applyFont="1" applyFill="1" applyBorder="1" applyAlignment="1" applyProtection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177" fontId="0" fillId="0" borderId="0" xfId="0" applyNumberFormat="1"/>
    <xf numFmtId="181" fontId="0" fillId="0" borderId="0" xfId="0" applyNumberFormat="1"/>
    <xf numFmtId="181" fontId="0" fillId="0" borderId="0" xfId="1" applyNumberFormat="1" applyAlignment="1"/>
    <xf numFmtId="186" fontId="0" fillId="0" borderId="0" xfId="0" applyNumberFormat="1"/>
    <xf numFmtId="181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9"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87" formatCode="_-* #,##0.0_-;\-* #,##0.0_-;_-* &quot;-&quot;??_-;_-@_-"/>
    </dxf>
    <dxf>
      <numFmt numFmtId="188" formatCode="_-* #,##0.0_-;\-* #,##0.0_-;_-* &quot;-&quot;??_-;_-@_-"/>
    </dxf>
    <dxf>
      <numFmt numFmtId="189" formatCode="_-* #,##0_-;\-* #,##0_-;_-* &quot;-&quot;??_-;_-@_-"/>
    </dxf>
    <dxf>
      <numFmt numFmtId="190" formatCode="_-* #,##0_-;\-* #,##0_-;_-* &quot;-&quot;??_-;_-@_-"/>
    </dxf>
    <dxf>
      <numFmt numFmtId="191" formatCode="[$₹-44A]#,##0.00;[$₹-44A]\-#,##0.00"/>
    </dxf>
    <dxf>
      <numFmt numFmtId="192" formatCode="[$₹-44A]#,##0.00;[$₹-44A]\-#,##0.00"/>
    </dxf>
    <dxf>
      <numFmt numFmtId="193" formatCode="[$₹-446]#,##0.00;[$₹-446]\-#,##0.00"/>
    </dxf>
    <dxf>
      <numFmt numFmtId="194" formatCode="[$₹-446]#,##0.00;[$₹-446]\-#,##0.00"/>
    </dxf>
    <dxf>
      <numFmt numFmtId="185" formatCode="[$₹-449]#,##0.00;[$₹-449]\-#,##0.00"/>
    </dxf>
    <dxf>
      <numFmt numFmtId="185" formatCode="[$₹-449]#,##0.00;[$₹-449]\-#,##0.00"/>
    </dxf>
    <dxf>
      <numFmt numFmtId="10" formatCode="0.00%"/>
    </dxf>
    <dxf>
      <numFmt numFmtId="10" formatCode="0.00%"/>
    </dxf>
    <dxf>
      <numFmt numFmtId="195" formatCode="[$₹-44A]#,##0.0;[$₹-44A]\-#,##0.0"/>
    </dxf>
    <dxf>
      <numFmt numFmtId="181" formatCode="[$₹-44A]#,##0;[$₹-44A]\-#,##0"/>
    </dxf>
    <dxf>
      <numFmt numFmtId="196" formatCode="[$₹-44A]#,##0.0;[$₹-44A]\-#,##0.0"/>
    </dxf>
    <dxf>
      <numFmt numFmtId="197" formatCode="[$₹-44A]#,##0.0;[$₹-44A]\-#,##0.0"/>
    </dxf>
    <dxf>
      <numFmt numFmtId="181" formatCode="[$₹-44A]#,##0;[$₹-44A]\-#,##0"/>
    </dxf>
    <dxf>
      <numFmt numFmtId="181" formatCode="[$₹-44A]#,##0;[$₹-44A]\-#,##0"/>
    </dxf>
    <dxf>
      <numFmt numFmtId="198" formatCode="[$₹-446]#,##0.0;[$₹-446]\-#,##0.0"/>
    </dxf>
    <dxf>
      <numFmt numFmtId="199" formatCode="[$₹-446]#,##0.0;[$₹-446]\-#,##0.0"/>
    </dxf>
    <dxf>
      <numFmt numFmtId="186" formatCode="[$₹-446]#,##0;[$₹-446]\-#,##0"/>
    </dxf>
    <dxf>
      <numFmt numFmtId="186" formatCode="[$₹-446]#,##0;[$₹-446]\-#,##0"/>
    </dxf>
    <dxf>
      <numFmt numFmtId="200" formatCode="[$₹-449]#,##0.0;[$₹-449]\-#,##0.0"/>
    </dxf>
    <dxf>
      <numFmt numFmtId="201" formatCode="[$₹-449]#,##0.0;[$₹-449]\-#,##0.0"/>
    </dxf>
    <dxf>
      <numFmt numFmtId="176" formatCode="[$₹-449]#,##0;[$₹-449]\-#,##0"/>
    </dxf>
    <dxf>
      <numFmt numFmtId="176" formatCode="[$₹-449]#,##0;[$₹-449]\-#,##0"/>
    </dxf>
    <dxf>
      <numFmt numFmtId="0" formatCode="General"/>
    </dxf>
    <dxf>
      <numFmt numFmtId="0" formatCode="General"/>
    </dxf>
    <dxf>
      <numFmt numFmtId="202" formatCode="0.00000000_ "/>
    </dxf>
    <dxf>
      <numFmt numFmtId="203" formatCode="0.00000000_ "/>
    </dxf>
    <dxf>
      <numFmt numFmtId="204" formatCode="0.000000000_ "/>
    </dxf>
    <dxf>
      <numFmt numFmtId="205" formatCode="0.000000000_ "/>
    </dxf>
    <dxf>
      <numFmt numFmtId="206" formatCode="0.00000000_ "/>
    </dxf>
    <dxf>
      <numFmt numFmtId="207" formatCode="0.00000000_ "/>
    </dxf>
    <dxf>
      <numFmt numFmtId="208" formatCode="0.0000000_ "/>
    </dxf>
    <dxf>
      <numFmt numFmtId="209" formatCode="0.0000000_ "/>
    </dxf>
    <dxf>
      <numFmt numFmtId="210" formatCode="0.000000_ "/>
    </dxf>
    <dxf>
      <numFmt numFmtId="211" formatCode="0.000000_ "/>
    </dxf>
    <dxf>
      <numFmt numFmtId="212" formatCode="0.00000_ "/>
    </dxf>
    <dxf>
      <numFmt numFmtId="213" formatCode="0.00000_ "/>
    </dxf>
    <dxf>
      <numFmt numFmtId="214" formatCode="0.0000_ "/>
    </dxf>
    <dxf>
      <numFmt numFmtId="215" formatCode="0.0000_ "/>
    </dxf>
    <dxf>
      <numFmt numFmtId="182" formatCode="0.000_ "/>
    </dxf>
    <dxf>
      <numFmt numFmtId="182" formatCode="0.000_ "/>
    </dxf>
    <dxf>
      <font>
        <name val="Calibri Light"/>
        <scheme val="none"/>
        <b val="0"/>
      </font>
    </dxf>
    <dxf>
      <alignment horizontal="center" vertical="center"/>
    </dxf>
    <dxf>
      <numFmt numFmtId="10" formatCode="0.00%"/>
      <alignment vertical="center"/>
    </dxf>
    <dxf>
      <numFmt numFmtId="10" formatCode="0.00%"/>
      <alignment vertical="center"/>
    </dxf>
    <dxf>
      <numFmt numFmtId="10" formatCode="0.00%"/>
      <alignment vertical="center"/>
    </dxf>
    <dxf>
      <numFmt numFmtId="10" formatCode="0.00%"/>
      <alignment vertical="center"/>
    </dxf>
    <dxf>
      <numFmt numFmtId="10" formatCode="0.00%"/>
      <alignment vertical="center" wrapText="1"/>
    </dxf>
    <dxf>
      <numFmt numFmtId="0" formatCode="General"/>
      <alignment vertical="center"/>
    </dxf>
    <dxf>
      <numFmt numFmtId="10" formatCode="0.00%"/>
      <alignment vertical="center"/>
    </dxf>
    <dxf>
      <numFmt numFmtId="183" formatCode="0.000%"/>
    </dxf>
    <dxf>
      <numFmt numFmtId="183" formatCode="0.000%"/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numFmt numFmtId="178" formatCode="[$₹-449]#,##0_);\([$₹-449]#,##0\)"/>
      <alignment horizontal="center"/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  <alignment horizontal="center" vertical="center"/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font>
        <name val="Calibri"/>
        <scheme val="none"/>
        <family val="2"/>
      </font>
      <fill>
        <patternFill patternType="none"/>
      </fill>
    </dxf>
    <dxf>
      <numFmt numFmtId="176" formatCode="[$₹-449]#,##0;[$₹-449]\-#,##0"/>
    </dxf>
    <dxf>
      <numFmt numFmtId="176" formatCode="[$₹-449]#,##0;[$₹-449]\-#,##0"/>
    </dxf>
    <dxf>
      <numFmt numFmtId="176" formatCode="[$₹-449]#,##0;[$₹-449]\-#,##0"/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6" tint="-0.249977111117893"/>
      </font>
    </dxf>
    <dxf>
      <font>
        <b val="1"/>
        <color theme="6" tint="-0.249977111117893"/>
      </font>
    </dxf>
    <dxf>
      <font>
        <b val="1"/>
        <color theme="6" tint="-0.249977111117893"/>
      </font>
      <border>
        <top style="thin">
          <color theme="6"/>
        </top>
      </border>
    </dxf>
    <dxf>
      <font>
        <b val="1"/>
        <color theme="6" tint="-0.499984740745262"/>
      </font>
      <border>
        <top style="thin">
          <color theme="6"/>
        </top>
        <bottom style="medium">
          <color theme="6"/>
        </bottom>
      </border>
    </dxf>
    <dxf>
      <font>
        <color theme="6" tint="-0.499984740745262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6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horizontal style="thin">
          <color theme="6" tint="0.399975585192419"/>
        </horizontal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3" defaultTableStyle="TableStyleMedium2" defaultPivotStyle="PivotStyleLight16">
    <tableStyle name="TableStylePreset1_Accent3" pivot="0" count="7" xr9:uid="{400372B8-8B95-4587-9E7D-C9E2D9ECF3F9}">
      <tableStyleElement type="wholeTable" dxfId="82"/>
      <tableStyleElement type="headerRow" dxfId="81"/>
      <tableStyleElement type="totalRow" dxfId="80"/>
      <tableStyleElement type="firstColumn" dxfId="79"/>
      <tableStyleElement type="lastColumn" dxfId="78"/>
      <tableStyleElement type="firstRowStripe" dxfId="77"/>
      <tableStyleElement type="firstColumnStripe" dxfId="76"/>
    </tableStyle>
    <tableStyle name="TableStylePreset3_Accent3" pivot="0" count="7" xr9:uid="{4198C2AC-19AE-44E8-8863-95DC21443AF6}">
      <tableStyleElement type="wholeTable" dxfId="89"/>
      <tableStyleElement type="headerRow" dxfId="88"/>
      <tableStyleElement type="totalRow" dxfId="87"/>
      <tableStyleElement type="firstColumn" dxfId="86"/>
      <tableStyleElement type="lastColumn" dxfId="85"/>
      <tableStyleElement type="firstRowStripe" dxfId="84"/>
      <tableStyleElement type="firstColumnStripe" dxfId="83"/>
    </tableStyle>
    <tableStyle name="TableStylePreset8_Accent1" pivot="0" count="9" xr9:uid="{C16462FB-CDE6-4BB5-BAFA-1372A3CEEFCD}">
      <tableStyleElement type="wholeTable" dxfId="98"/>
      <tableStyleElement type="headerRow" dxfId="97"/>
      <tableStyleElement type="totalRow" dxfId="96"/>
      <tableStyleElement type="firstColumn" dxfId="95"/>
      <tableStyleElement type="lastColumn" dxfId="94"/>
      <tableStyleElement type="firstRowStripe" dxfId="93"/>
      <tableStyleElement type="secondRowStripe" dxfId="92"/>
      <tableStyleElement type="firstColumnStripe" dxfId="91"/>
      <tableStyleElement type="secondColumnStripe" dxfId="9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DATA .xlsx]CHARTS!PivotTable4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Sum of TOTAL ADVANCES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CHARTS!$A$4:$A$24</c:f>
              <c:strCache>
                <c:ptCount val="20"/>
                <c:pt idx="0">
                  <c:v>31/03/2019</c:v>
                </c:pt>
                <c:pt idx="1">
                  <c:v>30/06/2019</c:v>
                </c:pt>
                <c:pt idx="2">
                  <c:v>30/09/2019</c:v>
                </c:pt>
                <c:pt idx="3">
                  <c:v>31/12/2019</c:v>
                </c:pt>
                <c:pt idx="4">
                  <c:v>31/03/2020</c:v>
                </c:pt>
                <c:pt idx="5">
                  <c:v>30/06/2020</c:v>
                </c:pt>
                <c:pt idx="6">
                  <c:v>30/09/2020</c:v>
                </c:pt>
                <c:pt idx="7">
                  <c:v>31/12/2020</c:v>
                </c:pt>
                <c:pt idx="8">
                  <c:v>31/03/2021</c:v>
                </c:pt>
                <c:pt idx="9">
                  <c:v>30/06/2021</c:v>
                </c:pt>
                <c:pt idx="10">
                  <c:v>30/09/2021</c:v>
                </c:pt>
                <c:pt idx="11">
                  <c:v>31/12/2021</c:v>
                </c:pt>
                <c:pt idx="12">
                  <c:v>31/03/2022</c:v>
                </c:pt>
                <c:pt idx="13">
                  <c:v>30/06/2022</c:v>
                </c:pt>
                <c:pt idx="14">
                  <c:v>30/09/2022</c:v>
                </c:pt>
                <c:pt idx="15">
                  <c:v>31/12/2022</c:v>
                </c:pt>
                <c:pt idx="16">
                  <c:v>31/03/2023</c:v>
                </c:pt>
                <c:pt idx="17">
                  <c:v>30/06/2023</c:v>
                </c:pt>
                <c:pt idx="18">
                  <c:v>30/09/2023</c:v>
                </c:pt>
                <c:pt idx="19">
                  <c:v>31/12/2023</c:v>
                </c:pt>
              </c:strCache>
            </c:strRef>
          </c:cat>
          <c:val>
            <c:numRef>
              <c:f>CHARTS!$B$4:$B$24</c:f>
              <c:numCache>
                <c:formatCode>General</c:formatCode>
                <c:ptCount val="20"/>
                <c:pt idx="0">
                  <c:v>6548273</c:v>
                </c:pt>
                <c:pt idx="1">
                  <c:v>8713332</c:v>
                </c:pt>
                <c:pt idx="2">
                  <c:v>3962509</c:v>
                </c:pt>
                <c:pt idx="3">
                  <c:v>5648772</c:v>
                </c:pt>
                <c:pt idx="4">
                  <c:v>3369719</c:v>
                </c:pt>
                <c:pt idx="5">
                  <c:v>9270866</c:v>
                </c:pt>
                <c:pt idx="6">
                  <c:v>11175335</c:v>
                </c:pt>
                <c:pt idx="7">
                  <c:v>3885260</c:v>
                </c:pt>
                <c:pt idx="8">
                  <c:v>4656290</c:v>
                </c:pt>
                <c:pt idx="9">
                  <c:v>10566236</c:v>
                </c:pt>
                <c:pt idx="10">
                  <c:v>3452054</c:v>
                </c:pt>
                <c:pt idx="11">
                  <c:v>4112083</c:v>
                </c:pt>
                <c:pt idx="12">
                  <c:v>3709826</c:v>
                </c:pt>
                <c:pt idx="13">
                  <c:v>6408410</c:v>
                </c:pt>
                <c:pt idx="14">
                  <c:v>6768020</c:v>
                </c:pt>
                <c:pt idx="15">
                  <c:v>5394686</c:v>
                </c:pt>
                <c:pt idx="16">
                  <c:v>8700689</c:v>
                </c:pt>
                <c:pt idx="17">
                  <c:v>5499902</c:v>
                </c:pt>
                <c:pt idx="18">
                  <c:v>4552265</c:v>
                </c:pt>
                <c:pt idx="19">
                  <c:v>2852697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Sum of GROSS NPA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CHARTS!$A$4:$A$24</c:f>
              <c:strCache>
                <c:ptCount val="20"/>
                <c:pt idx="0">
                  <c:v>31/03/2019</c:v>
                </c:pt>
                <c:pt idx="1">
                  <c:v>30/06/2019</c:v>
                </c:pt>
                <c:pt idx="2">
                  <c:v>30/09/2019</c:v>
                </c:pt>
                <c:pt idx="3">
                  <c:v>31/12/2019</c:v>
                </c:pt>
                <c:pt idx="4">
                  <c:v>31/03/2020</c:v>
                </c:pt>
                <c:pt idx="5">
                  <c:v>30/06/2020</c:v>
                </c:pt>
                <c:pt idx="6">
                  <c:v>30/09/2020</c:v>
                </c:pt>
                <c:pt idx="7">
                  <c:v>31/12/2020</c:v>
                </c:pt>
                <c:pt idx="8">
                  <c:v>31/03/2021</c:v>
                </c:pt>
                <c:pt idx="9">
                  <c:v>30/06/2021</c:v>
                </c:pt>
                <c:pt idx="10">
                  <c:v>30/09/2021</c:v>
                </c:pt>
                <c:pt idx="11">
                  <c:v>31/12/2021</c:v>
                </c:pt>
                <c:pt idx="12">
                  <c:v>31/03/2022</c:v>
                </c:pt>
                <c:pt idx="13">
                  <c:v>30/06/2022</c:v>
                </c:pt>
                <c:pt idx="14">
                  <c:v>30/09/2022</c:v>
                </c:pt>
                <c:pt idx="15">
                  <c:v>31/12/2022</c:v>
                </c:pt>
                <c:pt idx="16">
                  <c:v>31/03/2023</c:v>
                </c:pt>
                <c:pt idx="17">
                  <c:v>30/06/2023</c:v>
                </c:pt>
                <c:pt idx="18">
                  <c:v>30/09/2023</c:v>
                </c:pt>
                <c:pt idx="19">
                  <c:v>31/12/2023</c:v>
                </c:pt>
              </c:strCache>
            </c:strRef>
          </c:cat>
          <c:val>
            <c:numRef>
              <c:f>CHARTS!$C$4:$C$24</c:f>
              <c:numCache>
                <c:formatCode>[$₹-449]#,##0;[$₹-449]\-#,##0</c:formatCode>
                <c:ptCount val="20"/>
                <c:pt idx="0">
                  <c:v>506171</c:v>
                </c:pt>
                <c:pt idx="1">
                  <c:v>930142</c:v>
                </c:pt>
                <c:pt idx="2">
                  <c:v>1879384</c:v>
                </c:pt>
                <c:pt idx="3">
                  <c:v>264939</c:v>
                </c:pt>
                <c:pt idx="4">
                  <c:v>728726</c:v>
                </c:pt>
                <c:pt idx="5">
                  <c:v>2652668</c:v>
                </c:pt>
                <c:pt idx="6">
                  <c:v>923476</c:v>
                </c:pt>
                <c:pt idx="7">
                  <c:v>115112</c:v>
                </c:pt>
                <c:pt idx="8">
                  <c:v>707282</c:v>
                </c:pt>
                <c:pt idx="9">
                  <c:v>1847185</c:v>
                </c:pt>
                <c:pt idx="10">
                  <c:v>646819</c:v>
                </c:pt>
                <c:pt idx="11">
                  <c:v>398667</c:v>
                </c:pt>
                <c:pt idx="12">
                  <c:v>28996</c:v>
                </c:pt>
                <c:pt idx="13">
                  <c:v>1613918</c:v>
                </c:pt>
                <c:pt idx="14">
                  <c:v>592239</c:v>
                </c:pt>
                <c:pt idx="15">
                  <c:v>766669</c:v>
                </c:pt>
                <c:pt idx="16">
                  <c:v>1432985</c:v>
                </c:pt>
                <c:pt idx="17">
                  <c:v>1124218</c:v>
                </c:pt>
                <c:pt idx="18">
                  <c:v>0</c:v>
                </c:pt>
                <c:pt idx="19">
                  <c:v>215900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CHARTS!$D$3</c:f>
              <c:strCache>
                <c:ptCount val="1"/>
                <c:pt idx="0">
                  <c:v>Sum of RECOVERY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CHARTS!$A$4:$A$24</c:f>
              <c:strCache>
                <c:ptCount val="20"/>
                <c:pt idx="0">
                  <c:v>31/03/2019</c:v>
                </c:pt>
                <c:pt idx="1">
                  <c:v>30/06/2019</c:v>
                </c:pt>
                <c:pt idx="2">
                  <c:v>30/09/2019</c:v>
                </c:pt>
                <c:pt idx="3">
                  <c:v>31/12/2019</c:v>
                </c:pt>
                <c:pt idx="4">
                  <c:v>31/03/2020</c:v>
                </c:pt>
                <c:pt idx="5">
                  <c:v>30/06/2020</c:v>
                </c:pt>
                <c:pt idx="6">
                  <c:v>30/09/2020</c:v>
                </c:pt>
                <c:pt idx="7">
                  <c:v>31/12/2020</c:v>
                </c:pt>
                <c:pt idx="8">
                  <c:v>31/03/2021</c:v>
                </c:pt>
                <c:pt idx="9">
                  <c:v>30/06/2021</c:v>
                </c:pt>
                <c:pt idx="10">
                  <c:v>30/09/2021</c:v>
                </c:pt>
                <c:pt idx="11">
                  <c:v>31/12/2021</c:v>
                </c:pt>
                <c:pt idx="12">
                  <c:v>31/03/2022</c:v>
                </c:pt>
                <c:pt idx="13">
                  <c:v>30/06/2022</c:v>
                </c:pt>
                <c:pt idx="14">
                  <c:v>30/09/2022</c:v>
                </c:pt>
                <c:pt idx="15">
                  <c:v>31/12/2022</c:v>
                </c:pt>
                <c:pt idx="16">
                  <c:v>31/03/2023</c:v>
                </c:pt>
                <c:pt idx="17">
                  <c:v>30/06/2023</c:v>
                </c:pt>
                <c:pt idx="18">
                  <c:v>30/09/2023</c:v>
                </c:pt>
                <c:pt idx="19">
                  <c:v>31/12/2023</c:v>
                </c:pt>
              </c:strCache>
            </c:strRef>
          </c:cat>
          <c:val>
            <c:numRef>
              <c:f>CHARTS!$D$4:$D$24</c:f>
              <c:numCache>
                <c:formatCode>[$₹-44A]#,##0;[$₹-44A]\-#,##0</c:formatCode>
                <c:ptCount val="20"/>
                <c:pt idx="0">
                  <c:v>280034</c:v>
                </c:pt>
                <c:pt idx="1">
                  <c:v>212550</c:v>
                </c:pt>
                <c:pt idx="2">
                  <c:v>787767</c:v>
                </c:pt>
                <c:pt idx="3">
                  <c:v>125797</c:v>
                </c:pt>
                <c:pt idx="4">
                  <c:v>503748</c:v>
                </c:pt>
                <c:pt idx="5">
                  <c:v>1271531</c:v>
                </c:pt>
                <c:pt idx="6">
                  <c:v>330919</c:v>
                </c:pt>
                <c:pt idx="7">
                  <c:v>241982</c:v>
                </c:pt>
                <c:pt idx="8">
                  <c:v>224184</c:v>
                </c:pt>
                <c:pt idx="9">
                  <c:v>827685</c:v>
                </c:pt>
                <c:pt idx="10">
                  <c:v>167083</c:v>
                </c:pt>
                <c:pt idx="11">
                  <c:v>213893</c:v>
                </c:pt>
                <c:pt idx="12">
                  <c:v>20640</c:v>
                </c:pt>
                <c:pt idx="13">
                  <c:v>912314</c:v>
                </c:pt>
                <c:pt idx="14">
                  <c:v>935978</c:v>
                </c:pt>
                <c:pt idx="15">
                  <c:v>305446</c:v>
                </c:pt>
                <c:pt idx="16">
                  <c:v>605445</c:v>
                </c:pt>
                <c:pt idx="17">
                  <c:v>602870</c:v>
                </c:pt>
                <c:pt idx="18">
                  <c:v>0</c:v>
                </c:pt>
                <c:pt idx="19">
                  <c:v>116855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37505755"/>
        <c:axId val="352090724"/>
      </c:lineChart>
      <c:catAx>
        <c:axId val="93750575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090724"/>
        <c:crosses val="autoZero"/>
        <c:auto val="1"/>
        <c:lblAlgn val="ctr"/>
        <c:lblOffset val="100"/>
        <c:noMultiLvlLbl val="0"/>
      </c:catAx>
      <c:valAx>
        <c:axId val="3520907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75057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51df6a-3f7f-4a0b-9c2f-84f60d766c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DATA .xlsx]CHARTS!PivotTable4</c:name>
    <c:fmtId val="4"/>
  </c:pivotSource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Sum of TOTAL ADVANCES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CHARTS!$A$4:$A$24</c:f>
              <c:strCache>
                <c:ptCount val="20"/>
                <c:pt idx="0">
                  <c:v>31/03/2019</c:v>
                </c:pt>
                <c:pt idx="1">
                  <c:v>30/06/2019</c:v>
                </c:pt>
                <c:pt idx="2">
                  <c:v>30/09/2019</c:v>
                </c:pt>
                <c:pt idx="3">
                  <c:v>31/12/2019</c:v>
                </c:pt>
                <c:pt idx="4">
                  <c:v>31/03/2020</c:v>
                </c:pt>
                <c:pt idx="5">
                  <c:v>30/06/2020</c:v>
                </c:pt>
                <c:pt idx="6">
                  <c:v>30/09/2020</c:v>
                </c:pt>
                <c:pt idx="7">
                  <c:v>31/12/2020</c:v>
                </c:pt>
                <c:pt idx="8">
                  <c:v>31/03/2021</c:v>
                </c:pt>
                <c:pt idx="9">
                  <c:v>30/06/2021</c:v>
                </c:pt>
                <c:pt idx="10">
                  <c:v>30/09/2021</c:v>
                </c:pt>
                <c:pt idx="11">
                  <c:v>31/12/2021</c:v>
                </c:pt>
                <c:pt idx="12">
                  <c:v>31/03/2022</c:v>
                </c:pt>
                <c:pt idx="13">
                  <c:v>30/06/2022</c:v>
                </c:pt>
                <c:pt idx="14">
                  <c:v>30/09/2022</c:v>
                </c:pt>
                <c:pt idx="15">
                  <c:v>31/12/2022</c:v>
                </c:pt>
                <c:pt idx="16">
                  <c:v>31/03/2023</c:v>
                </c:pt>
                <c:pt idx="17">
                  <c:v>30/06/2023</c:v>
                </c:pt>
                <c:pt idx="18">
                  <c:v>30/09/2023</c:v>
                </c:pt>
                <c:pt idx="19">
                  <c:v>31/12/2023</c:v>
                </c:pt>
              </c:strCache>
            </c:strRef>
          </c:cat>
          <c:val>
            <c:numRef>
              <c:f>CHARTS!$B$4:$B$24</c:f>
              <c:numCache>
                <c:formatCode>General</c:formatCode>
                <c:ptCount val="20"/>
                <c:pt idx="0">
                  <c:v>6548273</c:v>
                </c:pt>
                <c:pt idx="1">
                  <c:v>8713332</c:v>
                </c:pt>
                <c:pt idx="2">
                  <c:v>3962509</c:v>
                </c:pt>
                <c:pt idx="3">
                  <c:v>5648772</c:v>
                </c:pt>
                <c:pt idx="4">
                  <c:v>3369719</c:v>
                </c:pt>
                <c:pt idx="5">
                  <c:v>9270866</c:v>
                </c:pt>
                <c:pt idx="6">
                  <c:v>11175335</c:v>
                </c:pt>
                <c:pt idx="7">
                  <c:v>3885260</c:v>
                </c:pt>
                <c:pt idx="8">
                  <c:v>4656290</c:v>
                </c:pt>
                <c:pt idx="9">
                  <c:v>10566236</c:v>
                </c:pt>
                <c:pt idx="10">
                  <c:v>3452054</c:v>
                </c:pt>
                <c:pt idx="11">
                  <c:v>4112083</c:v>
                </c:pt>
                <c:pt idx="12">
                  <c:v>3709826</c:v>
                </c:pt>
                <c:pt idx="13">
                  <c:v>6408410</c:v>
                </c:pt>
                <c:pt idx="14">
                  <c:v>6768020</c:v>
                </c:pt>
                <c:pt idx="15">
                  <c:v>5394686</c:v>
                </c:pt>
                <c:pt idx="16">
                  <c:v>8700689</c:v>
                </c:pt>
                <c:pt idx="17">
                  <c:v>5499902</c:v>
                </c:pt>
                <c:pt idx="18">
                  <c:v>4552265</c:v>
                </c:pt>
                <c:pt idx="19">
                  <c:v>2852697</c:v>
                </c:pt>
              </c:numCache>
            </c:numRef>
          </c:val>
        </c:ser>
        <c:ser>
          <c:idx val="1"/>
          <c:order val="1"/>
          <c:tx>
            <c:strRef>
              <c:f>CHARTS!$C$3</c:f>
              <c:strCache>
                <c:ptCount val="1"/>
                <c:pt idx="0">
                  <c:v>Sum of GROSS NPA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CHARTS!$A$4:$A$24</c:f>
              <c:strCache>
                <c:ptCount val="20"/>
                <c:pt idx="0">
                  <c:v>31/03/2019</c:v>
                </c:pt>
                <c:pt idx="1">
                  <c:v>30/06/2019</c:v>
                </c:pt>
                <c:pt idx="2">
                  <c:v>30/09/2019</c:v>
                </c:pt>
                <c:pt idx="3">
                  <c:v>31/12/2019</c:v>
                </c:pt>
                <c:pt idx="4">
                  <c:v>31/03/2020</c:v>
                </c:pt>
                <c:pt idx="5">
                  <c:v>30/06/2020</c:v>
                </c:pt>
                <c:pt idx="6">
                  <c:v>30/09/2020</c:v>
                </c:pt>
                <c:pt idx="7">
                  <c:v>31/12/2020</c:v>
                </c:pt>
                <c:pt idx="8">
                  <c:v>31/03/2021</c:v>
                </c:pt>
                <c:pt idx="9">
                  <c:v>30/06/2021</c:v>
                </c:pt>
                <c:pt idx="10">
                  <c:v>30/09/2021</c:v>
                </c:pt>
                <c:pt idx="11">
                  <c:v>31/12/2021</c:v>
                </c:pt>
                <c:pt idx="12">
                  <c:v>31/03/2022</c:v>
                </c:pt>
                <c:pt idx="13">
                  <c:v>30/06/2022</c:v>
                </c:pt>
                <c:pt idx="14">
                  <c:v>30/09/2022</c:v>
                </c:pt>
                <c:pt idx="15">
                  <c:v>31/12/2022</c:v>
                </c:pt>
                <c:pt idx="16">
                  <c:v>31/03/2023</c:v>
                </c:pt>
                <c:pt idx="17">
                  <c:v>30/06/2023</c:v>
                </c:pt>
                <c:pt idx="18">
                  <c:v>30/09/2023</c:v>
                </c:pt>
                <c:pt idx="19">
                  <c:v>31/12/2023</c:v>
                </c:pt>
              </c:strCache>
            </c:strRef>
          </c:cat>
          <c:val>
            <c:numRef>
              <c:f>CHARTS!$C$4:$C$24</c:f>
              <c:numCache>
                <c:formatCode>[$₹-449]#,##0;[$₹-449]\-#,##0</c:formatCode>
                <c:ptCount val="20"/>
                <c:pt idx="0">
                  <c:v>506171</c:v>
                </c:pt>
                <c:pt idx="1">
                  <c:v>930142</c:v>
                </c:pt>
                <c:pt idx="2">
                  <c:v>1879384</c:v>
                </c:pt>
                <c:pt idx="3">
                  <c:v>264939</c:v>
                </c:pt>
                <c:pt idx="4">
                  <c:v>728726</c:v>
                </c:pt>
                <c:pt idx="5">
                  <c:v>2652668</c:v>
                </c:pt>
                <c:pt idx="6">
                  <c:v>923476</c:v>
                </c:pt>
                <c:pt idx="7">
                  <c:v>115112</c:v>
                </c:pt>
                <c:pt idx="8">
                  <c:v>707282</c:v>
                </c:pt>
                <c:pt idx="9">
                  <c:v>1847185</c:v>
                </c:pt>
                <c:pt idx="10">
                  <c:v>646819</c:v>
                </c:pt>
                <c:pt idx="11">
                  <c:v>398667</c:v>
                </c:pt>
                <c:pt idx="12">
                  <c:v>28996</c:v>
                </c:pt>
                <c:pt idx="13">
                  <c:v>1613918</c:v>
                </c:pt>
                <c:pt idx="14">
                  <c:v>592239</c:v>
                </c:pt>
                <c:pt idx="15">
                  <c:v>766669</c:v>
                </c:pt>
                <c:pt idx="16">
                  <c:v>1432985</c:v>
                </c:pt>
                <c:pt idx="17">
                  <c:v>1124218</c:v>
                </c:pt>
                <c:pt idx="18">
                  <c:v>0</c:v>
                </c:pt>
                <c:pt idx="19">
                  <c:v>215900</c:v>
                </c:pt>
              </c:numCache>
            </c:numRef>
          </c:val>
        </c:ser>
        <c:ser>
          <c:idx val="2"/>
          <c:order val="2"/>
          <c:tx>
            <c:strRef>
              <c:f>CHARTS!$D$3</c:f>
              <c:strCache>
                <c:ptCount val="1"/>
                <c:pt idx="0">
                  <c:v>Sum of RECOVERY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dLbls>
            <c:delete val="1"/>
          </c:dLbls>
          <c:cat>
            <c:strRef>
              <c:f>CHARTS!$A$4:$A$24</c:f>
              <c:strCache>
                <c:ptCount val="20"/>
                <c:pt idx="0">
                  <c:v>31/03/2019</c:v>
                </c:pt>
                <c:pt idx="1">
                  <c:v>30/06/2019</c:v>
                </c:pt>
                <c:pt idx="2">
                  <c:v>30/09/2019</c:v>
                </c:pt>
                <c:pt idx="3">
                  <c:v>31/12/2019</c:v>
                </c:pt>
                <c:pt idx="4">
                  <c:v>31/03/2020</c:v>
                </c:pt>
                <c:pt idx="5">
                  <c:v>30/06/2020</c:v>
                </c:pt>
                <c:pt idx="6">
                  <c:v>30/09/2020</c:v>
                </c:pt>
                <c:pt idx="7">
                  <c:v>31/12/2020</c:v>
                </c:pt>
                <c:pt idx="8">
                  <c:v>31/03/2021</c:v>
                </c:pt>
                <c:pt idx="9">
                  <c:v>30/06/2021</c:v>
                </c:pt>
                <c:pt idx="10">
                  <c:v>30/09/2021</c:v>
                </c:pt>
                <c:pt idx="11">
                  <c:v>31/12/2021</c:v>
                </c:pt>
                <c:pt idx="12">
                  <c:v>31/03/2022</c:v>
                </c:pt>
                <c:pt idx="13">
                  <c:v>30/06/2022</c:v>
                </c:pt>
                <c:pt idx="14">
                  <c:v>30/09/2022</c:v>
                </c:pt>
                <c:pt idx="15">
                  <c:v>31/12/2022</c:v>
                </c:pt>
                <c:pt idx="16">
                  <c:v>31/03/2023</c:v>
                </c:pt>
                <c:pt idx="17">
                  <c:v>30/06/2023</c:v>
                </c:pt>
                <c:pt idx="18">
                  <c:v>30/09/2023</c:v>
                </c:pt>
                <c:pt idx="19">
                  <c:v>31/12/2023</c:v>
                </c:pt>
              </c:strCache>
            </c:strRef>
          </c:cat>
          <c:val>
            <c:numRef>
              <c:f>CHARTS!$D$4:$D$24</c:f>
              <c:numCache>
                <c:formatCode>[$₹-44A]#,##0;[$₹-44A]\-#,##0</c:formatCode>
                <c:ptCount val="20"/>
                <c:pt idx="0">
                  <c:v>280034</c:v>
                </c:pt>
                <c:pt idx="1">
                  <c:v>212550</c:v>
                </c:pt>
                <c:pt idx="2">
                  <c:v>787767</c:v>
                </c:pt>
                <c:pt idx="3">
                  <c:v>125797</c:v>
                </c:pt>
                <c:pt idx="4">
                  <c:v>503748</c:v>
                </c:pt>
                <c:pt idx="5">
                  <c:v>1271531</c:v>
                </c:pt>
                <c:pt idx="6">
                  <c:v>330919</c:v>
                </c:pt>
                <c:pt idx="7">
                  <c:v>241982</c:v>
                </c:pt>
                <c:pt idx="8">
                  <c:v>224184</c:v>
                </c:pt>
                <c:pt idx="9">
                  <c:v>827685</c:v>
                </c:pt>
                <c:pt idx="10">
                  <c:v>167083</c:v>
                </c:pt>
                <c:pt idx="11">
                  <c:v>213893</c:v>
                </c:pt>
                <c:pt idx="12">
                  <c:v>20640</c:v>
                </c:pt>
                <c:pt idx="13">
                  <c:v>912314</c:v>
                </c:pt>
                <c:pt idx="14">
                  <c:v>935978</c:v>
                </c:pt>
                <c:pt idx="15">
                  <c:v>305446</c:v>
                </c:pt>
                <c:pt idx="16">
                  <c:v>605445</c:v>
                </c:pt>
                <c:pt idx="17">
                  <c:v>602870</c:v>
                </c:pt>
                <c:pt idx="18">
                  <c:v>0</c:v>
                </c:pt>
                <c:pt idx="19">
                  <c:v>116855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618605"/>
        <c:axId val="258259168"/>
      </c:areaChart>
      <c:catAx>
        <c:axId val="33961860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8259168"/>
        <c:crosses val="autoZero"/>
        <c:auto val="1"/>
        <c:lblAlgn val="ctr"/>
        <c:lblOffset val="100"/>
        <c:noMultiLvlLbl val="0"/>
      </c:catAx>
      <c:valAx>
        <c:axId val="25825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961860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9e66bc7-780e-47a3-81ab-7203661b3a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15240</xdr:colOff>
      <xdr:row>1</xdr:row>
      <xdr:rowOff>13970</xdr:rowOff>
    </xdr:from>
    <xdr:to>
      <xdr:col>15</xdr:col>
      <xdr:colOff>459740</xdr:colOff>
      <xdr:row>23</xdr:row>
      <xdr:rowOff>62230</xdr:rowOff>
    </xdr:to>
    <xdr:graphicFrame>
      <xdr:nvGraphicFramePr>
        <xdr:cNvPr id="2" name="Chart 1"/>
        <xdr:cNvGraphicFramePr/>
      </xdr:nvGraphicFramePr>
      <xdr:xfrm>
        <a:off x="8509000" y="227330"/>
        <a:ext cx="7759700" cy="4742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285750</xdr:colOff>
      <xdr:row>24</xdr:row>
      <xdr:rowOff>60960</xdr:rowOff>
    </xdr:from>
    <xdr:to>
      <xdr:col>12</xdr:col>
      <xdr:colOff>64135</xdr:colOff>
      <xdr:row>51</xdr:row>
      <xdr:rowOff>3175</xdr:rowOff>
    </xdr:to>
    <xdr:graphicFrame>
      <xdr:nvGraphicFramePr>
        <xdr:cNvPr id="4" name="Chart 3"/>
        <xdr:cNvGraphicFramePr/>
      </xdr:nvGraphicFramePr>
      <xdr:xfrm>
        <a:off x="6082030" y="5181600"/>
        <a:ext cx="7596505" cy="5702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03.7001851852" refreshedBy="sankaranarayanankathirersan" recordCount="100">
  <cacheSource type="worksheet">
    <worksheetSource ref="A1:O101" sheet="MASTER LEVEL TABLE"/>
  </cacheSource>
  <cacheFields count="15">
    <cacheField name="LOAN TYPE" numFmtId="49">
      <sharedItems count="5">
        <s v="AGRICULTURE"/>
        <s v="EDUCATION LOAN"/>
        <s v="HOME LOAN"/>
        <s v="PERSONAL LOAN"/>
        <s v="SME"/>
      </sharedItems>
    </cacheField>
    <cacheField name="QUARTER-END-DATE" numFmtId="177">
      <sharedItems containsSemiMixedTypes="0" containsString="0" containsNonDate="0" containsDate="1" minDate="2019-03-31T00:00:00" maxDate="2023-12-31T00:00:00" count="20">
        <d v="2019-03-31T00:00:00"/>
        <d v="2019-06-30T00:00:00"/>
        <d v="2019-09-30T00:00:00"/>
        <d v="2019-12-31T00:00:00"/>
        <d v="2020-03-31T00:00:00"/>
        <d v="2020-06-30T00:00:00"/>
        <d v="2020-09-30T00:00:00"/>
        <d v="2020-12-31T00:00:00"/>
        <d v="2021-03-31T00:00:00"/>
        <d v="2021-06-30T00:00:00"/>
        <d v="2021-09-30T00:00:00"/>
        <d v="2021-12-31T00:00:00"/>
        <d v="2022-03-31T00:00:00"/>
        <d v="2022-06-30T00:00:00"/>
        <d v="2022-09-30T00:00:00"/>
        <d v="2022-12-31T00:00:00"/>
        <d v="2023-03-31T00:00:00"/>
        <d v="2023-06-30T00:00:00"/>
        <d v="2023-09-30T00:00:00"/>
        <d v="2023-12-31T00:00:00"/>
      </sharedItems>
    </cacheField>
    <cacheField name="QUARTERS" numFmtId="0">
      <sharedItems count="20">
        <s v="Q1 FY19"/>
        <s v="Q2 FY19"/>
        <s v="Q3 FY19"/>
        <s v="Q4 FY19"/>
        <s v="Q1 FY20"/>
        <s v="Q2 FY20"/>
        <s v="Q3 FY20"/>
        <s v="Q4 FY20"/>
        <s v="Q1 FY21"/>
        <s v="Q2 FY21"/>
        <s v="Q3 FY21"/>
        <s v="Q4 FY21"/>
        <s v="Q1 FY22"/>
        <s v="Q2 FY22"/>
        <s v="Q3 FY22"/>
        <s v="Q4 FY22"/>
        <s v="Q1 FY23"/>
        <s v="Q2 FY23"/>
        <s v="Q3 FY23"/>
        <s v="Q4 FY23"/>
      </sharedItems>
    </cacheField>
    <cacheField name="TOTAL ADVANCES" numFmtId="184">
      <sharedItems containsSemiMixedTypes="0" containsString="0" containsNumber="1" containsInteger="1" minValue="0" maxValue="38026888" count="100">
        <n v="6548273"/>
        <n v="8713332"/>
        <n v="3962509"/>
        <n v="5648772"/>
        <n v="3369719"/>
        <n v="9270866"/>
        <n v="11175335"/>
        <n v="3885260"/>
        <n v="4656290"/>
        <n v="10566236"/>
        <n v="3452054"/>
        <n v="4112083"/>
        <n v="3709826"/>
        <n v="6408410"/>
        <n v="6768020"/>
        <n v="5394686"/>
        <n v="8700689"/>
        <n v="5499902"/>
        <n v="4552265"/>
        <n v="2852697"/>
        <n v="4797725"/>
        <n v="8216585"/>
        <n v="6486569"/>
        <n v="4348619"/>
        <n v="7955504"/>
        <n v="7545576"/>
        <n v="4363991"/>
        <n v="11032293"/>
        <n v="4915554"/>
        <n v="4680130"/>
        <n v="3507430"/>
        <n v="8193301"/>
        <n v="2752333"/>
        <n v="6772448"/>
        <n v="2994940"/>
        <n v="3520783"/>
        <n v="2280302"/>
        <n v="1607681"/>
        <n v="9130445"/>
        <n v="8185928"/>
        <n v="26982321"/>
        <n v="29833677"/>
        <n v="21853567"/>
        <n v="21839031"/>
        <n v="30631459"/>
        <n v="28637258"/>
        <n v="18967221"/>
        <n v="5439712"/>
        <n v="32081669"/>
        <n v="26438098"/>
        <n v="38026888"/>
        <n v="32668756"/>
        <n v="9836028"/>
        <n v="22030881"/>
        <n v="19737721"/>
        <n v="28157482"/>
        <n v="32151497"/>
        <n v="20797966"/>
        <n v="16964481"/>
        <n v="23267068"/>
        <n v="5668287"/>
        <n v="8130969"/>
        <n v="18023491"/>
        <n v="9526089"/>
        <n v="12811572"/>
        <n v="9594533"/>
        <n v="10428389"/>
        <n v="4743294"/>
        <n v="8949029"/>
        <n v="11463614"/>
        <n v="8630672"/>
        <n v="6811661"/>
        <n v="7315291"/>
        <n v="6638916"/>
        <n v="5212202"/>
        <n v="9501281"/>
        <n v="8342129"/>
        <n v="2082204"/>
        <n v="5814329"/>
        <n v="7537730"/>
        <n v="16021234"/>
        <n v="19301040"/>
        <n v="15280554"/>
        <n v="26143513"/>
        <n v="19367018"/>
        <n v="18370583"/>
        <n v="16420163"/>
        <n v="24978769"/>
        <n v="24401279"/>
        <n v="9839314"/>
        <n v="14370691"/>
        <n v="17027938"/>
        <n v="11421288"/>
        <n v="18362346"/>
        <n v="15041528"/>
        <n v="18204053"/>
        <n v="18667750"/>
        <n v="19631430"/>
        <n v="7927958"/>
        <n v="13428239"/>
      </sharedItems>
    </cacheField>
    <cacheField name="GROSS NPA" numFmtId="185">
      <sharedItems containsSemiMixedTypes="0" containsString="0" containsNumber="1" containsInteger="1" minValue="0" maxValue="10497755" count="84">
        <n v="506171"/>
        <n v="930142"/>
        <n v="1879384"/>
        <n v="264939"/>
        <n v="728726"/>
        <n v="2652668"/>
        <n v="923476"/>
        <n v="115112"/>
        <n v="707282"/>
        <n v="1847185"/>
        <n v="646819"/>
        <n v="398667"/>
        <n v="28996"/>
        <n v="1613918"/>
        <n v="592239"/>
        <n v="766669"/>
        <n v="1432985"/>
        <n v="1124218"/>
        <n v="0"/>
        <n v="215900"/>
        <n v="190520"/>
        <n v="700244"/>
        <n v="2922599"/>
        <n v="621353"/>
        <n v="678986"/>
        <n v="2201941"/>
        <n v="1358269"/>
        <n v="907497"/>
        <n v="1624097"/>
        <n v="324162"/>
        <n v="890857"/>
        <n v="1127261"/>
        <n v="3979172"/>
        <n v="1819907"/>
        <n v="1230051"/>
        <n v="10228681"/>
        <n v="9068132"/>
        <n v="5621486"/>
        <n v="2476471"/>
        <n v="1833461"/>
        <n v="296332"/>
        <n v="335236"/>
        <n v="2427957"/>
        <n v="8231700"/>
        <n v="652296"/>
        <n v="1274565"/>
        <n v="1506056"/>
        <n v="463984"/>
        <n v="2164096"/>
        <n v="1957744"/>
        <n v="2548514"/>
        <n v="1147315"/>
        <n v="1455178"/>
        <n v="3505788"/>
        <n v="3661320"/>
        <n v="2315091"/>
        <n v="1131476"/>
        <n v="1033561"/>
        <n v="287822"/>
        <n v="1672035"/>
        <n v="1034468"/>
        <n v="1485497"/>
        <n v="1996889"/>
        <n v="5359491"/>
        <n v="2422715"/>
        <n v="6309164"/>
        <n v="9534273"/>
        <n v="7704642"/>
        <n v="7814971"/>
        <n v="7888355"/>
        <n v="4253822"/>
        <n v="7468043"/>
        <n v="10497755"/>
        <n v="3697933"/>
        <n v="3212325"/>
        <n v="9230030"/>
        <n v="3076418"/>
        <n v="7223474"/>
        <n v="2548681"/>
        <n v="4378901"/>
        <n v="7163965"/>
        <n v="4431699"/>
        <n v="1846679"/>
        <n v="6399381"/>
      </sharedItems>
    </cacheField>
    <cacheField name="GNPA RATIO" numFmtId="180">
      <sharedItems containsSemiMixedTypes="0" containsString="0" containsNumber="1" minValue="0" maxValue="0.713425293583146" count="84">
        <n v="0.0772983960809209"/>
        <n v="0.106749289479616"/>
        <n v="0.474291414858616"/>
        <n v="0.0469020523398714"/>
        <n v="0.216257201268118"/>
        <n v="0.286129472694352"/>
        <n v="0.0826351961708531"/>
        <n v="0.0296278756119282"/>
        <n v="0.151898185035726"/>
        <n v="0.174819585706774"/>
        <n v="0.187372213760271"/>
        <n v="0.0969501345181992"/>
        <n v="0.00781599999568713"/>
        <n v="0.251843749073483"/>
        <n v="0.0875055038253433"/>
        <n v="0.142115593011345"/>
        <n v="0.164697876225664"/>
        <n v="0.204406914886847"/>
        <n v="0"/>
        <n v="0.0756827661682962"/>
        <n v="0.0231872487170765"/>
        <n v="0.107952910082356"/>
        <n v="0.367368176799358"/>
        <n v="0.08234666246818"/>
        <n v="0.155588313541435"/>
        <n v="0.199590511238235"/>
        <n v="0.387254770587011"/>
        <n v="0.110760852066829"/>
        <n v="0.46128858268175"/>
        <n v="0.142157486157535"/>
        <n v="0.0975699431955398"/>
        <n v="0.137707172601567"/>
        <n v="0.147473302982349"/>
        <n v="0.0832773432364611"/>
        <n v="0.0401564613686864"/>
        <n v="0.53928200657334"/>
        <n v="0.282657738286621"/>
        <n v="0.147829241246352"/>
        <n v="0.0758054882775457"/>
        <n v="0.18640258039119"/>
        <n v="0.0134507557823039"/>
        <n v="0.0119057520839399"/>
        <n v="0.116740117759592"/>
        <n v="0.353791891612643"/>
        <n v="0.115078153241006"/>
        <n v="0.15675437945957"/>
        <n v="0.0835607263875794"/>
        <n v="0.0487066623039109"/>
        <n v="0.168917288214124"/>
        <n v="0.204047867676311"/>
        <n v="0.244382329811441"/>
        <n v="0.24188148573544"/>
        <n v="0.162607362206559"/>
        <n v="0.305818740931089"/>
        <n v="0.424221891412395"/>
        <n v="0.339871728789792"/>
        <n v="0.154672725938039"/>
        <n v="0.155682192695314"/>
        <n v="0.0552208068681912"/>
        <n v="0.17597995470295"/>
        <n v="0.124005274912435"/>
        <n v="0.713425293583146"/>
        <n v="0.343442725721231"/>
        <n v="0.711021885899336"/>
        <n v="0.15121900098332"/>
        <n v="0.326882074748304"/>
        <n v="0.623948123870378"/>
        <n v="0.294705688558382"/>
        <n v="0.40351958158969"/>
        <n v="0.429401451222316"/>
        <n v="0.259060887519813"/>
        <n v="0.298975622057276"/>
        <n v="0.430213309720363"/>
        <n v="0.375832400510849"/>
        <n v="0.223533092458811"/>
        <n v="0.542052126334968"/>
        <n v="0.269358237004443"/>
        <n v="0.39338513717147"/>
        <n v="0.169442958188822"/>
        <n v="0.2405453884363"/>
        <n v="0.383761567409034"/>
        <n v="0.225745093454731"/>
        <n v="0.232932490308349"/>
        <n v="0.476561446366869"/>
      </sharedItems>
    </cacheField>
    <cacheField name="PROVISION RATE" numFmtId="180">
      <sharedItems containsSemiMixedTypes="0" containsString="0" containsNumber="1" minValue="0" maxValue="0.76" count="10">
        <n v="0.71"/>
        <n v="0.7"/>
        <n v="0.68"/>
        <n v="0.72"/>
        <n v="0.744"/>
        <n v="0.727"/>
        <n v="0.73"/>
        <n v="0.76"/>
        <n v="0.74"/>
        <n v="0.75"/>
      </sharedItems>
    </cacheField>
    <cacheField name="PROVISION" numFmtId="181">
      <sharedItems containsSemiMixedTypes="0" containsString="0" containsNumber="1" minValue="0" maxValue="7663361.15" count="84">
        <n v="359381.41"/>
        <n v="660400.82"/>
        <n v="1315568.8"/>
        <n v="180158.52"/>
        <n v="524682.72"/>
        <n v="1803814.24"/>
        <n v="627963.68"/>
        <n v="85643.328"/>
        <n v="509243.04"/>
        <n v="1256085.8"/>
        <n v="459241.49"/>
        <n v="283053.57"/>
        <n v="21080.092"/>
        <n v="1178160.14"/>
        <n v="420489.69"/>
        <n v="559668.37"/>
        <n v="1046079.05"/>
        <n v="854405.68"/>
        <n v="0"/>
        <n v="161925"/>
        <n v="137174.4"/>
        <n v="504175.68"/>
        <n v="2133497.27"/>
        <n v="441160.63"/>
        <n v="461710.48"/>
        <n v="1497319.88"/>
        <n v="950788.3"/>
        <n v="617097.96"/>
        <n v="1104385.96"/>
        <n v="241176.528"/>
        <n v="650325.61"/>
        <n v="845445.75"/>
        <n v="2825212.12"/>
        <n v="1273934.9"/>
        <n v="885636.72"/>
        <n v="6955503.08"/>
        <n v="6529055.04"/>
        <n v="3991255.06"/>
        <n v="1758294.41"/>
        <n v="1332926.147"/>
        <n v="216322.36"/>
        <n v="244722.28"/>
        <n v="1845247.32"/>
        <n v="6173775"/>
        <n v="463130.16"/>
        <n v="917686.8"/>
        <n v="1084360.32"/>
        <n v="337316.368"/>
        <n v="1579790.08"/>
        <n v="1389998.24"/>
        <n v="1732989.52"/>
        <n v="780174.2"/>
        <n v="1062279.94"/>
        <n v="2664398.88"/>
        <n v="2562924"/>
        <n v="1574261.88"/>
        <n v="803347.96"/>
        <n v="733828.31"/>
        <n v="212988.28"/>
        <n v="1136983.8"/>
        <n v="769644.192"/>
        <n v="1054702.87"/>
        <n v="1457728.97"/>
        <n v="4019618.25"/>
        <n v="1720127.65"/>
        <n v="4542598.08"/>
        <n v="6864676.56"/>
        <n v="5601274.734"/>
        <n v="5704928.83"/>
        <n v="5600732.05"/>
        <n v="2892598.96"/>
        <n v="5078269.24"/>
        <n v="7663361.15"/>
        <n v="2810429.08"/>
        <n v="2248627.5"/>
        <n v="6276420.4"/>
        <n v="2184256.78"/>
        <n v="5128666.54"/>
        <n v="1886023.94"/>
        <n v="2977652.68"/>
        <n v="5329989.96"/>
        <n v="3146506.29"/>
        <n v="1348075.67"/>
        <n v="4799535.75"/>
      </sharedItems>
    </cacheField>
    <cacheField name="NET NPA" numFmtId="176">
      <sharedItems containsSemiMixedTypes="0" containsString="0" containsNumber="1" minValue="0" maxValue="3273177.92" count="84">
        <n v="146789.59"/>
        <n v="269741.18"/>
        <n v="563815.2"/>
        <n v="84780.48"/>
        <n v="204043.28"/>
        <n v="848853.76"/>
        <n v="295512.32"/>
        <n v="29468.672"/>
        <n v="198038.96"/>
        <n v="591099.2"/>
        <n v="187577.51"/>
        <n v="115613.43"/>
        <n v="7915.908"/>
        <n v="435757.86"/>
        <n v="171749.31"/>
        <n v="207000.63"/>
        <n v="386905.95"/>
        <n v="269812.32"/>
        <n v="0"/>
        <n v="53975"/>
        <n v="53345.6"/>
        <n v="196068.32"/>
        <n v="789101.73"/>
        <n v="180192.37"/>
        <n v="217275.52"/>
        <n v="704621.12"/>
        <n v="407480.7"/>
        <n v="290399.04"/>
        <n v="519711.04"/>
        <n v="82985.472"/>
        <n v="240531.39"/>
        <n v="281815.25"/>
        <n v="1153959.88"/>
        <n v="545972.1"/>
        <n v="344414.28"/>
        <n v="3273177.92"/>
        <n v="2539076.96"/>
        <n v="1630230.94"/>
        <n v="718176.59"/>
        <n v="500534.853"/>
        <n v="80009.64"/>
        <n v="90513.72"/>
        <n v="582709.68"/>
        <n v="2057925"/>
        <n v="189165.84"/>
        <n v="356878.2"/>
        <n v="421695.68"/>
        <n v="126667.632"/>
        <n v="584305.92"/>
        <n v="567745.76"/>
        <n v="815524.48"/>
        <n v="367140.8"/>
        <n v="392898.06"/>
        <n v="841389.12"/>
        <n v="1098396"/>
        <n v="740829.12"/>
        <n v="328128.04"/>
        <n v="299732.69"/>
        <n v="74833.72"/>
        <n v="535051.2"/>
        <n v="264823.808"/>
        <n v="430794.13"/>
        <n v="539160.03"/>
        <n v="1339872.75"/>
        <n v="702587.35"/>
        <n v="1766565.92"/>
        <n v="2669596.44"/>
        <n v="2103367.266"/>
        <n v="2110042.17"/>
        <n v="2287622.95"/>
        <n v="1361223.04"/>
        <n v="2389773.76"/>
        <n v="2834393.85"/>
        <n v="887503.92"/>
        <n v="963697.5"/>
        <n v="2953609.6"/>
        <n v="892161.22"/>
        <n v="2094807.46"/>
        <n v="662657.06"/>
        <n v="1401248.32"/>
        <n v="1833975.04"/>
        <n v="1285192.71"/>
        <n v="498603.33"/>
        <n v="1599845.25"/>
      </sharedItems>
    </cacheField>
    <cacheField name="NPA RATIO" numFmtId="180">
      <sharedItems containsSemiMixedTypes="0" containsString="0" containsNumber="1" minValue="0" maxValue="0.206893335139112" count="84">
        <n v="0.0224165348634671"/>
        <n v="0.0309572939490886"/>
        <n v="0.142287424457585"/>
        <n v="0.0150086567487588"/>
        <n v="0.0605520163550729"/>
        <n v="0.0915614312621927"/>
        <n v="0.026443262774673"/>
        <n v="0.00758473615665361"/>
        <n v="0.0425314918100033"/>
        <n v="0.0559422674261676"/>
        <n v="0.0543379419904787"/>
        <n v="0.0281155390102778"/>
        <n v="0.00213376799882259"/>
        <n v="0.0679978122498405"/>
        <n v="0.0253765961093496"/>
        <n v="0.0383712101130631"/>
        <n v="0.0444684265809294"/>
        <n v="0.0490576595728433"/>
        <n v="0"/>
        <n v="0.018920691542074"/>
        <n v="0.00649242964078142"/>
        <n v="0.0302268148230598"/>
        <n v="0.0991894077358267"/>
        <n v="0.0238805321157722"/>
        <n v="0.0497882603332592"/>
        <n v="0.0638689635962352"/>
        <n v="0.116176431176103"/>
        <n v="0.0354434726613852"/>
        <n v="0.14761234645816"/>
        <n v="0.036392316456329"/>
        <n v="0.0263438846627957"/>
        <n v="0.0344267931503917"/>
        <n v="0.0427672578648812"/>
        <n v="0.0249832029709383"/>
        <n v="0.0112438091832322"/>
        <n v="0.172570242103469"/>
        <n v="0.0791441667202539"/>
        <n v="0.042870479961442"/>
        <n v="0.0219835916004883"/>
        <n v="0.050887904446795"/>
        <n v="0.00363170406122206"/>
        <n v="0.00321455306266377"/>
        <n v="0.0280176282623022"/>
        <n v="0.0884479729031608"/>
        <n v="0.0333726644398916"/>
        <n v="0.0438912262486796"/>
        <n v="0.0233970033885222"/>
        <n v="0.0132969188089677"/>
        <n v="0.0456076678178135"/>
        <n v="0.0591738816261302"/>
        <n v="0.078202345539661"/>
        <n v="0.0774020754353409"/>
        <n v="0.0439039877957709"/>
        <n v="0.0733964978234613"/>
        <n v="0.127266567423719"/>
        <n v="0.108758953212733"/>
        <n v="0.0448550905220312"/>
        <n v="0.0451478358816409"/>
        <n v="0.0143574097857297"/>
        <n v="0.056313585504944"/>
        <n v="0.0317453503775835"/>
        <n v="0.206893335139112"/>
        <n v="0.0927295359447324"/>
        <n v="0.177755471474834"/>
        <n v="0.0438535102851628"/>
        <n v="0.091526980929525"/>
        <n v="0.174705474683706"/>
        <n v="0.0804546529764382"/>
        <n v="0.108950287029216"/>
        <n v="0.124526420854472"/>
        <n v="0.0828994840063402"/>
        <n v="0.0956721990583283"/>
        <n v="0.116157593624498"/>
        <n v="0.0901997761226037"/>
        <n v="0.0670599277376432"/>
        <n v="0.17345668042719"/>
        <n v="0.0781138887312885"/>
        <n v="0.114081689779726"/>
        <n v="0.0440551691290938"/>
        <n v="0.0769745242996161"/>
        <n v="0.0982429612567128"/>
        <n v="0.0654660771018718"/>
        <n v="0.0628917723832543"/>
        <n v="0.119140361591717"/>
      </sharedItems>
    </cacheField>
    <cacheField name="RECOVERY" numFmtId="176">
      <sharedItems containsSemiMixedTypes="0" containsString="0" containsNumber="1" containsInteger="1" minValue="0" maxValue="6051431" count="84">
        <n v="280034"/>
        <n v="212550"/>
        <n v="787767"/>
        <n v="125797"/>
        <n v="503748"/>
        <n v="1271531"/>
        <n v="330919"/>
        <n v="241982"/>
        <n v="224184"/>
        <n v="827685"/>
        <n v="167083"/>
        <n v="213893"/>
        <n v="20640"/>
        <n v="912314"/>
        <n v="935978"/>
        <n v="305446"/>
        <n v="605445"/>
        <n v="602870"/>
        <n v="0"/>
        <n v="116855"/>
        <n v="26239"/>
        <n v="268459"/>
        <n v="1186841"/>
        <n v="250000"/>
        <n v="262032"/>
        <n v="1199627"/>
        <n v="701009"/>
        <n v="608811"/>
        <n v="1009000"/>
        <n v="178815"/>
        <n v="290796"/>
        <n v="641533"/>
        <n v="1702767"/>
        <n v="645350"/>
        <n v="258059"/>
        <n v="1352494"/>
        <n v="4063197"/>
        <n v="3776559"/>
        <n v="1183590"/>
        <n v="1264931"/>
        <n v="236204"/>
        <n v="204678"/>
        <n v="1858564"/>
        <n v="4120737"/>
        <n v="442869"/>
        <n v="521742"/>
        <n v="550840"/>
        <n v="170248"/>
        <n v="1228598"/>
        <n v="684989"/>
        <n v="828456"/>
        <n v="279630"/>
        <n v="576281"/>
        <n v="1513764"/>
        <n v="1491070"/>
        <n v="1114656"/>
        <n v="629736"/>
        <n v="536211"/>
        <n v="123156"/>
        <n v="1148592"/>
        <n v="239017"/>
        <n v="497206"/>
        <n v="610874"/>
        <n v="2573382"/>
        <n v="760153"/>
        <n v="3474259"/>
        <n v="3484205"/>
        <n v="2414553"/>
        <n v="2570931"/>
        <n v="3402932"/>
        <n v="1805357"/>
        <n v="3611344"/>
        <n v="5640949"/>
        <n v="1817281"/>
        <n v="1667738"/>
        <n v="6051431"/>
        <n v="1463082"/>
        <n v="4068383"/>
        <n v="1361602"/>
        <n v="1652524"/>
        <n v="3080495"/>
        <n v="808307"/>
        <n v="472490"/>
        <n v="2181475"/>
      </sharedItems>
    </cacheField>
    <cacheField name="NO.OF ACCOUNTS" numFmtId="0">
      <sharedItems containsSemiMixedTypes="0" containsString="0" containsNumber="1" containsInteger="1" minValue="0" maxValue="21" count="17">
        <n v="13"/>
        <n v="20"/>
        <n v="14"/>
        <n v="19"/>
        <n v="18"/>
        <n v="12"/>
        <n v="15"/>
        <n v="21"/>
        <n v="9"/>
        <n v="16"/>
        <n v="8"/>
        <n v="11"/>
        <n v="5"/>
        <n v="6"/>
        <n v="7"/>
        <n v="17"/>
        <n v="10"/>
      </sharedItems>
    </cacheField>
    <cacheField name="REPO RATES" numFmtId="0">
      <sharedItems containsSemiMixedTypes="0" containsString="0" containsNumber="1" minValue="0" maxValue="0.065" count="10">
        <n v="0.06"/>
        <n v="0.0575"/>
        <n v="0.054"/>
        <n v="0.0515"/>
        <n v="0.044"/>
        <n v="0.04"/>
        <n v="0.049"/>
        <n v="0.059"/>
        <n v="0.0625"/>
        <n v="0.065"/>
      </sharedItems>
    </cacheField>
    <cacheField name="CPI" numFmtId="10">
      <sharedItems containsSemiMixedTypes="0" containsString="0" containsNumber="1" minValue="-0.0039" maxValue="0.0273" count="20">
        <n v="0.0198"/>
        <n v="0.0205"/>
        <n v="0.0201"/>
        <n v="0.0228"/>
        <n v="0.001"/>
        <n v="0.0071"/>
        <n v="0.0233"/>
        <n v="0.0172"/>
        <n v="-0.0039"/>
        <n v="0.0156"/>
        <n v="0.0184"/>
        <n v="0.0186"/>
        <n v="0.0002"/>
        <n v="0.026"/>
        <n v="0.0142"/>
        <n v="0.015"/>
        <n v="0.0037"/>
        <n v="0.0162"/>
        <n v="0.0273"/>
        <n v="0.0154"/>
      </sharedItems>
    </cacheField>
    <cacheField name="GDP" numFmtId="10">
      <sharedItems containsSemiMixedTypes="0" containsString="0" containsNumber="1" minValue="-0.0578" maxValue="0.0969" count="5">
        <n v="0.0387"/>
        <n v="-0.0578"/>
        <n v="0.0969"/>
        <n v="0.0699"/>
        <n v="0.081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03.7353356481" refreshedBy="sankaranarayanankathirersan" recordCount="1300">
  <cacheSource type="worksheet">
    <worksheetSource name="Table4"/>
  </cacheSource>
  <cacheFields count="11">
    <cacheField name="LOAN ID" numFmtId="0">
      <sharedItems count="1300">
        <s v="L0001"/>
        <s v="L0002"/>
        <s v="L0003"/>
        <s v="L0004"/>
        <s v="L0005"/>
        <s v="L0006"/>
        <s v="L0007"/>
        <s v="L0008"/>
        <s v="L0009"/>
        <s v="L0010"/>
        <s v="L0011"/>
        <s v="L0012"/>
        <s v="L0013"/>
        <s v="L0014"/>
        <s v="L0015"/>
        <s v="L0016"/>
        <s v="L0017"/>
        <s v="L0018"/>
        <s v="L0019"/>
        <s v="L0020"/>
        <s v="L0021"/>
        <s v="L0022"/>
        <s v="L0023"/>
        <s v="L0024"/>
        <s v="L0025"/>
        <s v="L0026"/>
        <s v="L0027"/>
        <s v="L0028"/>
        <s v="L0029"/>
        <s v="L0030"/>
        <s v="L0031"/>
        <s v="L0032"/>
        <s v="L0033"/>
        <s v="L0034"/>
        <s v="L0035"/>
        <s v="L0036"/>
        <s v="L0037"/>
        <s v="L0038"/>
        <s v="L0039"/>
        <s v="L0040"/>
        <s v="L0041"/>
        <s v="L0042"/>
        <s v="L0043"/>
        <s v="L0044"/>
        <s v="L0045"/>
        <s v="L0046"/>
        <s v="L0047"/>
        <s v="L0048"/>
        <s v="L0049"/>
        <s v="L0050"/>
        <s v="L0051"/>
        <s v="L0052"/>
        <s v="L0053"/>
        <s v="L0054"/>
        <s v="L0055"/>
        <s v="L0056"/>
        <s v="L0057"/>
        <s v="L0058"/>
        <s v="L0059"/>
        <s v="L0060"/>
        <s v="L0061"/>
        <s v="L0062"/>
        <s v="L0063"/>
        <s v="L0064"/>
        <s v="L0065"/>
        <s v="L0066"/>
        <s v="L0067"/>
        <s v="L0068"/>
        <s v="L0069"/>
        <s v="L0070"/>
        <s v="L0071"/>
        <s v="L0072"/>
        <s v="L0726"/>
        <s v="L0074"/>
        <s v="L0075"/>
        <s v="L0076"/>
        <s v="L0077"/>
        <s v="L0078"/>
        <s v="L0079"/>
        <s v="L0080"/>
        <s v="L0081"/>
        <s v="L0082"/>
        <s v="L0083"/>
        <s v="L0084"/>
        <s v="L0085"/>
        <s v="L0086"/>
        <s v="L0087"/>
        <s v="L0088"/>
        <s v="L0089"/>
        <s v="L0090"/>
        <s v="L0091"/>
        <s v="L0092"/>
        <s v="L0093"/>
        <s v="L0094"/>
        <s v="L0095"/>
        <s v="L0096"/>
        <s v="L0097"/>
        <s v="L0098"/>
        <s v="L0099"/>
        <s v="L0100"/>
        <s v="L0101"/>
        <s v="L0102"/>
        <s v="L0103"/>
        <s v="L0428"/>
        <s v="L0105"/>
        <s v="L0106"/>
        <s v="L0107"/>
        <s v="L0108"/>
        <s v="L0109"/>
        <s v="L0110"/>
        <s v="L0111"/>
        <s v="L0112"/>
        <s v="L0113"/>
        <s v="L0114"/>
        <s v="L0115"/>
        <s v="L0116"/>
        <s v="L0117"/>
        <s v="L0118"/>
        <s v="L0119"/>
        <s v="L0120"/>
        <s v="L0121"/>
        <s v="L0122"/>
        <s v="L0123"/>
        <s v="L0124"/>
        <s v="L0125"/>
        <s v="L0126"/>
        <s v="L0127"/>
        <s v="L0139"/>
        <s v="L0129"/>
        <s v="L0130"/>
        <s v="L0131"/>
        <s v="L0132"/>
        <s v="L0133"/>
        <s v="L0134"/>
        <s v="L0135"/>
        <s v="L0136"/>
        <s v="L0137"/>
        <s v="L0138"/>
        <s v="L0173"/>
        <s v="L0140"/>
        <s v="L0141"/>
        <s v="L0629"/>
        <s v="L0143"/>
        <s v="L0144"/>
        <s v="L0145"/>
        <s v="L0146"/>
        <s v="L0147"/>
        <s v="L0148"/>
        <s v="L0149"/>
        <s v="L0150"/>
        <s v="L0151"/>
        <s v="L0152"/>
        <s v="L0153"/>
        <s v="L0154"/>
        <s v="L0155"/>
        <s v="L0156"/>
        <s v="L0157"/>
        <s v="L0890"/>
        <s v="L0159"/>
        <s v="L0160"/>
        <s v="L0161"/>
        <s v="L0162"/>
        <s v="L0163"/>
        <s v="L0164"/>
        <s v="L0165"/>
        <s v="L0166"/>
        <s v="L0167"/>
        <s v="L0168"/>
        <s v="L0169"/>
        <s v="L0170"/>
        <s v="L0171"/>
        <s v="L0172"/>
        <s v="L0341"/>
        <s v="L0174"/>
        <s v="L0175"/>
        <s v="L0176"/>
        <s v="L0177"/>
        <s v="L0178"/>
        <s v="L0179"/>
        <s v="L0180"/>
        <s v="L0181"/>
        <s v="L0182"/>
        <s v="L0183"/>
        <s v="L0184"/>
        <s v="L0185"/>
        <s v="L0186"/>
        <s v="L0187"/>
        <s v="L0188"/>
        <s v="L0189"/>
        <s v="L0190"/>
        <s v="L0191"/>
        <s v="L0192"/>
        <s v="L0193"/>
        <s v="L0194"/>
        <s v="L0195"/>
        <s v="L0196"/>
        <s v="L0197"/>
        <s v="L0198"/>
        <s v="L0199"/>
        <s v="L0200"/>
        <s v="L0201"/>
        <s v="L0202"/>
        <s v="L0203"/>
        <s v="L0204"/>
        <s v="L0205"/>
        <s v="L0206"/>
        <s v="L0207"/>
        <s v="L0208"/>
        <s v="L0209"/>
        <s v="L0210"/>
        <s v="L0211"/>
        <s v="L0212"/>
        <s v="L0213"/>
        <s v="L0214"/>
        <s v="L0215"/>
        <s v="L0216"/>
        <s v="L0217"/>
        <s v="L0218"/>
        <s v="L0219"/>
        <s v="L0698"/>
        <s v="L0221"/>
        <s v="L0222"/>
        <s v="L1252"/>
        <s v="L0224"/>
        <s v="L0225"/>
        <s v="L0226"/>
        <s v="L0227"/>
        <s v="L0228"/>
        <s v="L0229"/>
        <s v="L0230"/>
        <s v="L0231"/>
        <s v="L0232"/>
        <s v="L0233"/>
        <s v="L0234"/>
        <s v="L0235"/>
        <s v="L0236"/>
        <s v="L0237"/>
        <s v="L0238"/>
        <s v="L0239"/>
        <s v="L0240"/>
        <s v="L0241"/>
        <s v="L0993"/>
        <s v="L0243"/>
        <s v="L0244"/>
        <s v="L0245"/>
        <s v="L0246"/>
        <s v="L0247"/>
        <s v="L0248"/>
        <s v="L0249"/>
        <s v="L0250"/>
        <s v="L0251"/>
        <s v="L0252"/>
        <s v="L0253"/>
        <s v="L0254"/>
        <s v="L0255"/>
        <s v="L0256"/>
        <s v="L0257"/>
        <s v="L0258"/>
        <s v="L0259"/>
        <s v="L0260"/>
        <s v="L0261"/>
        <s v="L0262"/>
        <s v="L0263"/>
        <s v="L0264"/>
        <s v="L0265"/>
        <s v="L0266"/>
        <s v="L0267"/>
        <s v="L0268"/>
        <s v="L0269"/>
        <s v="L1091"/>
        <s v="L0271"/>
        <s v="L0272"/>
        <s v="L0273"/>
        <s v="L0274"/>
        <s v="L0275"/>
        <s v="L0276"/>
        <s v="L0277"/>
        <s v="L0278"/>
        <s v="L0279"/>
        <s v="L0280"/>
        <s v="L0281"/>
        <s v="L0282"/>
        <s v="L0283"/>
        <s v="L0284"/>
        <s v="L0285"/>
        <s v="L0286"/>
        <s v="L0287"/>
        <s v="L0288"/>
        <s v="L0289"/>
        <s v="L0290"/>
        <s v="L0291"/>
        <s v="L0292"/>
        <s v="L0293"/>
        <s v="L0294"/>
        <s v="L0295"/>
        <s v="L0296"/>
        <s v="L0297"/>
        <s v="L0298"/>
        <s v="L0299"/>
        <s v="L0300"/>
        <s v="L0301"/>
        <s v="L0302"/>
        <s v="L0303"/>
        <s v="L0304"/>
        <s v="L0305"/>
        <s v="L0306"/>
        <s v="L0307"/>
        <s v="L0308"/>
        <s v="L0309"/>
        <s v="L0310"/>
        <s v="L0220"/>
        <s v="L0312"/>
        <s v="L0313"/>
        <s v="L0314"/>
        <s v="L0315"/>
        <s v="L0316"/>
        <s v="L0317"/>
        <s v="L0318"/>
        <s v="L0319"/>
        <s v="L0320"/>
        <s v="L0321"/>
        <s v="L0322"/>
        <s v="L0323"/>
        <s v="L0324"/>
        <s v="L0325"/>
        <s v="L0326"/>
        <s v="L0327"/>
        <s v="L0328"/>
        <s v="L0329"/>
        <s v="L0330"/>
        <s v="L0331"/>
        <s v="L0332"/>
        <s v="L0333"/>
        <s v="L0334"/>
        <s v="L0335"/>
        <s v="L0336"/>
        <s v="L0337"/>
        <s v="L0338"/>
        <s v="L0270"/>
        <s v="L0340"/>
        <s v="L0311"/>
        <s v="L0342"/>
        <s v="L0343"/>
        <s v="L0344"/>
        <s v="L0345"/>
        <s v="L0346"/>
        <s v="L0347"/>
        <s v="L0348"/>
        <s v="L0349"/>
        <s v="L0350"/>
        <s v="L0351"/>
        <s v="L0352"/>
        <s v="L0353"/>
        <s v="L0354"/>
        <s v="L0355"/>
        <s v="L0356"/>
        <s v="L0357"/>
        <s v="L0358"/>
        <s v="L0359"/>
        <s v="L0360"/>
        <s v="L0361"/>
        <s v="L0362"/>
        <s v="L0363"/>
        <s v="L0364"/>
        <s v="L0365"/>
        <s v="L0366"/>
        <s v="L0367"/>
        <s v="L0368"/>
        <s v="L0369"/>
        <s v="L0370"/>
        <s v="L0371"/>
        <s v="L0372"/>
        <s v="L0373"/>
        <s v="L0374"/>
        <s v="L0375"/>
        <s v="L0376"/>
        <s v="L0377"/>
        <s v="L0378"/>
        <s v="L0379"/>
        <s v="L0380"/>
        <s v="L0381"/>
        <s v="L0382"/>
        <s v="L0383"/>
        <s v="L0384"/>
        <s v="L0385"/>
        <s v="L0386"/>
        <s v="L0387"/>
        <s v="L0510"/>
        <s v="L0389"/>
        <s v="L0390"/>
        <s v="L0391"/>
        <s v="L0392"/>
        <s v="L0393"/>
        <s v="L0394"/>
        <s v="L0395"/>
        <s v="L0396"/>
        <s v="L0599"/>
        <s v="L0398"/>
        <s v="L0399"/>
        <s v="L0400"/>
        <s v="L0401"/>
        <s v="L0402"/>
        <s v="L0403"/>
        <s v="L0404"/>
        <s v="L0405"/>
        <s v="L0406"/>
        <s v="L0407"/>
        <s v="L0408"/>
        <s v="L0409"/>
        <s v="L0464"/>
        <s v="L0411"/>
        <s v="L0412"/>
        <s v="L0413"/>
        <s v="L0414"/>
        <s v="L0415"/>
        <s v="L0416"/>
        <s v="L0417"/>
        <s v="L0418"/>
        <s v="L0419"/>
        <s v="L0420"/>
        <s v="L0421"/>
        <s v="L0422"/>
        <s v="L0423"/>
        <s v="L0424"/>
        <s v="L0425"/>
        <s v="L0426"/>
        <s v="L0427"/>
        <s v="L0733"/>
        <s v="L0429"/>
        <s v="L0430"/>
        <s v="L0431"/>
        <s v="L0432"/>
        <s v="L0433"/>
        <s v="L0434"/>
        <s v="L0435"/>
        <s v="L0436"/>
        <s v="L0437"/>
        <s v="L0438"/>
        <s v="L0439"/>
        <s v="L0440"/>
        <s v="L0441"/>
        <s v="L0442"/>
        <s v="L0443"/>
        <s v="L0444"/>
        <s v="L0445"/>
        <s v="L0446"/>
        <s v="L0447"/>
        <s v="L0448"/>
        <s v="L0449"/>
        <s v="L0450"/>
        <s v="L0451"/>
        <s v="L0452"/>
        <s v="L0453"/>
        <s v="L0454"/>
        <s v="L0455"/>
        <s v="L0456"/>
        <s v="L0457"/>
        <s v="L0458"/>
        <s v="L0459"/>
        <s v="L0460"/>
        <s v="L0461"/>
        <s v="L0462"/>
        <s v="L0463"/>
        <s v="L0536"/>
        <s v="L0465"/>
        <s v="L0466"/>
        <s v="L0467"/>
        <s v="L0468"/>
        <s v="L0469"/>
        <s v="L0470"/>
        <s v="L0471"/>
        <s v="L0472"/>
        <s v="L0473"/>
        <s v="L0567"/>
        <s v="L0475"/>
        <s v="L0476"/>
        <s v="L0477"/>
        <s v="L0478"/>
        <s v="L0479"/>
        <s v="L1001"/>
        <s v="L0481"/>
        <s v="L0482"/>
        <s v="L0483"/>
        <s v="L0484"/>
        <s v="L0485"/>
        <s v="L0486"/>
        <s v="L0487"/>
        <s v="L0488"/>
        <s v="L0489"/>
        <s v="L0490"/>
        <s v="L0491"/>
        <s v="L0492"/>
        <s v="L0493"/>
        <s v="L0494"/>
        <s v="L0495"/>
        <s v="L0496"/>
        <s v="L0497"/>
        <s v="L0498"/>
        <s v="L0499"/>
        <s v="L0500"/>
        <s v="L0501"/>
        <s v="L0502"/>
        <s v="L0503"/>
        <s v="L0504"/>
        <s v="L0505"/>
        <s v="L0506"/>
        <s v="L0507"/>
        <s v="L0508"/>
        <s v="L0509"/>
        <s v="L0942"/>
        <s v="L0511"/>
        <s v="L0512"/>
        <s v="L0513"/>
        <s v="L1056"/>
        <s v="L0515"/>
        <s v="L0516"/>
        <s v="L0517"/>
        <s v="L1145"/>
        <s v="L0519"/>
        <s v="L0520"/>
        <s v="L0521"/>
        <s v="L1188"/>
        <s v="L0523"/>
        <s v="L0524"/>
        <s v="L0525"/>
        <s v="L0526"/>
        <s v="L0527"/>
        <s v="L1140"/>
        <s v="L0529"/>
        <s v="L0530"/>
        <s v="L0531"/>
        <s v="L0532"/>
        <s v="L0533"/>
        <s v="L0534"/>
        <s v="L0535"/>
        <s v="L1152"/>
        <s v="L0537"/>
        <s v="L0538"/>
        <s v="L0539"/>
        <s v="L0540"/>
        <s v="L0541"/>
        <s v="L0542"/>
        <s v="L0543"/>
        <s v="L0544"/>
        <s v="L0545"/>
        <s v="L0546"/>
        <s v="L0547"/>
        <s v="L0548"/>
        <s v="L0549"/>
        <s v="L0550"/>
        <s v="L0551"/>
        <s v="L0552"/>
        <s v="L0553"/>
        <s v="L0518"/>
        <s v="L0555"/>
        <s v="L0556"/>
        <s v="L0656"/>
        <s v="L0558"/>
        <s v="L0559"/>
        <s v="L0560"/>
        <s v="L1046"/>
        <s v="L1104"/>
        <s v="L0563"/>
        <s v="L0564"/>
        <s v="L0565"/>
        <s v="L0566"/>
        <s v="L1163"/>
        <s v="L0568"/>
        <s v="L1282"/>
        <s v="L0570"/>
        <s v="L0397"/>
        <s v="L0572"/>
        <s v="L0573"/>
        <s v="L0574"/>
        <s v="L0575"/>
        <s v="L0576"/>
        <s v="L0577"/>
        <s v="L0578"/>
        <s v="L0579"/>
        <s v="L0580"/>
        <s v="L0582"/>
        <s v="L1101"/>
        <s v="L1110"/>
        <s v="L0584"/>
        <s v="L0585"/>
        <s v="L0586"/>
        <s v="L0587"/>
        <s v="L0588"/>
        <s v="L1254"/>
        <s v="L0590"/>
        <s v="L0591"/>
        <s v="L1283"/>
        <s v="L0593"/>
        <s v="L0594"/>
        <s v="L0595"/>
        <s v="L0596"/>
        <s v="L0597"/>
        <s v="L0598"/>
        <s v="L0770"/>
        <s v="L0600"/>
        <s v="L0601"/>
        <s v="L0602"/>
        <s v="L0242"/>
        <s v="L0604"/>
        <s v="L0605"/>
        <s v="L0606"/>
        <s v="L0848"/>
        <s v="L0608"/>
        <s v="L0609"/>
        <s v="L0610"/>
        <s v="L0611"/>
        <s v="L0612"/>
        <s v="L0613"/>
        <s v="L0614"/>
        <s v="L0615"/>
        <s v="L0616"/>
        <s v="L0617"/>
        <s v="L0887"/>
        <s v="L0619"/>
        <s v="L0620"/>
        <s v="L0621"/>
        <s v="L0622"/>
        <s v="L0623"/>
        <s v="L0624"/>
        <s v="L0625"/>
        <s v="L0626"/>
        <s v="L0627"/>
        <s v="L0628"/>
        <s v="L0971"/>
        <s v="L0630"/>
        <s v="L0631"/>
        <s v="L0632"/>
        <s v="L0633"/>
        <s v="L0634"/>
        <s v="L0635"/>
        <s v="L0636"/>
        <s v="L0637"/>
        <s v="L0638"/>
        <s v="L0639"/>
        <s v="L0640"/>
        <s v="L0641"/>
        <s v="L0642"/>
        <s v="L0643"/>
        <s v="L0644"/>
        <s v="L0645"/>
        <s v="L1161"/>
        <s v="L0647"/>
        <s v="L0648"/>
        <s v="L0649"/>
        <s v="L0650"/>
        <s v="L0651"/>
        <s v="L0652"/>
        <s v="L0653"/>
        <s v="L0654"/>
        <s v="L0655"/>
        <s v="L1218"/>
        <s v="L0657"/>
        <s v="L0658"/>
        <s v="L0659"/>
        <s v="L0660"/>
        <s v="L0661"/>
        <s v="L0662"/>
        <s v="L0663"/>
        <s v="L0664"/>
        <s v="L0665"/>
        <s v="L0223"/>
        <s v="L0667"/>
        <s v="L0668"/>
        <s v="L0669"/>
        <s v="L0670"/>
        <s v="L0671"/>
        <s v="L0672"/>
        <s v="L0561"/>
        <s v="L0674"/>
        <s v="L0675"/>
        <s v="L0676"/>
        <s v="L0677"/>
        <s v="L0678"/>
        <s v="L0679"/>
        <s v="L0680"/>
        <s v="L0681"/>
        <s v="L0682"/>
        <s v="L0683"/>
        <s v="L0684"/>
        <s v="L0685"/>
        <s v="L0686"/>
        <s v="L0687"/>
        <s v="L0688"/>
        <s v="L0689"/>
        <s v="L0690"/>
        <s v="L0691"/>
        <s v="L0692"/>
        <s v="L0693"/>
        <s v="L0694"/>
        <s v="L0695"/>
        <s v="L0696"/>
        <s v="L0697"/>
        <s v="L0339"/>
        <s v="L0569"/>
        <s v="L0700"/>
        <s v="L0607"/>
        <s v="L0702"/>
        <s v="L0703"/>
        <s v="L0704"/>
        <s v="L0705"/>
        <s v="L0706"/>
        <s v="L0707"/>
        <s v="L0892"/>
        <s v="L0709"/>
        <s v="L1149"/>
        <s v="L0711"/>
        <s v="L0712"/>
        <s v="L0713"/>
        <s v="L0714"/>
        <s v="L0715"/>
        <s v="L0716"/>
        <s v="L0717"/>
        <s v="L0718"/>
        <s v="L0719"/>
        <s v="L0720"/>
        <s v="L1176"/>
        <s v="L0722"/>
        <s v="L0723"/>
        <s v="L0724"/>
        <s v="L0725"/>
        <s v="L0142"/>
        <s v="L0727"/>
        <s v="L0728"/>
        <s v="L0729"/>
        <s v="L0730"/>
        <s v="L0731"/>
        <s v="L0732"/>
        <s v="L0592"/>
        <s v="L0925"/>
        <s v="L0735"/>
        <s v="L0736"/>
        <s v="L0737"/>
        <s v="L0738"/>
        <s v="L0739"/>
        <s v="L0740"/>
        <s v="L0741"/>
        <s v="L0742"/>
        <s v="L0743"/>
        <s v="L0744"/>
        <s v="L0745"/>
        <s v="L0746"/>
        <s v="L0747"/>
        <s v="L0748"/>
        <s v="L0749"/>
        <s v="L1079"/>
        <s v="L0751"/>
        <s v="L0752"/>
        <s v="L0753"/>
        <s v="L0754"/>
        <s v="L0755"/>
        <s v="L0756"/>
        <s v="L0757"/>
        <s v="L0758"/>
        <s v="L0759"/>
        <s v="L0760"/>
        <s v="L0761"/>
        <s v="L0762"/>
        <s v="L0763"/>
        <s v="L0764"/>
        <s v="L0765"/>
        <s v="L0766"/>
        <s v="L0767"/>
        <s v="L0768"/>
        <s v="L0769"/>
        <s v="L1247"/>
        <s v="L0771"/>
        <s v="L0772"/>
        <s v="L0773"/>
        <s v="L0774"/>
        <s v="L0775"/>
        <s v="L0776"/>
        <s v="L0777"/>
        <s v="L0778"/>
        <s v="L0779"/>
        <s v="L0780"/>
        <s v="L0781"/>
        <s v="L0782"/>
        <s v="L0783"/>
        <s v="L0784"/>
        <s v="L0785"/>
        <s v="L0786"/>
        <s v="L0787"/>
        <s v="L0788"/>
        <s v="L0789"/>
        <s v="L0790"/>
        <s v="L0791"/>
        <s v="L0792"/>
        <s v="L0793"/>
        <s v="L0794"/>
        <s v="L0795"/>
        <s v="L0796"/>
        <s v="L0797"/>
        <s v="L0388"/>
        <s v="L0799"/>
        <s v="L0800"/>
        <s v="L0801"/>
        <s v="L0802"/>
        <s v="L0803"/>
        <s v="L0804"/>
        <s v="L0583"/>
        <s v="L0806"/>
        <s v="L0807"/>
        <s v="L0808"/>
        <s v="L0809"/>
        <s v="L0810"/>
        <s v="L0811"/>
        <s v="L0812"/>
        <s v="L0813"/>
        <s v="L0814"/>
        <s v="L0815"/>
        <s v="L0816"/>
        <s v="L0817"/>
        <s v="L0818"/>
        <s v="L0819"/>
        <s v="L0820"/>
        <s v="L0821"/>
        <s v="L0822"/>
        <s v="L0823"/>
        <s v="L0824"/>
        <s v="L0825"/>
        <s v="L0826"/>
        <s v="L0827"/>
        <s v="L0618"/>
        <s v="L0829"/>
        <s v="L0830"/>
        <s v="L0831"/>
        <s v="L0832"/>
        <s v="L0833"/>
        <s v="L0834"/>
        <s v="L0835"/>
        <s v="L0836"/>
        <s v="L0837"/>
        <s v="L0838"/>
        <s v="L0839"/>
        <s v="L0840"/>
        <s v="L0841"/>
        <s v="L0842"/>
        <s v="L0843"/>
        <s v="L0844"/>
        <s v="L0845"/>
        <s v="L0846"/>
        <s v="L0847"/>
        <s v="L0750"/>
        <s v="L0849"/>
        <s v="L0850"/>
        <s v="L0851"/>
        <s v="L0852"/>
        <s v="L0853"/>
        <s v="L0854"/>
        <s v="L0855"/>
        <s v="L0856"/>
        <s v="L0857"/>
        <s v="L0858"/>
        <s v="L0859"/>
        <s v="L0860"/>
        <s v="L0861"/>
        <s v="L0862"/>
        <s v="L0863"/>
        <s v="L0864"/>
        <s v="L0410"/>
        <s v="L0866"/>
        <s v="L1044"/>
        <s v="L0868"/>
        <s v="L0869"/>
        <s v="L0870"/>
        <s v="L0871"/>
        <s v="L0872"/>
        <s v="L0474"/>
        <s v="L0874"/>
        <s v="L0875"/>
        <s v="L0876"/>
        <s v="L0877"/>
        <s v="L0878"/>
        <s v="L0879"/>
        <s v="L0880"/>
        <s v="L0881"/>
        <s v="L0882"/>
        <s v="L0883"/>
        <s v="L0884"/>
        <s v="L0885"/>
        <s v="L0886"/>
        <s v="L1183"/>
        <s v="L0888"/>
        <s v="L0889"/>
        <s v="L0562"/>
        <s v="L0891"/>
        <s v="L0589"/>
        <s v="L0893"/>
        <s v="L0894"/>
        <s v="L0895"/>
        <s v="L0896"/>
        <s v="L0897"/>
        <s v="L0898"/>
        <s v="L0899"/>
        <s v="L0900"/>
        <s v="L0901"/>
        <s v="L0902"/>
        <s v="L0903"/>
        <s v="L0904"/>
        <s v="L0905"/>
        <s v="L0906"/>
        <s v="L0907"/>
        <s v="L0908"/>
        <s v="L0909"/>
        <s v="L0910"/>
        <s v="L0911"/>
        <s v="L0912"/>
        <s v="L0913"/>
        <s v="L0914"/>
        <s v="L0915"/>
        <s v="L0916"/>
        <s v="L0917"/>
        <s v="L0918"/>
        <s v="L0919"/>
        <s v="L0920"/>
        <s v="L0921"/>
        <s v="L0922"/>
        <s v="L0923"/>
        <s v="L0924"/>
        <s v="L0708"/>
        <s v="L0557"/>
        <s v="L0927"/>
        <s v="L0928"/>
        <s v="L0929"/>
        <s v="L0930"/>
        <s v="L0931"/>
        <s v="L0932"/>
        <s v="L0933"/>
        <s v="L0934"/>
        <s v="L0935"/>
        <s v="L0936"/>
        <s v="L0937"/>
        <s v="L0938"/>
        <s v="L0926"/>
        <s v="L0940"/>
        <s v="L0941"/>
        <s v="L1118"/>
        <s v="L0943"/>
        <s v="L0944"/>
        <s v="L0945"/>
        <s v="L0946"/>
        <s v="L0947"/>
        <s v="L0948"/>
        <s v="L0949"/>
        <s v="L0950"/>
        <s v="L0951"/>
        <s v="L0952"/>
        <s v="L0953"/>
        <s v="L0954"/>
        <s v="L0480"/>
        <s v="L0956"/>
        <s v="L0957"/>
        <s v="L0958"/>
        <s v="L0959"/>
        <s v="L0960"/>
        <s v="L0961"/>
        <s v="L0962"/>
        <s v="L0963"/>
        <s v="L1244"/>
        <s v="L0965"/>
        <s v="L0966"/>
        <s v="L0967"/>
        <s v="L0514"/>
        <s v="L0969"/>
        <s v="L0970"/>
        <s v="L0571"/>
        <s v="L0972"/>
        <s v="L0973"/>
        <s v="L0974"/>
        <s v="L0975"/>
        <s v="L0976"/>
        <s v="L0699"/>
        <s v="L0978"/>
        <s v="L0979"/>
        <s v="L0980"/>
        <s v="L0981"/>
        <s v="L0982"/>
        <s v="L0983"/>
        <s v="L0984"/>
        <s v="L0985"/>
        <s v="L0986"/>
        <s v="L0987"/>
        <s v="L0988"/>
        <s v="L0989"/>
        <s v="L0990"/>
        <s v="L0991"/>
        <s v="L0992"/>
        <s v="L0528"/>
        <s v="L0994"/>
        <s v="L0995"/>
        <s v="L0996"/>
        <s v="L0997"/>
        <s v="L0998"/>
        <s v="L0999"/>
        <s v="L1000"/>
        <s v="L0603"/>
        <s v="L1002"/>
        <s v="L1003"/>
        <s v="L1004"/>
        <s v="L1005"/>
        <s v="L1006"/>
        <s v="L1007"/>
        <s v="L1008"/>
        <s v="L1009"/>
        <s v="L1010"/>
        <s v="L1011"/>
        <s v="L1012"/>
        <s v="L1013"/>
        <s v="L1014"/>
        <s v="L1015"/>
        <s v="L1016"/>
        <s v="L1017"/>
        <s v="L1018"/>
        <s v="L1019"/>
        <s v="L1020"/>
        <s v="L1021"/>
        <s v="L1022"/>
        <s v="L1023"/>
        <s v="L1024"/>
        <s v="L1025"/>
        <s v="L0701"/>
        <s v="L1027"/>
        <s v="L1028"/>
        <s v="L1029"/>
        <s v="L1030"/>
        <s v="L1031"/>
        <s v="L1032"/>
        <s v="L1033"/>
        <s v="L1034"/>
        <s v="L1035"/>
        <s v="L1036"/>
        <s v="L0798"/>
        <s v="L1038"/>
        <s v="L1039"/>
        <s v="L1040"/>
        <s v="L1162"/>
        <s v="L1042"/>
        <s v="L1043"/>
        <s v="L0964"/>
        <s v="L1045"/>
        <s v="L1041"/>
        <s v="L1047"/>
        <s v="L1226"/>
        <s v="L1049"/>
        <s v="L1050"/>
        <s v="L1051"/>
        <s v="L1052"/>
        <s v="L1053"/>
        <s v="L1054"/>
        <s v="L1055"/>
        <s v="L0522"/>
        <s v="L1057"/>
        <s v="L1058"/>
        <s v="L1059"/>
        <s v="L1060"/>
        <s v="L1061"/>
        <s v="L1062"/>
        <s v="L1063"/>
        <s v="L1064"/>
        <s v="L1065"/>
        <s v="L1066"/>
        <s v="L1067"/>
        <s v="L1068"/>
        <s v="L1069"/>
        <s v="L1070"/>
        <s v="L1071"/>
        <s v="L1072"/>
        <s v="L1073"/>
        <s v="L1074"/>
        <s v="L1075"/>
        <s v="L1076"/>
        <s v="L1077"/>
        <s v="L1078"/>
        <s v="L0828"/>
        <s v="L1080"/>
        <s v="L1081"/>
        <s v="L1082"/>
        <s v="L1083"/>
        <s v="L1084"/>
        <s v="L1085"/>
        <s v="L1086"/>
        <s v="L1087"/>
        <s v="L1243"/>
        <s v="L1089"/>
        <s v="L1090"/>
        <s v="L0128"/>
        <s v="L1092"/>
        <s v="L1093"/>
        <s v="L1094"/>
        <s v="L1095"/>
        <s v="L0073"/>
        <s v="L1097"/>
        <s v="L1098"/>
        <s v="L1099"/>
        <s v="L1100"/>
        <s v="L0581"/>
        <s v="L1102"/>
        <s v="L1103"/>
        <s v="L0666"/>
        <s v="L1105"/>
        <s v="L1106"/>
        <s v="L1107"/>
        <s v="L1108"/>
        <s v="L1109"/>
        <s v="L0673"/>
        <s v="L1111"/>
        <s v="L1112"/>
        <s v="L1113"/>
        <s v="L1114"/>
        <s v="L1115"/>
        <s v="L1116"/>
        <s v="L1117"/>
        <s v="L0158"/>
        <s v="L1119"/>
        <s v="L1120"/>
        <s v="L1121"/>
        <s v="L1122"/>
        <s v="L1123"/>
        <s v="L1124"/>
        <s v="L1125"/>
        <s v="L1126"/>
        <s v="L1127"/>
        <s v="L1128"/>
        <s v="L1129"/>
        <s v="L1130"/>
        <s v="L1131"/>
        <s v="L1132"/>
        <s v="L1133"/>
        <s v="L1134"/>
        <s v="L1135"/>
        <s v="L1136"/>
        <s v="L0977"/>
        <s v="L1138"/>
        <s v="L1139"/>
        <s v="L0865"/>
        <s v="L1141"/>
        <s v="L1142"/>
        <s v="L1143"/>
        <s v="L1144"/>
        <s v="L1096"/>
        <s v="L1146"/>
        <s v="L1147"/>
        <s v="L1148"/>
        <s v="L1137"/>
        <s v="L1150"/>
        <s v="L1151"/>
        <s v="L0873"/>
        <s v="L1153"/>
        <s v="L1154"/>
        <s v="L1155"/>
        <s v="L1156"/>
        <s v="L1157"/>
        <s v="L1158"/>
        <s v="L1159"/>
        <s v="L1160"/>
        <s v="L0104"/>
        <s v="L0710"/>
        <s v="L0955"/>
        <s v="L1164"/>
        <s v="L1165"/>
        <s v="L1166"/>
        <s v="L1167"/>
        <s v="L1168"/>
        <s v="L1169"/>
        <s v="L1170"/>
        <s v="L1171"/>
        <s v="L1172"/>
        <s v="L1173"/>
        <s v="L1174"/>
        <s v="L1175"/>
        <s v="L0721"/>
        <s v="L1177"/>
        <s v="L1178"/>
        <s v="L1179"/>
        <s v="L1180"/>
        <s v="L1181"/>
        <s v="L1182"/>
        <s v="L1037"/>
        <s v="L1184"/>
        <s v="L1185"/>
        <s v="L1186"/>
        <s v="L1187"/>
        <s v="L1048"/>
        <s v="L1189"/>
        <s v="L1190"/>
        <s v="L1191"/>
        <s v="L1192"/>
        <s v="L1193"/>
        <s v="L1194"/>
        <s v="L1195"/>
        <s v="L1196"/>
        <s v="L1197"/>
        <s v="L1198"/>
        <s v="L1199"/>
        <s v="L1200"/>
        <s v="L1201"/>
        <s v="L1202"/>
        <s v="L1203"/>
        <s v="L1204"/>
        <s v="L1205"/>
        <s v="L1206"/>
        <s v="L1207"/>
        <s v="L1208"/>
        <s v="L1209"/>
        <s v="L1210"/>
        <s v="L1211"/>
        <s v="L1212"/>
        <s v="L1213"/>
        <s v="L1214"/>
        <s v="L1215"/>
        <s v="L1216"/>
        <s v="L1217"/>
        <s v="L1088"/>
        <s v="L1219"/>
        <s v="L1220"/>
        <s v="L1221"/>
        <s v="L1222"/>
        <s v="L1223"/>
        <s v="L1224"/>
        <s v="L1225"/>
        <s v="L0734"/>
        <s v="L1227"/>
        <s v="L1228"/>
        <s v="L1229"/>
        <s v="L1230"/>
        <s v="L1231"/>
        <s v="L1232"/>
        <s v="L1233"/>
        <s v="L1234"/>
        <s v="L1235"/>
        <s v="L1236"/>
        <s v="L1237"/>
        <s v="L1238"/>
        <s v="L1239"/>
        <s v="L1240"/>
        <s v="L1241"/>
        <s v="L1242"/>
        <s v="L0939"/>
        <s v="L0968"/>
        <s v="L1245"/>
        <s v="L1246"/>
        <s v="L1026"/>
        <s v="L1248"/>
        <s v="L1249"/>
        <s v="L1250"/>
        <s v="L1300"/>
        <s v="L0554"/>
        <s v="L1253"/>
        <s v="L0646"/>
        <s v="L1255"/>
        <s v="L1256"/>
        <s v="L1257"/>
        <s v="L1258"/>
        <s v="L1259"/>
        <s v="L1260"/>
        <s v="L1261"/>
        <s v="L1262"/>
        <s v="L1263"/>
        <s v="L1264"/>
        <s v="L1265"/>
        <s v="L0805"/>
        <s v="L1267"/>
        <s v="L1268"/>
        <s v="L1269"/>
        <s v="L1270"/>
        <s v="L1271"/>
        <s v="L1272"/>
        <s v="L1273"/>
        <s v="L1274"/>
        <s v="L1275"/>
        <s v="L1276"/>
        <s v="L1277"/>
        <s v="L1278"/>
        <s v="L1279"/>
        <s v="L1280"/>
        <s v="L1281"/>
        <s v="L0867"/>
        <s v="L1251"/>
        <s v="L1284"/>
        <s v="L1285"/>
        <s v="L1286"/>
        <s v="L1287"/>
        <s v="L1288"/>
        <s v="L1289"/>
        <s v="L1290"/>
        <s v="L1266"/>
        <s v="L1292"/>
        <s v="L1293"/>
        <s v="L1294"/>
        <s v="L1295"/>
        <s v="L1296"/>
        <s v="L1297"/>
        <s v="L1298"/>
        <s v="L1299"/>
        <s v="L1291"/>
      </sharedItems>
    </cacheField>
    <cacheField name="LOAN TYPE" numFmtId="0">
      <sharedItems count="5">
        <s v="AGRICULTURE"/>
        <s v="EDUCATION LOAN"/>
        <s v="PERSONAL LOAN"/>
        <s v="SME"/>
        <s v="HOME LOAN"/>
      </sharedItems>
    </cacheField>
    <cacheField name="QUARTER" numFmtId="0">
      <sharedItems count="21">
        <s v="Q4 FY18"/>
        <s v="Q1 FY21"/>
        <s v="Q3 FY20"/>
        <s v="Q1 FY22"/>
        <s v="Q2 FY23"/>
        <s v="Q2 FY19"/>
        <s v="Q4 FY19"/>
        <s v="Q1 FY23"/>
        <s v="Q4 FY23"/>
        <s v="Q3 FY21"/>
        <s v="Q2 FY20"/>
        <s v="Q2 FY22"/>
        <s v="Q3 FY19"/>
        <s v="Q1 FY19"/>
        <s v="Q3 FY22"/>
        <s v="Q4 FY22"/>
        <s v="Q4 FY21"/>
        <s v="Q2 FY21"/>
        <s v="Q3 FY23"/>
        <s v="Q1 FY20"/>
        <s v="Q4 FY20"/>
      </sharedItems>
    </cacheField>
    <cacheField name="LOAN START DATE" numFmtId="177">
      <sharedItems containsSemiMixedTypes="0" containsString="0" containsNonDate="0" containsDate="1" minDate="2019-01-01T00:00:00" maxDate="2024-03-31T00:00:00" count="957">
        <d v="2019-01-27T00:00:00"/>
        <d v="2019-03-13T00:00:00"/>
        <d v="2019-01-26T00:00:00"/>
        <d v="2019-02-24T00:00:00"/>
        <d v="2019-01-25T00:00:00"/>
        <d v="2019-01-28T00:00:00"/>
        <d v="2019-03-31T00:00:00"/>
        <d v="2019-02-14T00:00:00"/>
        <d v="2019-01-02T00:00:00"/>
        <d v="2019-02-11T00:00:00"/>
        <d v="2019-01-05T00:00:00"/>
        <d v="2019-01-30T00:00:00"/>
        <d v="2019-03-12T00:00:00"/>
        <d v="2019-03-17T00:00:00"/>
        <d v="2019-03-01T00:00:00"/>
        <d v="2019-02-17T00:00:00"/>
        <d v="2019-01-18T00:00:00"/>
        <d v="2019-03-30T00:00:00"/>
        <d v="2019-01-21T00:00:00"/>
        <d v="2019-01-08T00:00:00"/>
        <d v="2019-03-04T00:00:00"/>
        <d v="2019-02-05T00:00:00"/>
        <d v="2019-02-23T00:00:00"/>
        <d v="2019-01-01T00:00:00"/>
        <d v="2019-02-07T00:00:00"/>
        <d v="2019-03-28T00:00:00"/>
        <d v="2019-03-06T00:00:00"/>
        <d v="2019-02-10T00:00:00"/>
        <d v="2019-02-09T00:00:00"/>
        <d v="2019-01-24T00:00:00"/>
        <d v="2019-01-12T00:00:00"/>
        <d v="2019-01-15T00:00:00"/>
        <d v="2019-02-02T00:00:00"/>
        <d v="2019-01-29T00:00:00"/>
        <d v="2019-02-13T00:00:00"/>
        <d v="2019-01-10T00:00:00"/>
        <d v="2019-02-03T00:00:00"/>
        <d v="2019-01-31T00:00:00"/>
        <d v="2019-03-02T00:00:00"/>
        <d v="2021-06-13T00:00:00"/>
        <d v="2020-10-01T00:00:00"/>
        <d v="2022-05-08T00:00:00"/>
        <d v="2023-08-16T00:00:00"/>
        <d v="2019-07-07T00:00:00"/>
        <d v="2020-01-26T00:00:00"/>
        <d v="2023-05-09T00:00:00"/>
        <d v="2024-02-03T00:00:00"/>
        <d v="2021-12-25T00:00:00"/>
        <d v="2020-07-11T00:00:00"/>
        <d v="2022-09-22T00:00:00"/>
        <d v="2023-05-24T00:00:00"/>
        <d v="2019-10-22T00:00:00"/>
        <d v="2019-04-24T00:00:00"/>
        <d v="2022-06-11T00:00:00"/>
        <d v="2020-07-01T00:00:00"/>
        <d v="2022-11-09T00:00:00"/>
        <d v="2024-03-19T00:00:00"/>
        <d v="2023-03-13T00:00:00"/>
        <d v="2021-04-17T00:00:00"/>
        <d v="2019-12-29T00:00:00"/>
        <d v="2021-11-29T00:00:00"/>
        <d v="2019-06-26T00:00:00"/>
        <d v="2024-02-01T00:00:00"/>
        <d v="2021-10-10T00:00:00"/>
        <d v="2019-04-05T00:00:00"/>
        <d v="2022-12-23T00:00:00"/>
        <d v="2022-04-08T00:00:00"/>
        <d v="2019-05-12T00:00:00"/>
        <d v="2019-04-25T00:00:00"/>
        <d v="2020-03-14T00:00:00"/>
        <d v="2020-09-01T00:00:00"/>
        <d v="2022-04-22T00:00:00"/>
        <d v="2024-01-22T00:00:00"/>
        <d v="2022-01-01T00:00:00"/>
        <d v="2022-09-10T00:00:00"/>
        <d v="2021-06-05T00:00:00"/>
        <d v="2021-10-27T00:00:00"/>
        <d v="2022-12-10T00:00:00"/>
        <d v="2020-08-03T00:00:00"/>
        <d v="2023-08-04T00:00:00"/>
        <d v="2023-09-06T00:00:00"/>
        <d v="2021-07-29T00:00:00"/>
        <d v="2023-06-15T00:00:00"/>
        <d v="2021-06-26T00:00:00"/>
        <d v="2020-09-16T00:00:00"/>
        <d v="2020-11-06T00:00:00"/>
        <d v="2021-06-23T00:00:00"/>
        <d v="2023-10-24T00:00:00"/>
        <d v="2023-03-04T00:00:00"/>
        <d v="2021-09-16T00:00:00"/>
        <d v="2023-06-09T00:00:00"/>
        <d v="2020-06-06T00:00:00"/>
        <d v="2021-08-28T00:00:00"/>
        <d v="2023-11-21T00:00:00"/>
        <d v="2021-04-26T00:00:00"/>
        <d v="2021-08-13T00:00:00"/>
        <d v="2019-10-02T00:00:00"/>
        <d v="2023-12-01T00:00:00"/>
        <d v="2020-07-18T00:00:00"/>
        <d v="2021-11-20T00:00:00"/>
        <d v="2021-08-26T00:00:00"/>
        <d v="2021-05-10T00:00:00"/>
        <d v="2023-09-29T00:00:00"/>
        <d v="2023-01-26T00:00:00"/>
        <d v="2023-07-20T00:00:00"/>
        <d v="2020-05-10T00:00:00"/>
        <d v="2023-03-31T00:00:00"/>
        <d v="2020-05-24T00:00:00"/>
        <d v="2021-05-24T00:00:00"/>
        <d v="2020-05-15T00:00:00"/>
        <d v="2022-12-13T00:00:00"/>
        <d v="2019-08-26T00:00:00"/>
        <d v="2023-03-03T00:00:00"/>
        <d v="2019-05-16T00:00:00"/>
        <d v="2019-12-24T00:00:00"/>
        <d v="2023-08-24T00:00:00"/>
        <d v="2021-03-10T00:00:00"/>
        <d v="2020-02-22T00:00:00"/>
        <d v="2021-09-08T00:00:00"/>
        <d v="2020-08-21T00:00:00"/>
        <d v="2021-03-02T00:00:00"/>
        <d v="2022-08-18T00:00:00"/>
        <d v="2020-03-06T00:00:00"/>
        <d v="2019-05-31T00:00:00"/>
        <d v="2024-02-06T00:00:00"/>
        <d v="2021-01-30T00:00:00"/>
        <d v="2020-05-14T00:00:00"/>
        <d v="2020-09-14T00:00:00"/>
        <d v="2020-03-25T00:00:00"/>
        <d v="2022-01-14T00:00:00"/>
        <d v="2021-06-06T00:00:00"/>
        <d v="2019-06-03T00:00:00"/>
        <d v="2021-07-26T00:00:00"/>
        <d v="2022-09-19T00:00:00"/>
        <d v="2021-04-24T00:00:00"/>
        <d v="2020-02-06T00:00:00"/>
        <d v="2020-02-07T00:00:00"/>
        <d v="2019-08-02T00:00:00"/>
        <d v="2020-12-05T00:00:00"/>
        <d v="2021-04-11T00:00:00"/>
        <d v="2020-04-02T00:00:00"/>
        <d v="2019-07-11T00:00:00"/>
        <d v="2023-06-18T00:00:00"/>
        <d v="2021-08-24T00:00:00"/>
        <d v="2020-01-30T00:00:00"/>
        <d v="2019-12-27T00:00:00"/>
        <d v="2024-03-01T00:00:00"/>
        <d v="2023-08-23T00:00:00"/>
        <d v="2022-05-01T00:00:00"/>
        <d v="2020-05-23T00:00:00"/>
        <d v="2022-02-14T00:00:00"/>
        <d v="2022-09-21T00:00:00"/>
        <d v="2022-02-21T00:00:00"/>
        <d v="2022-03-19T00:00:00"/>
        <d v="2023-09-11T00:00:00"/>
        <d v="2019-04-13T00:00:00"/>
        <d v="2020-04-22T00:00:00"/>
        <d v="2020-11-17T00:00:00"/>
        <d v="2023-10-12T00:00:00"/>
        <d v="2019-11-25T00:00:00"/>
        <d v="2023-04-10T00:00:00"/>
        <d v="2019-08-24T00:00:00"/>
        <d v="2020-06-21T00:00:00"/>
        <d v="2020-09-06T00:00:00"/>
        <d v="2019-11-20T00:00:00"/>
        <d v="2021-10-02T00:00:00"/>
        <d v="2021-12-26T00:00:00"/>
        <d v="2021-01-13T00:00:00"/>
        <d v="2021-02-06T00:00:00"/>
        <d v="2022-01-15T00:00:00"/>
        <d v="2020-11-09T00:00:00"/>
        <d v="2022-12-05T00:00:00"/>
        <d v="2021-11-12T00:00:00"/>
        <d v="2022-03-21T00:00:00"/>
        <d v="2019-11-15T00:00:00"/>
        <d v="2019-07-09T00:00:00"/>
        <d v="2020-06-01T00:00:00"/>
        <d v="2019-07-20T00:00:00"/>
        <d v="2022-01-02T00:00:00"/>
        <d v="2021-11-01T00:00:00"/>
        <d v="2021-12-18T00:00:00"/>
        <d v="2020-06-23T00:00:00"/>
        <d v="2020-05-26T00:00:00"/>
        <d v="2023-06-02T00:00:00"/>
        <d v="2020-11-16T00:00:00"/>
        <d v="2023-05-03T00:00:00"/>
        <d v="2024-03-31T00:00:00"/>
        <d v="2022-07-27T00:00:00"/>
        <d v="2021-01-15T00:00:00"/>
        <d v="2022-10-28T00:00:00"/>
        <d v="2020-12-19T00:00:00"/>
        <d v="2023-07-12T00:00:00"/>
        <d v="2021-05-04T00:00:00"/>
        <d v="2022-12-12T00:00:00"/>
        <d v="2021-02-19T00:00:00"/>
        <d v="2023-02-09T00:00:00"/>
        <d v="2024-01-27T00:00:00"/>
        <d v="2024-03-29T00:00:00"/>
        <d v="2023-11-01T00:00:00"/>
        <d v="2023-12-07T00:00:00"/>
        <d v="2023-04-08T00:00:00"/>
        <d v="2019-06-16T00:00:00"/>
        <d v="2020-06-30T00:00:00"/>
        <d v="2020-04-17T00:00:00"/>
        <d v="2020-11-28T00:00:00"/>
        <d v="2023-01-20T00:00:00"/>
        <d v="2021-10-20T00:00:00"/>
        <d v="2021-12-24T00:00:00"/>
        <d v="2021-04-18T00:00:00"/>
        <d v="2023-09-07T00:00:00"/>
        <d v="2020-08-16T00:00:00"/>
        <d v="2021-05-13T00:00:00"/>
        <d v="2022-03-02T00:00:00"/>
        <d v="2019-07-12T00:00:00"/>
        <d v="2019-09-25T00:00:00"/>
        <d v="2023-11-18T00:00:00"/>
        <d v="2022-12-06T00:00:00"/>
        <d v="2023-08-21T00:00:00"/>
        <d v="2021-01-22T00:00:00"/>
        <d v="2022-01-19T00:00:00"/>
        <d v="2019-05-20T00:00:00"/>
        <d v="2023-12-25T00:00:00"/>
        <d v="2022-07-01T00:00:00"/>
        <d v="2020-07-09T00:00:00"/>
        <d v="2019-11-14T00:00:00"/>
        <d v="2023-12-27T00:00:00"/>
        <d v="2020-11-08T00:00:00"/>
        <d v="2021-09-28T00:00:00"/>
        <d v="2019-09-27T00:00:00"/>
        <d v="2023-04-16T00:00:00"/>
        <d v="2022-11-29T00:00:00"/>
        <d v="2024-01-10T00:00:00"/>
        <d v="2022-09-04T00:00:00"/>
        <d v="2019-07-10T00:00:00"/>
        <d v="2022-10-07T00:00:00"/>
        <d v="2022-04-21T00:00:00"/>
        <d v="2024-01-25T00:00:00"/>
        <d v="2023-01-08T00:00:00"/>
        <d v="2023-09-28T00:00:00"/>
        <d v="2022-08-05T00:00:00"/>
        <d v="2019-07-06T00:00:00"/>
        <d v="2019-06-05T00:00:00"/>
        <d v="2020-06-09T00:00:00"/>
        <d v="2020-06-14T00:00:00"/>
        <d v="2022-10-22T00:00:00"/>
        <d v="2021-01-11T00:00:00"/>
        <d v="2022-06-14T00:00:00"/>
        <d v="2019-11-13T00:00:00"/>
        <d v="2021-06-16T00:00:00"/>
        <d v="2021-01-27T00:00:00"/>
        <d v="2021-12-15T00:00:00"/>
        <d v="2021-12-01T00:00:00"/>
        <d v="2020-07-07T00:00:00"/>
        <d v="2021-08-14T00:00:00"/>
        <d v="2023-06-11T00:00:00"/>
        <d v="2021-08-20T00:00:00"/>
        <d v="2021-11-04T00:00:00"/>
        <d v="2019-05-21T00:00:00"/>
        <d v="2021-05-17T00:00:00"/>
        <d v="2022-06-10T00:00:00"/>
        <d v="2022-02-09T00:00:00"/>
        <d v="2022-07-09T00:00:00"/>
        <d v="2023-06-30T00:00:00"/>
        <d v="2020-03-31T00:00:00"/>
        <d v="2019-07-01T00:00:00"/>
        <d v="2021-08-31T00:00:00"/>
        <d v="2022-08-21T00:00:00"/>
        <d v="2020-09-24T00:00:00"/>
        <d v="2022-11-19T00:00:00"/>
        <d v="2020-05-17T00:00:00"/>
        <d v="2021-01-02T00:00:00"/>
        <d v="2022-07-28T00:00:00"/>
        <d v="2020-10-27T00:00:00"/>
        <d v="2024-03-22T00:00:00"/>
        <d v="2021-02-23T00:00:00"/>
        <d v="2019-08-09T00:00:00"/>
        <d v="2022-01-30T00:00:00"/>
        <d v="2020-05-13T00:00:00"/>
        <d v="2021-07-28T00:00:00"/>
        <d v="2022-10-15T00:00:00"/>
        <d v="2019-12-21T00:00:00"/>
        <d v="2021-08-11T00:00:00"/>
        <d v="2022-06-21T00:00:00"/>
        <d v="2021-10-18T00:00:00"/>
        <d v="2020-06-19T00:00:00"/>
        <d v="2020-06-10T00:00:00"/>
        <d v="2021-05-06T00:00:00"/>
        <d v="2020-08-05T00:00:00"/>
        <d v="2019-12-06T00:00:00"/>
        <d v="2023-09-02T00:00:00"/>
        <d v="2023-06-07T00:00:00"/>
        <d v="2021-09-14T00:00:00"/>
        <d v="2023-07-22T00:00:00"/>
        <d v="2020-11-13T00:00:00"/>
        <d v="2021-05-12T00:00:00"/>
        <d v="2021-03-08T00:00:00"/>
        <d v="2019-07-14T00:00:00"/>
        <d v="2021-10-04T00:00:00"/>
        <d v="2022-06-20T00:00:00"/>
        <d v="2021-03-28T00:00:00"/>
        <d v="2022-05-15T00:00:00"/>
        <d v="2020-02-26T00:00:00"/>
        <d v="2020-01-10T00:00:00"/>
        <d v="2021-07-07T00:00:00"/>
        <d v="2022-05-06T00:00:00"/>
        <d v="2022-08-31T00:00:00"/>
        <d v="2023-03-30T00:00:00"/>
        <d v="2021-12-05T00:00:00"/>
        <d v="2021-09-19T00:00:00"/>
        <d v="2022-05-10T00:00:00"/>
        <d v="2023-11-19T00:00:00"/>
        <d v="2021-09-29T00:00:00"/>
        <d v="2023-10-23T00:00:00"/>
        <d v="2023-08-15T00:00:00"/>
        <d v="2020-07-06T00:00:00"/>
        <d v="2020-01-13T00:00:00"/>
        <d v="2022-10-21T00:00:00"/>
        <d v="2023-01-01T00:00:00"/>
        <d v="2022-03-01T00:00:00"/>
        <d v="2020-01-08T00:00:00"/>
        <d v="2019-04-04T00:00:00"/>
        <d v="2020-08-24T00:00:00"/>
        <d v="2020-08-04T00:00:00"/>
        <d v="2022-04-11T00:00:00"/>
        <d v="2020-09-23T00:00:00"/>
        <d v="2023-04-29T00:00:00"/>
        <d v="2022-01-06T00:00:00"/>
        <d v="2020-01-01T00:00:00"/>
        <d v="2023-11-11T00:00:00"/>
        <d v="2021-08-23T00:00:00"/>
        <d v="2023-01-29T00:00:00"/>
        <d v="2023-03-26T00:00:00"/>
        <d v="2021-02-08T00:00:00"/>
        <d v="2023-12-31T00:00:00"/>
        <d v="2022-11-05T00:00:00"/>
        <d v="2022-12-19T00:00:00"/>
        <d v="2021-01-06T00:00:00"/>
        <d v="2020-10-13T00:00:00"/>
        <d v="2020-02-23T00:00:00"/>
        <d v="2020-05-27T00:00:00"/>
        <d v="2022-02-16T00:00:00"/>
        <d v="2022-11-13T00:00:00"/>
        <d v="2020-12-03T00:00:00"/>
        <d v="2023-11-25T00:00:00"/>
        <d v="2019-05-06T00:00:00"/>
        <d v="2020-10-08T00:00:00"/>
        <d v="2019-11-23T00:00:00"/>
        <d v="2021-01-10T00:00:00"/>
        <d v="2021-06-25T00:00:00"/>
        <d v="2019-11-19T00:00:00"/>
        <d v="2020-06-15T00:00:00"/>
        <d v="2019-05-04T00:00:00"/>
        <d v="2022-08-23T00:00:00"/>
        <d v="2020-02-01T00:00:00"/>
        <d v="2021-06-03T00:00:00"/>
        <d v="2021-08-27T00:00:00"/>
        <d v="2022-02-28T00:00:00"/>
        <d v="2023-03-16T00:00:00"/>
        <d v="2019-09-14T00:00:00"/>
        <d v="2023-12-18T00:00:00"/>
        <d v="2019-09-15T00:00:00"/>
        <d v="2019-06-17T00:00:00"/>
        <d v="2020-07-04T00:00:00"/>
        <d v="2021-12-09T00:00:00"/>
        <d v="2019-08-13T00:00:00"/>
        <d v="2019-08-17T00:00:00"/>
        <d v="2021-12-20T00:00:00"/>
        <d v="2020-09-08T00:00:00"/>
        <d v="2021-08-02T00:00:00"/>
        <d v="2020-10-06T00:00:00"/>
        <d v="2020-11-04T00:00:00"/>
        <d v="2019-06-13T00:00:00"/>
        <d v="2021-09-15T00:00:00"/>
        <d v="2021-05-21T00:00:00"/>
        <d v="2022-11-01T00:00:00"/>
        <d v="2019-11-30T00:00:00"/>
        <d v="2022-04-27T00:00:00"/>
        <d v="2020-12-25T00:00:00"/>
        <d v="2021-04-25T00:00:00"/>
        <d v="2020-06-25T00:00:00"/>
        <d v="2021-04-06T00:00:00"/>
        <d v="2021-01-01T00:00:00"/>
        <d v="2020-04-01T00:00:00"/>
        <d v="2019-05-03T00:00:00"/>
        <d v="2020-01-23T00:00:00"/>
        <d v="2023-01-17T00:00:00"/>
        <d v="2021-06-30T00:00:00"/>
        <d v="2022-07-23T00:00:00"/>
        <d v="2020-10-29T00:00:00"/>
        <d v="2021-05-08T00:00:00"/>
        <d v="2019-08-20T00:00:00"/>
        <d v="2020-03-20T00:00:00"/>
        <d v="2023-12-21T00:00:00"/>
        <d v="2022-03-08T00:00:00"/>
        <d v="2023-01-04T00:00:00"/>
        <d v="2019-04-03T00:00:00"/>
        <d v="2019-11-03T00:00:00"/>
        <d v="2020-04-28T00:00:00"/>
        <d v="2023-07-15T00:00:00"/>
        <d v="2022-05-05T00:00:00"/>
        <d v="2023-12-23T00:00:00"/>
        <d v="2019-12-01T00:00:00"/>
        <d v="2021-03-30T00:00:00"/>
        <d v="2022-08-28T00:00:00"/>
        <d v="2020-02-02T00:00:00"/>
        <d v="2019-08-12T00:00:00"/>
        <d v="2019-04-30T00:00:00"/>
        <d v="2021-11-27T00:00:00"/>
        <d v="2022-08-13T00:00:00"/>
        <d v="2020-10-21T00:00:00"/>
        <d v="2022-04-13T00:00:00"/>
        <d v="2022-12-20T00:00:00"/>
        <d v="2019-09-26T00:00:00"/>
        <d v="2023-05-12T00:00:00"/>
        <d v="2021-09-12T00:00:00"/>
        <d v="2023-10-02T00:00:00"/>
        <d v="2019-09-08T00:00:00"/>
        <d v="2024-03-27T00:00:00"/>
        <d v="2023-10-17T00:00:00"/>
        <d v="2021-07-24T00:00:00"/>
        <d v="2023-11-05T00:00:00"/>
        <d v="2019-08-04T00:00:00"/>
        <d v="2022-02-01T00:00:00"/>
        <d v="2020-01-21T00:00:00"/>
        <d v="2021-05-01T00:00:00"/>
        <d v="2023-01-07T00:00:00"/>
        <d v="2021-09-24T00:00:00"/>
        <d v="2021-05-25T00:00:00"/>
        <d v="2023-11-13T00:00:00"/>
        <d v="2022-08-20T00:00:00"/>
        <d v="2024-02-21T00:00:00"/>
        <d v="2022-09-28T00:00:00"/>
        <d v="2023-05-17T00:00:00"/>
        <d v="2023-09-04T00:00:00"/>
        <d v="2021-10-15T00:00:00"/>
        <d v="2020-01-09T00:00:00"/>
        <d v="2022-07-06T00:00:00"/>
        <d v="2022-11-11T00:00:00"/>
        <d v="2023-06-14T00:00:00"/>
        <d v="2019-07-08T00:00:00"/>
        <d v="2020-07-29T00:00:00"/>
        <d v="2020-04-25T00:00:00"/>
        <d v="2021-01-09T00:00:00"/>
        <d v="2021-06-08T00:00:00"/>
        <d v="2021-12-11T00:00:00"/>
        <d v="2022-07-16T00:00:00"/>
        <d v="2021-02-24T00:00:00"/>
        <d v="2020-09-10T00:00:00"/>
        <d v="2022-04-24T00:00:00"/>
        <d v="2019-05-08T00:00:00"/>
        <d v="2022-06-23T00:00:00"/>
        <d v="2021-01-14T00:00:00"/>
        <d v="2021-04-19T00:00:00"/>
        <d v="2022-02-23T00:00:00"/>
        <d v="2021-10-31T00:00:00"/>
        <d v="2023-10-21T00:00:00"/>
        <d v="2019-08-11T00:00:00"/>
        <d v="2019-09-13T00:00:00"/>
        <d v="2021-03-29T00:00:00"/>
        <d v="2020-06-08T00:00:00"/>
        <d v="2019-10-23T00:00:00"/>
        <d v="2023-12-24T00:00:00"/>
        <d v="2023-02-14T00:00:00"/>
        <d v="2023-06-21T00:00:00"/>
        <d v="2019-07-02T00:00:00"/>
        <d v="2021-07-21T00:00:00"/>
        <d v="2021-01-05T00:00:00"/>
        <d v="2020-03-24T00:00:00"/>
        <d v="2020-05-20T00:00:00"/>
        <d v="2023-07-14T00:00:00"/>
        <d v="2023-12-08T00:00:00"/>
        <d v="2021-04-08T00:00:00"/>
        <d v="2020-04-11T00:00:00"/>
        <d v="2020-02-19T00:00:00"/>
        <d v="2022-05-14T00:00:00"/>
        <d v="2022-12-09T00:00:00"/>
        <d v="2021-06-27T00:00:00"/>
        <d v="2023-08-18T00:00:00"/>
        <d v="2022-04-26T00:00:00"/>
        <d v="2019-05-22T00:00:00"/>
        <d v="2022-04-05T00:00:00"/>
        <d v="2024-02-09T00:00:00"/>
        <d v="2022-08-10T00:00:00"/>
        <d v="2020-05-12T00:00:00"/>
        <d v="2022-06-12T00:00:00"/>
        <d v="2023-05-06T00:00:00"/>
        <d v="2021-07-17T00:00:00"/>
        <d v="2021-11-02T00:00:00"/>
        <d v="2019-09-28T00:00:00"/>
        <d v="2022-04-25T00:00:00"/>
        <d v="2024-02-24T00:00:00"/>
        <d v="2021-08-18T00:00:00"/>
        <d v="2023-01-28T00:00:00"/>
        <d v="2020-06-22T00:00:00"/>
        <d v="2021-06-02T00:00:00"/>
        <d v="2023-04-22T00:00:00"/>
        <d v="2023-05-25T00:00:00"/>
        <d v="2022-09-24T00:00:00"/>
        <d v="2021-12-23T00:00:00"/>
        <d v="2023-07-19T00:00:00"/>
        <d v="2023-06-12T00:00:00"/>
        <d v="2021-01-04T00:00:00"/>
        <d v="2023-05-23T00:00:00"/>
        <d v="2019-04-08T00:00:00"/>
        <d v="2022-01-05T00:00:00"/>
        <d v="2024-03-26T00:00:00"/>
        <d v="2020-06-03T00:00:00"/>
        <d v="2019-06-23T00:00:00"/>
        <d v="2019-09-23T00:00:00"/>
        <d v="2021-09-10T00:00:00"/>
        <d v="2020-09-13T00:00:00"/>
        <d v="2019-11-28T00:00:00"/>
        <d v="2019-05-19T00:00:00"/>
        <d v="2021-03-09T00:00:00"/>
        <d v="2019-08-15T00:00:00"/>
        <d v="2022-04-12T00:00:00"/>
        <d v="2023-05-19T00:00:00"/>
        <d v="2023-08-27T00:00:00"/>
        <d v="2022-11-04T00:00:00"/>
        <d v="2023-02-13T00:00:00"/>
        <d v="2020-07-24T00:00:00"/>
        <d v="2020-12-23T00:00:00"/>
        <d v="2019-07-03T00:00:00"/>
        <d v="2023-05-13T00:00:00"/>
        <d v="2021-01-29T00:00:00"/>
        <d v="2022-04-20T00:00:00"/>
        <d v="2019-04-09T00:00:00"/>
        <d v="2023-09-16T00:00:00"/>
        <d v="2022-05-29T00:00:00"/>
        <d v="2019-10-07T00:00:00"/>
        <d v="2021-12-13T00:00:00"/>
        <d v="2022-02-06T00:00:00"/>
        <d v="2019-10-04T00:00:00"/>
        <d v="2023-07-30T00:00:00"/>
        <d v="2020-08-20T00:00:00"/>
        <d v="2023-07-13T00:00:00"/>
        <d v="2019-08-25T00:00:00"/>
        <d v="2021-05-07T00:00:00"/>
        <d v="2023-05-02T00:00:00"/>
        <d v="2020-06-13T00:00:00"/>
        <d v="2021-02-01T00:00:00"/>
        <d v="2022-10-13T00:00:00"/>
        <d v="2021-11-14T00:00:00"/>
        <d v="2020-11-19T00:00:00"/>
        <d v="2019-07-24T00:00:00"/>
        <d v="2021-09-01T00:00:00"/>
        <d v="2021-06-07T00:00:00"/>
        <d v="2020-04-15T00:00:00"/>
        <d v="2019-08-01T00:00:00"/>
        <d v="2022-02-03T00:00:00"/>
        <d v="2024-03-03T00:00:00"/>
        <d v="2020-05-22T00:00:00"/>
        <d v="2023-07-08T00:00:00"/>
        <d v="2019-08-31T00:00:00"/>
        <d v="2023-01-02T00:00:00"/>
        <d v="2022-04-29T00:00:00"/>
        <d v="2020-05-16T00:00:00"/>
        <d v="2022-07-30T00:00:00"/>
        <d v="2023-03-21T00:00:00"/>
        <d v="2020-07-28T00:00:00"/>
        <d v="2020-08-26T00:00:00"/>
        <d v="2024-01-14T00:00:00"/>
        <d v="2022-01-03T00:00:00"/>
        <d v="2019-05-07T00:00:00"/>
        <d v="2023-09-18T00:00:00"/>
        <d v="2023-06-06T00:00:00"/>
        <d v="2021-08-03T00:00:00"/>
        <d v="2022-01-11T00:00:00"/>
        <d v="2021-09-20T00:00:00"/>
        <d v="2022-01-17T00:00:00"/>
        <d v="2019-05-23T00:00:00"/>
        <d v="2022-02-12T00:00:00"/>
        <d v="2019-06-01T00:00:00"/>
        <d v="2021-10-19T00:00:00"/>
        <d v="2023-05-07T00:00:00"/>
        <d v="2021-04-23T00:00:00"/>
        <d v="2023-05-08T00:00:00"/>
        <d v="2020-09-22T00:00:00"/>
        <d v="2019-09-03T00:00:00"/>
        <d v="2020-08-18T00:00:00"/>
        <d v="2022-02-10T00:00:00"/>
        <d v="2019-12-02T00:00:00"/>
        <d v="2020-11-27T00:00:00"/>
        <d v="2019-04-20T00:00:00"/>
        <d v="2019-06-11T00:00:00"/>
        <d v="2019-12-25T00:00:00"/>
        <d v="2020-09-15T00:00:00"/>
        <d v="2020-08-01T00:00:00"/>
        <d v="2023-09-19T00:00:00"/>
        <d v="2020-04-23T00:00:00"/>
        <d v="2020-11-24T00:00:00"/>
        <d v="2023-04-13T00:00:00"/>
        <d v="2020-03-15T00:00:00"/>
        <d v="2023-01-18T00:00:00"/>
        <d v="2020-07-27T00:00:00"/>
        <d v="2023-06-17T00:00:00"/>
        <d v="2023-01-24T00:00:00"/>
        <d v="2021-03-19T00:00:00"/>
        <d v="2019-09-11T00:00:00"/>
        <d v="2023-10-01T00:00:00"/>
        <d v="2024-02-19T00:00:00"/>
        <d v="2020-07-02T00:00:00"/>
        <d v="2023-04-11T00:00:00"/>
        <d v="2021-01-08T00:00:00"/>
        <d v="2023-06-05T00:00:00"/>
        <d v="2021-07-09T00:00:00"/>
        <d v="2021-08-06T00:00:00"/>
        <d v="2019-11-05T00:00:00"/>
        <d v="2021-04-03T00:00:00"/>
        <d v="2021-07-01T00:00:00"/>
        <d v="2019-07-28T00:00:00"/>
        <d v="2021-09-21T00:00:00"/>
        <d v="2021-12-12T00:00:00"/>
        <d v="2023-01-21T00:00:00"/>
        <d v="2021-05-05T00:00:00"/>
        <d v="2019-10-16T00:00:00"/>
        <d v="2022-05-18T00:00:00"/>
        <d v="2019-08-10T00:00:00"/>
        <d v="2020-12-12T00:00:00"/>
        <d v="2020-07-31T00:00:00"/>
        <d v="2021-09-09T00:00:00"/>
        <d v="2019-11-01T00:00:00"/>
        <d v="2021-08-04T00:00:00"/>
        <d v="2022-10-14T00:00:00"/>
        <d v="2022-12-01T00:00:00"/>
        <d v="2020-01-20T00:00:00"/>
        <d v="2022-05-26T00:00:00"/>
        <d v="2023-08-11T00:00:00"/>
        <d v="2019-11-06T00:00:00"/>
        <d v="2019-11-18T00:00:00"/>
        <d v="2020-06-05T00:00:00"/>
        <d v="2022-04-04T00:00:00"/>
        <d v="2024-01-09T00:00:00"/>
        <d v="2019-10-06T00:00:00"/>
        <d v="2022-02-26T00:00:00"/>
        <d v="2022-11-12T00:00:00"/>
        <d v="2023-05-30T00:00:00"/>
        <d v="2022-03-15T00:00:00"/>
        <d v="2022-05-28T00:00:00"/>
        <d v="2022-01-12T00:00:00"/>
        <d v="2023-05-29T00:00:00"/>
        <d v="2020-09-17T00:00:00"/>
        <d v="2019-12-15T00:00:00"/>
        <d v="2023-03-19T00:00:00"/>
        <d v="2023-04-28T00:00:00"/>
        <d v="2019-07-31T00:00:00"/>
        <d v="2022-02-24T00:00:00"/>
        <d v="2023-04-06T00:00:00"/>
        <d v="2021-06-28T00:00:00"/>
        <d v="2022-12-24T00:00:00"/>
        <d v="2021-10-14T00:00:00"/>
        <d v="2023-07-23T00:00:00"/>
        <d v="2019-05-27T00:00:00"/>
        <d v="2019-11-27T00:00:00"/>
        <d v="2022-09-11T00:00:00"/>
        <d v="2020-04-26T00:00:00"/>
        <d v="2019-07-13T00:00:00"/>
        <d v="2022-07-05T00:00:00"/>
        <d v="2023-11-06T00:00:00"/>
        <d v="2022-08-15T00:00:00"/>
        <d v="2021-06-21T00:00:00"/>
        <d v="2020-02-11T00:00:00"/>
        <d v="2023-01-14T00:00:00"/>
        <d v="2021-06-20T00:00:00"/>
        <d v="2019-05-18T00:00:00"/>
        <d v="2022-08-04T00:00:00"/>
        <d v="2021-12-31T00:00:00"/>
        <d v="2022-12-07T00:00:00"/>
        <d v="2022-03-27T00:00:00"/>
        <d v="2020-07-21T00:00:00"/>
        <d v="2021-10-28T00:00:00"/>
        <d v="2022-12-14T00:00:00"/>
        <d v="2022-07-22T00:00:00"/>
        <d v="2021-06-22T00:00:00"/>
        <d v="2020-01-22T00:00:00"/>
        <d v="2021-07-22T00:00:00"/>
        <d v="2020-05-02T00:00:00"/>
        <d v="2022-08-22T00:00:00"/>
        <d v="2019-06-28T00:00:00"/>
        <d v="2019-10-08T00:00:00"/>
        <d v="2022-09-07T00:00:00"/>
        <d v="2023-09-30T00:00:00"/>
        <d v="2024-03-09T00:00:00"/>
        <d v="2023-10-07T00:00:00"/>
        <d v="2023-05-10T00:00:00"/>
        <d v="2023-04-27T00:00:00"/>
        <d v="2021-09-04T00:00:00"/>
        <d v="2022-07-13T00:00:00"/>
        <d v="2023-09-24T00:00:00"/>
        <d v="2023-03-08T00:00:00"/>
        <d v="2022-02-11T00:00:00"/>
        <d v="2023-07-17T00:00:00"/>
        <d v="2020-06-28T00:00:00"/>
        <d v="2019-10-20T00:00:00"/>
        <d v="2022-11-25T00:00:00"/>
        <d v="2019-12-04T00:00:00"/>
        <d v="2022-03-24T00:00:00"/>
        <d v="2022-09-29T00:00:00"/>
        <d v="2022-10-10T00:00:00"/>
        <d v="2021-08-16T00:00:00"/>
        <d v="2020-07-03T00:00:00"/>
        <d v="2023-09-14T00:00:00"/>
        <d v="2020-12-15T00:00:00"/>
        <d v="2024-01-19T00:00:00"/>
        <d v="2019-08-30T00:00:00"/>
        <d v="2022-01-20T00:00:00"/>
        <d v="2023-09-01T00:00:00"/>
        <d v="2020-02-27T00:00:00"/>
        <d v="2022-04-03T00:00:00"/>
        <d v="2022-12-17T00:00:00"/>
        <d v="2023-04-14T00:00:00"/>
        <d v="2022-01-26T00:00:00"/>
        <d v="2021-12-04T00:00:00"/>
        <d v="2021-02-27T00:00:00"/>
        <d v="2023-04-30T00:00:00"/>
        <d v="2023-07-05T00:00:00"/>
        <d v="2023-11-23T00:00:00"/>
        <d v="2020-09-04T00:00:00"/>
        <d v="2020-07-23T00:00:00"/>
        <d v="2020-09-02T00:00:00"/>
        <d v="2020-06-02T00:00:00"/>
        <d v="2020-07-16T00:00:00"/>
        <d v="2023-11-04T00:00:00"/>
        <d v="2019-05-24T00:00:00"/>
        <d v="2020-01-14T00:00:00"/>
        <d v="2022-08-17T00:00:00"/>
        <d v="2023-10-20T00:00:00"/>
        <d v="2020-12-27T00:00:00"/>
        <d v="2023-05-18T00:00:00"/>
        <d v="2022-04-07T00:00:00"/>
        <d v="2023-07-31T00:00:00"/>
        <d v="2019-10-28T00:00:00"/>
        <d v="2019-04-23T00:00:00"/>
        <d v="2022-11-22T00:00:00"/>
        <d v="2023-06-29T00:00:00"/>
        <d v="2022-10-24T00:00:00"/>
        <d v="2019-10-19T00:00:00"/>
        <d v="2022-08-12T00:00:00"/>
        <d v="2020-11-07T00:00:00"/>
        <d v="2020-06-16T00:00:00"/>
        <d v="2020-09-07T00:00:00"/>
        <d v="2021-06-09T00:00:00"/>
        <d v="2021-07-30T00:00:00"/>
        <d v="2023-01-05T00:00:00"/>
        <d v="2019-11-07T00:00:00"/>
        <d v="2020-10-11T00:00:00"/>
        <d v="2023-07-21T00:00:00"/>
        <d v="2022-11-10T00:00:00"/>
        <d v="2021-10-26T00:00:00"/>
        <d v="2019-12-19T00:00:00"/>
        <d v="2023-06-22T00:00:00"/>
        <d v="2020-08-02T00:00:00"/>
        <d v="2021-03-21T00:00:00"/>
        <d v="2022-09-25T00:00:00"/>
        <d v="2020-06-24T00:00:00"/>
        <d v="2020-11-18T00:00:00"/>
        <d v="2024-02-13T00:00:00"/>
        <d v="2020-09-19T00:00:00"/>
        <d v="2022-07-18T00:00:00"/>
        <d v="2019-10-24T00:00:00"/>
        <d v="2020-11-03T00:00:00"/>
        <d v="2019-12-10T00:00:00"/>
        <d v="2022-04-19T00:00:00"/>
        <d v="2020-10-14T00:00:00"/>
        <d v="2022-03-06T00:00:00"/>
        <d v="2023-02-10T00:00:00"/>
        <d v="2020-11-10T00:00:00"/>
        <d v="2020-10-30T00:00:00"/>
        <d v="2020-01-05T00:00:00"/>
        <d v="2023-11-26T00:00:00"/>
        <d v="2023-05-31T00:00:00"/>
        <d v="2023-05-15T00:00:00"/>
        <d v="2019-08-06T00:00:00"/>
        <d v="2019-10-14T00:00:00"/>
        <d v="2020-10-07T00:00:00"/>
        <d v="2023-05-14T00:00:00"/>
        <d v="2019-12-20T00:00:00"/>
        <d v="2021-02-07T00:00:00"/>
        <d v="2021-05-19T00:00:00"/>
        <d v="2020-03-12T00:00:00"/>
        <d v="2022-06-19T00:00:00"/>
        <d v="2020-07-26T00:00:00"/>
        <d v="2022-09-15T00:00:00"/>
        <d v="2019-10-27T00:00:00"/>
        <d v="2023-08-12T00:00:00"/>
        <d v="2021-05-03T00:00:00"/>
        <d v="2019-07-26T00:00:00"/>
        <d v="2024-02-16T00:00:00"/>
        <d v="2022-05-30T00:00:00"/>
        <d v="2023-07-25T00:00:00"/>
        <d v="2023-11-03T00:00:00"/>
        <d v="2021-04-05T00:00:00"/>
        <d v="2023-01-27T00:00:00"/>
        <d v="2022-05-16T00:00:00"/>
        <d v="2019-10-13T00:00:00"/>
        <d v="2021-05-29T00:00:00"/>
        <d v="2022-07-14T00:00:00"/>
        <d v="2020-12-02T00:00:00"/>
        <d v="2024-01-24T00:00:00"/>
        <d v="2021-02-17T00:00:00"/>
        <d v="2022-09-01T00:00:00"/>
        <d v="2020-12-29T00:00:00"/>
        <d v="2022-06-15T00:00:00"/>
        <d v="2020-01-11T00:00:00"/>
        <d v="2020-03-05T00:00:00"/>
        <d v="2020-12-18T00:00:00"/>
        <d v="2023-02-17T00:00:00"/>
        <d v="2021-12-27T00:00:00"/>
        <d v="2023-03-25T00:00:00"/>
        <d v="2021-11-18T00:00:00"/>
        <d v="2020-12-22T00:00:00"/>
        <d v="2022-05-31T00:00:00"/>
        <d v="2023-12-03T00:00:00"/>
        <d v="2021-09-17T00:00:00"/>
        <d v="2022-10-30T00:00:00"/>
        <d v="2023-10-29T00:00:00"/>
        <d v="2024-01-02T00:00:00"/>
        <d v="2022-11-16T00:00:00"/>
        <d v="2020-03-19T00:00:00"/>
        <d v="2023-11-28T00:00:00"/>
        <d v="2020-04-13T00:00:00"/>
        <d v="2021-04-30T00:00:00"/>
        <d v="2023-12-16T00:00:00"/>
        <d v="2021-04-29T00:00:00"/>
        <d v="2022-09-14T00:00:00"/>
        <d v="2022-05-07T00:00:00"/>
        <d v="2021-05-27T00:00:00"/>
        <d v="2022-05-17T00:00:00"/>
        <d v="2024-02-15T00:00:00"/>
        <d v="2022-01-25T00:00:00"/>
        <d v="2022-10-17T00:00:00"/>
        <d v="2021-12-21T00:00:00"/>
        <d v="2023-08-13T00:00:00"/>
        <d v="2024-02-12T00:00:00"/>
        <d v="2021-11-06T00:00:00"/>
        <d v="2022-10-31T00:00:00"/>
        <d v="2024-01-20T00:00:00"/>
        <d v="2022-07-10T00:00:00"/>
        <d v="2020-01-15T00:00:00"/>
        <d v="2023-09-09T00:00:00"/>
        <d v="2021-07-18T00:00:00"/>
        <d v="2023-12-20T00:00:00"/>
        <d v="2023-02-19T00:00:00"/>
        <d v="2024-01-11T00:00:00"/>
        <d v="2023-02-07T00:00:00"/>
        <d v="2023-10-14T00:00:00"/>
        <d v="2023-05-27T00:00:00"/>
        <d v="2022-08-30T00:00:00"/>
        <d v="2023-12-12T00:00:00"/>
        <d v="2021-12-10T00:00:00"/>
        <d v="2020-11-11T00:00:00"/>
        <d v="2022-03-13T00:00:00"/>
        <d v="2022-06-18T00:00:00"/>
        <d v="2020-01-27T00:00:00"/>
        <d v="2023-11-02T00:00:00"/>
        <d v="2019-11-04T00:00:00"/>
        <d v="2020-08-25T00:00:00"/>
        <d v="2023-08-17T00:00:00"/>
        <d v="2019-08-21T00:00:00"/>
        <d v="2023-01-03T00:00:00"/>
        <d v="2023-04-26T00:00:00"/>
        <d v="2021-01-17T00:00:00"/>
        <d v="2019-06-18T00:00:00"/>
        <d v="2023-04-12T00:00:00"/>
        <d v="2020-07-10T00:00:00"/>
        <d v="2021-05-18T00:00:00"/>
        <d v="2022-12-02T00:00:00"/>
        <d v="2020-01-25T00:00:00"/>
        <d v="2021-04-13T00:00:00"/>
        <d v="2023-09-12T00:00:00"/>
        <d v="2023-10-26T00:00:00"/>
        <d v="2021-08-01T00:00:00"/>
        <d v="2023-02-24T00:00:00"/>
        <d v="2023-08-10T00:00:00"/>
        <d v="2023-01-22T00:00:00"/>
        <d v="2023-10-19T00:00:00"/>
        <d v="2022-11-07T00:00:00"/>
        <d v="2022-09-06T00:00:00"/>
        <d v="2021-02-22T00:00:00"/>
        <d v="2021-02-18T00:00:00"/>
        <d v="2020-03-10T00:00:00"/>
        <d v="2023-03-18T00:00:00"/>
        <d v="2020-11-23T00:00:00"/>
        <d v="2024-01-05T00:00:00"/>
        <d v="2023-04-17T00:00:00"/>
        <d v="2019-08-16T00:00:00"/>
        <d v="2021-05-20T00:00:00"/>
        <d v="2021-06-12T00:00:00"/>
        <d v="2020-11-12T00:00:00"/>
        <d v="2019-09-19T00:00:00"/>
        <d v="2021-12-03T00:00:00"/>
        <d v="2022-02-15T00:00:00"/>
        <d v="2021-03-15T00:00:00"/>
        <d v="2019-12-22T00:00:00"/>
        <d v="2021-01-07T00:00:00"/>
        <d v="2021-03-03T00:00:00"/>
        <d v="2023-10-30T00:00:00"/>
        <d v="2021-07-15T00:00:00"/>
        <d v="2023-11-17T00:00:00"/>
        <d v="2020-11-02T00:00:00"/>
        <d v="2023-03-09T00:00:00"/>
        <d v="2019-05-02T00:00:00"/>
        <d v="2024-03-02T00:00:00"/>
        <d v="2020-07-14T00:00:00"/>
        <d v="2023-02-01T00:00:00"/>
        <d v="2020-03-22T00:00:00"/>
        <d v="2023-11-09T00:00:00"/>
        <d v="2022-02-19T00:00:00"/>
        <d v="2023-02-04T00:00:00"/>
        <d v="2022-12-16T00:00:00"/>
        <d v="2019-09-06T00:00:00"/>
        <d v="2020-10-18T00:00:00"/>
        <d v="2022-03-10T00:00:00"/>
        <d v="2023-05-26T00:00:00"/>
        <d v="2022-08-27T00:00:00"/>
        <d v="2021-12-19T00:00:00"/>
        <d v="2023-03-07T00:00:00"/>
        <d v="2023-11-20T00:00:00"/>
        <d v="2023-08-25T00:00:00"/>
        <d v="2019-11-17T00:00:00"/>
        <d v="2024-02-26T00:00:00"/>
        <d v="2022-10-25T00:00:00"/>
        <d v="2021-07-03T00:00:00"/>
        <d v="2023-02-05T00:00:00"/>
        <d v="2021-10-17T00:00:00"/>
        <d v="2022-07-19T00:00:00"/>
        <d v="2023-01-23T00:00:00"/>
        <d v="2024-01-30T00:00:00"/>
        <d v="2023-08-20T00:00:00"/>
        <d v="2024-01-15T00:00:00"/>
        <d v="2024-01-13T00:00:00"/>
        <d v="2022-05-24T00:00:00"/>
        <d v="2023-02-11T00:00:00"/>
        <d v="2021-04-16T00:00:00"/>
        <d v="2019-09-02T00:00:00"/>
        <d v="2022-10-18T00:00:00"/>
        <d v="2019-04-02T00:00:00"/>
        <d v="2024-01-08T00:00:00"/>
        <d v="2021-04-09T00:00:00"/>
        <d v="2020-09-25T00:00:00"/>
        <d v="2021-02-13T00:00:00"/>
        <d v="2022-12-31T00:00:00"/>
        <d v="2019-08-23T00:00:00"/>
        <d v="2020-08-06T00:00:00"/>
        <d v="2022-11-17T00:00:00"/>
        <d v="2020-05-06T00:00:00"/>
        <d v="2020-12-04T00:00:00"/>
        <d v="2020-07-17T00:00:00"/>
        <d v="2024-03-25T00:00:00"/>
        <d v="2023-05-01T00:00:00"/>
        <d v="2022-06-25T00:00:00"/>
        <d v="2021-08-22T00:00:00"/>
        <d v="2020-03-16T00:00:00"/>
        <d v="2019-12-03T00:00:00"/>
        <d v="2020-04-27T00:00:00"/>
        <d v="2021-08-15T00:00:00"/>
        <d v="2024-02-28T00:00:00"/>
      </sharedItems>
    </cacheField>
    <cacheField name="LOAN AMOUNT" numFmtId="178">
      <sharedItems containsSemiMixedTypes="0" containsString="0" containsNumber="1" containsInteger="1" minValue="0" maxValue="9881373" count="1300">
        <n v="154902"/>
        <n v="414647"/>
        <n v="161299"/>
        <n v="719659"/>
        <n v="478700"/>
        <n v="1976967"/>
        <n v="1566807"/>
        <n v="1026395"/>
        <n v="1602651"/>
        <n v="735359"/>
        <n v="1010697"/>
        <n v="1369854"/>
        <n v="1160987"/>
        <n v="1725207"/>
        <n v="691062"/>
        <n v="2269266"/>
        <n v="1169145"/>
        <n v="1154733"/>
        <n v="2179292"/>
        <n v="52398"/>
        <n v="1054335"/>
        <n v="2284331"/>
        <n v="1824769"/>
        <n v="1887524"/>
        <n v="1015171"/>
        <n v="1435917"/>
        <n v="2445128"/>
        <n v="1857959"/>
        <n v="304227"/>
        <n v="637967"/>
        <n v="2358231"/>
        <n v="747559"/>
        <n v="1639528"/>
        <n v="1824221"/>
        <n v="2479258"/>
        <n v="2277704"/>
        <n v="1036516"/>
        <n v="2420733"/>
        <n v="1710046"/>
        <n v="89071"/>
        <n v="605563"/>
        <n v="1318848"/>
        <n v="613257"/>
        <n v="1488144"/>
        <n v="437127"/>
        <n v="727723"/>
        <n v="2338371"/>
        <n v="1342929"/>
        <n v="1533435"/>
        <n v="731581"/>
        <n v="1776850"/>
        <n v="212422"/>
        <n v="1004604"/>
        <n v="1522813"/>
        <n v="798967"/>
        <n v="1880368"/>
        <n v="236170"/>
        <n v="1577655"/>
        <n v="2177025"/>
        <n v="854635"/>
        <n v="51702"/>
        <n v="2000301"/>
        <n v="405658"/>
        <n v="992211"/>
        <n v="355463"/>
        <n v="497059"/>
        <n v="260631"/>
        <n v="2394302"/>
        <n v="2347941"/>
        <n v="2236489"/>
        <n v="1189655"/>
        <n v="947383"/>
        <n v="3375594"/>
        <n v="1807502"/>
        <n v="1878028"/>
        <n v="2010376"/>
        <n v="402101"/>
        <n v="937767"/>
        <n v="1108103"/>
        <n v="990455"/>
        <n v="689137"/>
        <n v="1597258"/>
        <n v="2465066"/>
        <n v="1068584"/>
        <n v="222256"/>
        <n v="1811854"/>
        <n v="691691"/>
        <n v="1999821"/>
        <n v="1219909"/>
        <n v="170376"/>
        <n v="1477484"/>
        <n v="1062320"/>
        <n v="1929780"/>
        <n v="2489220"/>
        <n v="1437439"/>
        <n v="1373504"/>
        <n v="2250486"/>
        <n v="109342"/>
        <n v="2108894"/>
        <n v="823277"/>
        <n v="274852"/>
        <n v="1795560"/>
        <n v="1848642"/>
        <n v="1810835"/>
        <n v="2020955"/>
        <n v="348549"/>
        <n v="531406"/>
        <n v="1340217"/>
        <n v="1738243"/>
        <n v="1401914"/>
        <n v="137012"/>
        <n v="2226692"/>
        <n v="432698"/>
        <n v="1433296"/>
        <n v="203918"/>
        <n v="2208373"/>
        <n v="1567412"/>
        <n v="599509"/>
        <n v="1053686"/>
        <n v="525890"/>
        <n v="1196827"/>
        <n v="849477"/>
        <n v="1475540"/>
        <n v="2482374"/>
        <n v="2364909"/>
        <n v="2448293"/>
        <n v="1669331"/>
        <n v="1290978"/>
        <n v="1769574"/>
        <n v="1717165"/>
        <n v="2319185"/>
        <n v="429078"/>
        <n v="242900"/>
        <n v="2277873"/>
        <n v="1060113"/>
        <n v="89415"/>
        <n v="1499407"/>
        <n v="885576"/>
        <n v="2385135"/>
        <n v="83965"/>
        <n v="1015186"/>
        <n v="3645065"/>
        <n v="428046"/>
        <n v="1584517"/>
        <n v="1287912"/>
        <n v="1716864"/>
        <n v="2300547"/>
        <n v="504436"/>
        <n v="978481"/>
        <n v="1326597"/>
        <n v="1952719"/>
        <n v="465326"/>
        <n v="1915189"/>
        <n v="303965"/>
        <n v="939636"/>
        <n v="2418011"/>
        <n v="1428078"/>
        <n v="2318661"/>
        <n v="1407995"/>
        <n v="316581"/>
        <n v="231886"/>
        <n v="2058995"/>
        <n v="388859"/>
        <n v="2349973"/>
        <n v="1854386"/>
        <n v="1008371"/>
        <n v="1360818"/>
        <n v="408044"/>
        <n v="2405464"/>
        <n v="265780"/>
        <n v="2072448"/>
        <n v="2457949"/>
        <n v="1713893"/>
        <n v="1475327"/>
        <n v="178585"/>
        <n v="1602115"/>
        <n v="710224"/>
        <n v="1904067"/>
        <n v="2091085"/>
        <n v="82241"/>
        <n v="82421"/>
        <n v="2148252"/>
        <n v="128607"/>
        <n v="1264314"/>
        <n v="1567720"/>
        <n v="1709965"/>
        <n v="528262"/>
        <n v="1040983"/>
        <n v="793004"/>
        <n v="2417650"/>
        <n v="1320120"/>
        <n v="207736"/>
        <n v="2176796"/>
        <n v="1398580"/>
        <n v="403702"/>
        <n v="2248102"/>
        <n v="1469214"/>
        <n v="1241798"/>
        <n v="1351206"/>
        <n v="2394289"/>
        <n v="441970"/>
        <n v="948389"/>
        <n v="1290641"/>
        <n v="208324"/>
        <n v="744321"/>
        <n v="1245074"/>
        <n v="863762"/>
        <n v="2262326"/>
        <n v="268857"/>
        <n v="572936"/>
        <n v="434674"/>
        <n v="273375"/>
        <n v="168227"/>
        <n v="2031619"/>
        <n v="954521"/>
        <n v="561069"/>
        <n v="2298372"/>
        <n v="56561"/>
        <n v="2245653"/>
        <n v="89665"/>
        <n v="118124"/>
        <n v="2490679"/>
        <n v="3490652"/>
        <n v="205121"/>
        <n v="2211675"/>
        <n v="1250036"/>
        <n v="1727812"/>
        <n v="1590764"/>
        <n v="1856097"/>
        <n v="1290003"/>
        <n v="1528740"/>
        <n v="364745"/>
        <n v="180613"/>
        <n v="1568969"/>
        <n v="1610337"/>
        <n v="1218909"/>
        <n v="2405826"/>
        <n v="889608"/>
        <n v="1390448"/>
        <n v="780190"/>
        <n v="1042943"/>
        <n v="1579570"/>
        <n v="2254927"/>
        <n v="1937329"/>
        <n v="813208"/>
        <n v="2223077"/>
        <n v="2226415"/>
        <n v="575002"/>
        <n v="696737"/>
        <n v="240680"/>
        <n v="2138923"/>
        <n v="1753275"/>
        <n v="905734"/>
        <n v="1722338"/>
        <n v="563894"/>
        <n v="1803784"/>
        <n v="718330"/>
        <n v="427693"/>
        <n v="254087"/>
        <n v="1248515"/>
        <n v="1741370"/>
        <n v="1260483"/>
        <n v="548329"/>
        <n v="1583464"/>
        <n v="213217"/>
        <n v="636283"/>
        <n v="1460852"/>
        <n v="119780"/>
        <n v="2040575"/>
        <n v="1374721"/>
        <n v="129429"/>
        <n v="2028056"/>
        <n v="2254010"/>
        <n v="1158815"/>
        <n v="1262171"/>
        <n v="1257076"/>
        <n v="664365"/>
        <n v="2059404"/>
        <n v="508129"/>
        <n v="1026587"/>
        <n v="71732"/>
        <n v="2052564"/>
        <n v="2458089"/>
        <n v="1715115"/>
        <n v="1455268"/>
        <n v="2013021"/>
        <n v="830975"/>
        <n v="1750749"/>
        <n v="639768"/>
        <n v="1432548"/>
        <n v="545870"/>
        <n v="542477"/>
        <n v="2055640"/>
        <n v="966084"/>
        <n v="2416295"/>
        <n v="1426225"/>
        <n v="431436"/>
        <n v="2415214"/>
        <n v="963944"/>
        <n v="2030010"/>
        <n v="1620602"/>
        <n v="386592"/>
        <n v="2303425"/>
        <n v="1991979"/>
        <n v="1982002"/>
        <n v="185129"/>
        <n v="1059427"/>
        <n v="1076489"/>
        <n v="637771"/>
        <n v="2472104"/>
        <n v="2374281"/>
        <n v="1841809"/>
        <n v="1386869"/>
        <n v="2036081"/>
        <n v="291692"/>
        <n v="902856"/>
        <n v="266160"/>
        <n v="960233"/>
        <n v="2058739"/>
        <n v="1646611"/>
        <n v="2004562"/>
        <n v="241744"/>
        <n v="2479101"/>
        <n v="1080666"/>
        <n v="1982856"/>
        <n v="2323886"/>
        <n v="76775"/>
        <n v="303546"/>
        <n v="99706"/>
        <n v="801899"/>
        <n v="1108718"/>
        <n v="2419790"/>
        <n v="442169"/>
        <n v="396810"/>
        <n v="2265260"/>
        <n v="2044392"/>
        <n v="802267"/>
        <n v="372699"/>
        <n v="1644633"/>
        <n v="459723"/>
        <n v="977120"/>
        <n v="2107740"/>
        <n v="409427"/>
        <n v="1643835"/>
        <n v="1342967"/>
        <n v="2386164"/>
        <n v="1410759"/>
        <n v="1068135"/>
        <n v="2118311"/>
        <n v="1564667"/>
        <n v="618284"/>
        <n v="1896428"/>
        <n v="2059112"/>
        <n v="2465412"/>
        <n v="527680"/>
        <n v="162894"/>
        <n v="1766064"/>
        <n v="1631214"/>
        <n v="2330213"/>
        <n v="1091156"/>
        <n v="1440817"/>
        <n v="2225995"/>
        <n v="2149105"/>
        <n v="536830"/>
        <n v="2235714"/>
        <n v="331749"/>
        <n v="1073045"/>
        <n v="1022472"/>
        <n v="877638"/>
        <n v="312411"/>
        <n v="1150389"/>
        <n v="1696448"/>
        <n v="405475"/>
        <n v="2192554"/>
        <n v="776599"/>
        <n v="274861"/>
        <n v="2169960"/>
        <n v="751511"/>
        <n v="1260771"/>
        <n v="2192475"/>
        <n v="2323494"/>
        <n v="1088222"/>
        <n v="1891592"/>
        <n v="1845862"/>
        <n v="1521426"/>
        <n v="2452227"/>
        <n v="298663"/>
        <n v="1037781"/>
        <n v="1739678"/>
        <n v="60372"/>
        <n v="2291538"/>
        <n v="1466647"/>
        <n v="242698"/>
        <n v="1964775"/>
        <n v="716799"/>
        <n v="744262"/>
        <n v="2018023"/>
        <n v="1821313"/>
        <n v="482858"/>
        <n v="649169"/>
        <n v="943619"/>
        <n v="413595"/>
        <n v="1369123"/>
        <n v="1245044"/>
        <n v="1693122"/>
        <n v="347845"/>
        <n v="1815229"/>
        <n v="333252"/>
        <n v="2174878"/>
        <n v="996162"/>
        <n v="701698"/>
        <n v="1350945"/>
        <n v="1951579"/>
        <n v="550980"/>
        <n v="2219389"/>
        <n v="545165"/>
        <n v="1152890"/>
        <n v="2427692"/>
        <n v="1007997"/>
        <n v="1656332"/>
        <n v="991685"/>
        <n v="550803"/>
        <n v="1731600"/>
        <n v="2369833"/>
        <n v="1067471"/>
        <n v="681521"/>
        <n v="1455164"/>
        <n v="4228294"/>
        <n v="1782485"/>
        <n v="2169917"/>
        <n v="1043092"/>
        <n v="1949004"/>
        <n v="701839"/>
        <n v="920889"/>
        <n v="219155"/>
        <n v="1711969"/>
        <n v="1946669"/>
        <n v="559411"/>
        <n v="2492443"/>
        <n v="590190"/>
        <n v="2457044"/>
        <n v="1534545"/>
        <n v="1080896"/>
        <n v="1223465"/>
        <n v="2330261"/>
        <n v="2422512"/>
        <n v="172907"/>
        <n v="2499427"/>
        <n v="284497"/>
        <n v="778601"/>
        <n v="2413936"/>
        <n v="428566"/>
        <n v="597312"/>
        <n v="515234"/>
        <n v="473759"/>
        <n v="2093464"/>
        <n v="986324"/>
        <n v="795362"/>
        <n v="976501"/>
        <n v="1504627"/>
        <n v="1923301"/>
        <n v="55373"/>
        <n v="1638435"/>
        <n v="596204"/>
        <n v="361219"/>
        <n v="1467467"/>
        <n v="1871168"/>
        <n v="2315450"/>
        <n v="694202"/>
        <n v="2064643"/>
        <n v="2036299"/>
        <n v="432255"/>
        <n v="1919717"/>
        <n v="905770"/>
        <n v="1004257"/>
        <n v="2452137"/>
        <n v="2155966"/>
        <n v="1933409"/>
        <n v="378701"/>
        <n v="785194"/>
        <n v="1208470"/>
        <n v="1788297"/>
        <n v="493064"/>
        <n v="1157869"/>
        <n v="1740195"/>
        <n v="256741"/>
        <n v="1354215"/>
        <n v="1908540"/>
        <n v="838259"/>
        <n v="2211197"/>
        <n v="2435184"/>
        <n v="262060"/>
        <n v="569560"/>
        <n v="2362461"/>
        <n v="165135"/>
        <n v="994188"/>
        <n v="2038507"/>
        <n v="1331190"/>
        <n v="1106959"/>
        <n v="80817"/>
        <n v="506821"/>
        <n v="2439505"/>
        <n v="7410324"/>
        <n v="668680"/>
        <n v="5548929"/>
        <n v="55502"/>
        <n v="1202020"/>
        <n v="3388085"/>
        <n v="1417520"/>
        <n v="4997832"/>
        <n v="113541"/>
        <n v="1105047"/>
        <n v="666794"/>
        <n v="2432003"/>
        <n v="4161479"/>
        <n v="4963872"/>
        <n v="2998971"/>
        <n v="1714949"/>
        <n v="277111"/>
        <n v="7795412"/>
        <n v="1037630"/>
        <n v="4814209"/>
        <n v="1892592"/>
        <n v="622545"/>
        <n v="797814"/>
        <n v="2039737"/>
        <n v="756162"/>
        <n v="1294205"/>
        <n v="5244487"/>
        <n v="1311736"/>
        <n v="506359"/>
        <n v="1480939"/>
        <n v="4964882"/>
        <n v="2327771"/>
        <n v="66196"/>
        <n v="1448608"/>
        <n v="3192037"/>
        <n v="580397"/>
        <n v="3815439"/>
        <n v="1458660"/>
        <n v="809415"/>
        <n v="2320499"/>
        <n v="730335"/>
        <n v="1831973"/>
        <n v="4804347"/>
        <n v="465869"/>
        <n v="256464"/>
        <n v="2082688"/>
        <n v="2657211"/>
        <n v="832952"/>
        <n v="1350430"/>
        <n v="1527435"/>
        <n v="647611"/>
        <n v="2332125"/>
        <n v="721154"/>
        <n v="494015"/>
        <n v="1529293"/>
        <n v="2889518"/>
        <n v="534663"/>
        <n v="396863"/>
        <n v="4781452"/>
        <n v="4052812"/>
        <n v="1216068"/>
        <n v="124077"/>
        <n v="5184156"/>
        <n v="9154663"/>
        <n v="1382998"/>
        <n v="798491"/>
        <n v="939244"/>
        <n v="7725285"/>
        <n v="2049872"/>
        <n v="98101"/>
        <n v="1753004"/>
        <n v="797654"/>
        <n v="3433368"/>
        <n v="237484"/>
        <n v="575869"/>
        <n v="61353"/>
        <n v="1389957"/>
        <n v="969468"/>
        <n v="3913856"/>
        <n v="1663898"/>
        <n v="4308450"/>
        <n v="753247"/>
        <n v="760803"/>
        <n v="3498414"/>
        <n v="4247927"/>
        <n v="8161368"/>
        <n v="1843276"/>
        <n v="5897656"/>
        <n v="780047"/>
        <n v="1144876"/>
        <n v="4691924"/>
        <n v="1083419"/>
        <n v="3514106"/>
        <n v="1244004"/>
        <n v="1127403"/>
        <n v="562658"/>
        <n v="1198855"/>
        <n v="968224"/>
        <n v="986368"/>
        <n v="793865"/>
        <n v="594299"/>
        <n v="218272"/>
        <n v="2836237"/>
        <n v="854672"/>
        <n v="3498154"/>
        <n v="434899"/>
        <n v="6074059"/>
        <n v="670409"/>
        <n v="1487950"/>
        <n v="2073221"/>
        <n v="217148"/>
        <n v="4584385"/>
        <n v="1318912"/>
        <n v="95400"/>
        <n v="1679770"/>
        <n v="383539"/>
        <n v="1405772"/>
        <n v="1380492"/>
        <n v="1564771"/>
        <n v="29801"/>
        <n v="706307"/>
        <n v="4231791"/>
        <n v="62049"/>
        <n v="8549405"/>
        <n v="183253"/>
        <n v="328604"/>
        <n v="4377431"/>
        <n v="861123"/>
        <n v="1178475"/>
        <n v="1750016"/>
        <n v="3437821"/>
        <n v="5578559"/>
        <n v="1921292"/>
        <n v="911157"/>
        <n v="985795"/>
        <n v="228861"/>
        <n v="264408"/>
        <n v="1886031"/>
        <n v="1013257"/>
        <n v="571331"/>
        <n v="1115094"/>
        <n v="4637880"/>
        <n v="1754695"/>
        <n v="4662687"/>
        <n v="1077860"/>
        <n v="6797069"/>
        <n v="4431845"/>
        <n v="5564189"/>
        <n v="549936"/>
        <n v="1370933"/>
        <n v="104673"/>
        <n v="234845"/>
        <n v="414140"/>
        <n v="4968108"/>
        <n v="999532"/>
        <n v="1915650"/>
        <n v="3595188"/>
        <n v="3342794"/>
        <n v="459929"/>
        <n v="449971"/>
        <n v="2341624"/>
        <n v="1691454"/>
        <n v="1108724"/>
        <n v="1998769"/>
        <n v="3025868"/>
        <n v="186219"/>
        <n v="7831399"/>
        <n v="8248403"/>
        <n v="7542068"/>
        <n v="327597"/>
        <n v="4241581"/>
        <n v="95710"/>
        <n v="1807416"/>
        <n v="858412"/>
        <n v="5930544"/>
        <n v="259709"/>
        <n v="1474733"/>
        <n v="1362913"/>
        <n v="912043"/>
        <n v="9507987"/>
        <n v="9816019"/>
        <n v="653872"/>
        <n v="2093987"/>
        <n v="81919"/>
        <n v="7055156"/>
        <n v="1472939"/>
        <n v="251599"/>
        <n v="500924"/>
        <n v="100571"/>
        <n v="921979"/>
        <n v="364294"/>
        <n v="314285"/>
        <n v="118563"/>
        <n v="4219853"/>
        <n v="84297"/>
        <n v="1441375"/>
        <n v="839906"/>
        <n v="7630896"/>
        <n v="688079"/>
        <n v="282859"/>
        <n v="458358"/>
        <n v="531702"/>
        <n v="168863"/>
        <n v="157921"/>
        <n v="2673617"/>
        <n v="3507418"/>
        <n v="7609812"/>
        <n v="710793"/>
        <n v="2128180"/>
        <n v="359587"/>
        <n v="1756934"/>
        <n v="2652906"/>
        <n v="1632011"/>
        <n v="690077"/>
        <n v="3636111"/>
        <n v="2408332"/>
        <n v="8936294"/>
        <n v="1578092"/>
        <n v="352441"/>
        <n v="1212972"/>
        <n v="2820511"/>
        <n v="1608078"/>
        <n v="7848565"/>
        <n v="457535"/>
        <n v="1071903"/>
        <n v="734800"/>
        <n v="290512"/>
        <n v="847836"/>
        <n v="1835066"/>
        <n v="995803"/>
        <n v="3160219"/>
        <n v="3512309"/>
        <n v="4594472"/>
        <n v="4463103"/>
        <n v="6043745"/>
        <n v="942551"/>
        <n v="4651040"/>
        <n v="945168"/>
        <n v="1294239"/>
        <n v="1431595"/>
        <n v="858828"/>
        <n v="1142603"/>
        <n v="676620"/>
        <n v="1055239"/>
        <n v="387575"/>
        <n v="4055900"/>
        <n v="8893056"/>
        <n v="3505601"/>
        <n v="424616"/>
        <n v="912960"/>
        <n v="2503388"/>
        <n v="817058"/>
        <n v="1619140"/>
        <n v="1627785"/>
        <n v="1342599"/>
        <n v="1601235"/>
        <n v="1228609"/>
        <n v="600620"/>
        <n v="355165"/>
        <n v="4067647"/>
        <n v="340063"/>
        <n v="2908330"/>
        <n v="2673632"/>
        <n v="5558571"/>
        <n v="1746878"/>
        <n v="1589719"/>
        <n v="1149199"/>
        <n v="2674981"/>
        <n v="3932422"/>
        <n v="1334651"/>
        <n v="674811"/>
        <n v="147314"/>
        <n v="2741798"/>
        <n v="6605958"/>
        <n v="952913"/>
        <n v="742968"/>
        <n v="939127"/>
        <n v="5157266"/>
        <n v="4585932"/>
        <n v="1707748"/>
        <n v="1713217"/>
        <n v="3096467"/>
        <n v="9223950"/>
        <n v="1395642"/>
        <n v="1926738"/>
        <n v="8085113"/>
        <n v="456857"/>
        <n v="430316"/>
        <n v="549794"/>
        <n v="8470535"/>
        <n v="2432973"/>
        <n v="9109946"/>
        <n v="909090"/>
        <n v="714139"/>
        <n v="3455144"/>
        <n v="1697106"/>
        <n v="4668181"/>
        <n v="9225846"/>
        <n v="1212482"/>
        <n v="1672349"/>
        <n v="110774"/>
        <n v="673912"/>
        <n v="2802010"/>
        <n v="372180"/>
        <n v="1233191"/>
        <n v="4031138"/>
        <n v="1990916"/>
        <n v="4437431"/>
        <n v="683763"/>
        <n v="1637377"/>
        <n v="2620368"/>
        <n v="9195721"/>
        <n v="4013052"/>
        <n v="291731"/>
        <n v="1387529"/>
        <n v="1642889"/>
        <n v="1139252"/>
        <n v="278122"/>
        <n v="1806469"/>
        <n v="445156"/>
        <n v="598859"/>
        <n v="1307837"/>
        <n v="664800"/>
        <n v="4450669"/>
        <n v="3082930"/>
        <n v="4074420"/>
        <n v="5465729"/>
        <n v="1454379"/>
        <n v="1359900"/>
        <n v="262118"/>
        <n v="452595"/>
        <n v="991109"/>
        <n v="4907565"/>
        <n v="635731"/>
        <n v="2941327"/>
        <n v="1769260"/>
        <n v="1640848"/>
        <n v="335259"/>
        <n v="8583121"/>
        <n v="2245004"/>
        <n v="1838945"/>
        <n v="522755"/>
        <n v="1432728"/>
        <n v="6864320"/>
        <n v="2977296"/>
        <n v="2196459"/>
        <n v="4642687"/>
        <n v="439175"/>
        <n v="1475695"/>
        <n v="3919751"/>
        <n v="851599"/>
        <n v="7454115"/>
        <n v="700002"/>
        <n v="101681"/>
        <n v="760646"/>
        <n v="897755"/>
        <n v="200719"/>
        <n v="151314"/>
        <n v="917868"/>
        <n v="2797979"/>
        <n v="2407556"/>
        <n v="1667016"/>
        <n v="2305090"/>
        <n v="540664"/>
        <n v="1018228"/>
        <n v="463113"/>
        <n v="280388"/>
        <n v="535414"/>
        <n v="368208"/>
        <n v="967677"/>
        <n v="308534"/>
        <n v="122390"/>
        <n v="2622313"/>
        <n v="3163308"/>
        <n v="510499"/>
        <n v="2122764"/>
        <n v="1050681"/>
        <n v="944958"/>
        <n v="3539050"/>
        <n v="885295"/>
        <n v="2614684"/>
        <n v="843571"/>
        <n v="788864"/>
        <n v="295111"/>
        <n v="2383588"/>
        <n v="1935570"/>
        <n v="877625"/>
        <n v="1511322"/>
        <n v="2450939"/>
        <n v="4309968"/>
        <n v="395030"/>
        <n v="117895"/>
        <n v="3162264"/>
        <n v="400922"/>
        <n v="588535"/>
        <n v="1400975"/>
        <n v="2663133"/>
        <n v="8620329"/>
        <n v="2015910"/>
        <n v="218004"/>
        <n v="570450"/>
        <n v="355410"/>
        <n v="741466"/>
        <n v="64323"/>
        <n v="6940462"/>
        <n v="1671780"/>
        <n v="4225743"/>
        <n v="1233845"/>
        <n v="227316"/>
        <n v="2803803"/>
        <n v="7115986"/>
        <n v="1903389"/>
        <n v="6454940"/>
        <n v="1557720"/>
        <n v="62255"/>
        <n v="8787212"/>
        <n v="712278"/>
        <n v="650491"/>
        <n v="525315"/>
        <n v="252409"/>
        <n v="2116801"/>
        <n v="319089"/>
        <n v="896207"/>
        <n v="2651989"/>
        <n v="3361827"/>
        <n v="857037"/>
        <n v="4970587"/>
        <n v="333678"/>
        <n v="205172"/>
        <n v="155709"/>
        <n v="824434"/>
        <n v="5912308"/>
        <n v="1459621"/>
        <n v="109782"/>
        <n v="1057799"/>
        <n v="539608"/>
        <n v="1130281"/>
        <n v="4735845"/>
        <n v="1725021"/>
        <n v="4127783"/>
        <n v="1609858"/>
        <n v="7114592"/>
        <n v="152894"/>
        <n v="271622"/>
        <n v="280127"/>
        <n v="1882852"/>
        <n v="520179"/>
        <n v="414431"/>
        <n v="283882"/>
        <n v="3981352"/>
        <n v="1943413"/>
        <n v="8188641"/>
        <n v="1131653"/>
        <n v="4695108"/>
        <n v="63913"/>
        <n v="4947964"/>
        <n v="4392489"/>
        <n v="3553081"/>
        <n v="541703"/>
        <n v="3364123"/>
        <n v="942289"/>
        <n v="2561259"/>
        <n v="521896"/>
        <n v="2262245"/>
        <n v="558318"/>
        <n v="3284134"/>
        <n v="6566553"/>
        <n v="1659523"/>
        <n v="3134677"/>
        <n v="1253552"/>
        <n v="59307"/>
        <n v="399351"/>
        <n v="1635857"/>
        <n v="8850490"/>
        <n v="3449228"/>
        <n v="2822088"/>
        <n v="93375"/>
        <n v="975693"/>
        <n v="343963"/>
        <n v="764999"/>
        <n v="870690"/>
        <n v="1340143"/>
        <n v="911977"/>
        <n v="1414059"/>
        <n v="603155"/>
        <n v="4466947"/>
        <n v="4312640"/>
        <n v="1353476"/>
        <n v="1150160"/>
        <n v="1540677"/>
        <n v="959984"/>
        <n v="770285"/>
        <n v="222810"/>
        <n v="716596"/>
        <n v="1056598"/>
        <n v="377716"/>
        <n v="638163"/>
        <n v="932373"/>
        <n v="715107"/>
        <n v="912623"/>
        <n v="6121139"/>
        <n v="1988078"/>
        <n v="738712"/>
        <n v="4642835"/>
        <n v="364475"/>
        <n v="808466"/>
        <n v="2168508"/>
        <n v="6233236"/>
        <n v="599618"/>
        <n v="869418"/>
        <n v="417306"/>
        <n v="255635"/>
        <n v="620735"/>
        <n v="2142732"/>
        <n v="1524657"/>
        <n v="289275"/>
        <n v="482525"/>
        <n v="49063"/>
        <n v="2648849"/>
        <n v="6709881"/>
        <n v="37043"/>
        <n v="952160"/>
        <n v="521496"/>
        <n v="1778562"/>
        <n v="2535353"/>
        <n v="554478"/>
        <n v="129436"/>
        <n v="452564"/>
        <n v="1180319"/>
        <n v="8811084"/>
        <n v="228120"/>
        <n v="231282"/>
        <n v="1293584"/>
        <n v="4484872"/>
        <n v="4071643"/>
        <n v="995709"/>
        <n v="820580"/>
        <n v="1100399"/>
        <n v="999427"/>
        <n v="456366"/>
        <n v="445324"/>
        <n v="1408288"/>
        <n v="2902036"/>
        <n v="892560"/>
        <n v="434802"/>
        <n v="1521605"/>
        <n v="664951"/>
        <n v="1190796"/>
        <n v="43306"/>
        <n v="716322"/>
        <n v="1125907"/>
        <n v="454236"/>
        <n v="676534"/>
        <n v="407547"/>
        <n v="3692164"/>
        <n v="225890"/>
        <n v="600337"/>
        <n v="2662403"/>
        <n v="1271292"/>
        <n v="928783"/>
        <n v="1537997"/>
        <n v="712563"/>
        <n v="564036"/>
        <n v="513670"/>
        <n v="340473"/>
        <n v="4746070"/>
        <n v="32574"/>
        <n v="1587354"/>
        <n v="1792886"/>
        <n v="2784126"/>
        <n v="133651"/>
        <n v="2096258"/>
        <n v="139649"/>
        <n v="3567816"/>
        <n v="1577788"/>
        <n v="138565"/>
        <n v="4709974"/>
        <n v="1863834"/>
        <n v="162600"/>
        <n v="371488"/>
        <n v="730395"/>
        <n v="4147124"/>
        <n v="1708784"/>
        <n v="3276781"/>
        <n v="178769"/>
        <n v="3443342"/>
        <n v="1001389"/>
        <n v="6797553"/>
        <n v="1442486"/>
        <n v="800628"/>
        <n v="857716"/>
        <n v="4717449"/>
        <n v="7788387"/>
        <n v="1812209"/>
        <n v="175387"/>
        <n v="752487"/>
        <n v="3016904"/>
        <n v="967800"/>
        <n v="558917"/>
        <n v="706732"/>
        <n v="1365112"/>
        <n v="3262567"/>
        <n v="402427"/>
        <n v="909726"/>
        <n v="553526"/>
        <n v="2112332"/>
        <n v="655319"/>
        <n v="842883"/>
        <n v="516640"/>
        <n v="8804472"/>
        <n v="1351022"/>
        <n v="759418"/>
        <n v="6402031"/>
        <n v="1363666"/>
        <n v="1758969"/>
        <n v="2315827"/>
        <n v="2839455"/>
        <n v="926962"/>
        <n v="1582885"/>
        <n v="3341789"/>
        <n v="1978665"/>
        <n v="3794623"/>
        <n v="9593379"/>
        <n v="541163"/>
        <n v="2577450"/>
        <n v="1357262"/>
        <n v="1740349"/>
        <n v="1045778"/>
        <n v="853067"/>
        <n v="6785943"/>
        <n v="3739575"/>
        <n v="224914"/>
        <n v="887487"/>
        <n v="545899"/>
        <n v="2790402"/>
        <n v="1744190"/>
        <n v="808408"/>
        <n v="1296122"/>
        <n v="1626071"/>
        <n v="1857835"/>
        <n v="172342"/>
        <n v="359544"/>
        <n v="4605552"/>
        <n v="690492"/>
        <n v="1751616"/>
        <n v="439431"/>
        <n v="723126"/>
        <n v="7701201"/>
        <n v="1939000"/>
        <n v="111960"/>
        <n v="1157305"/>
        <n v="737678"/>
        <n v="3080296"/>
        <n v="7427357"/>
        <n v="882733"/>
        <n v="1851696"/>
        <n v="972191"/>
        <n v="3073320"/>
        <n v="1160006"/>
        <n v="378379"/>
        <n v="736261"/>
        <n v="7102762"/>
        <n v="9633273"/>
        <n v="1594734"/>
        <n v="553100"/>
        <n v="1466062"/>
        <n v="2165223"/>
        <n v="4636038"/>
        <n v="581706"/>
        <n v="1482843"/>
        <n v="694138"/>
        <n v="1264407"/>
        <n v="9821935"/>
        <n v="1073339"/>
        <n v="1900032"/>
        <n v="438948"/>
        <n v="137523"/>
        <n v="1677779"/>
        <n v="1917480"/>
        <n v="2881521"/>
        <n v="3132029"/>
        <n v="879613"/>
        <n v="1199006"/>
        <n v="811238"/>
        <n v="1438386"/>
        <n v="3906600"/>
        <n v="2487347"/>
        <n v="2138421"/>
        <n v="1503008"/>
        <n v="328974"/>
        <n v="537100"/>
        <n v="6737677"/>
        <n v="1196951"/>
        <n v="543782"/>
        <n v="9734668"/>
        <n v="358457"/>
        <n v="416642"/>
        <n v="1710168"/>
        <n v="1396847"/>
        <n v="608291"/>
        <n v="2527972"/>
        <n v="1094229"/>
        <n v="714230"/>
        <n v="576930"/>
        <n v="2113972"/>
        <n v="2591765"/>
        <n v="908000"/>
        <n v="1170949"/>
        <n v="128481"/>
        <n v="1409304"/>
        <n v="835602"/>
        <n v="7308524"/>
        <n v="4625690"/>
        <n v="1334494"/>
        <n v="125212"/>
        <n v="224721"/>
        <n v="6442687"/>
        <n v="5833077"/>
        <n v="582162"/>
        <n v="5375203"/>
        <n v="1282394"/>
        <n v="754212"/>
        <n v="3986910"/>
        <n v="2128210"/>
        <n v="183759"/>
        <n v="731697"/>
        <n v="993368"/>
        <n v="9881373"/>
        <n v="138765"/>
        <n v="573672"/>
        <n v="324065"/>
        <n v="988810"/>
        <n v="384545"/>
        <n v="1987110"/>
        <n v="591522"/>
        <n v="44624"/>
        <n v="782099"/>
        <n v="1801629"/>
        <n v="1002807"/>
        <n v="962371"/>
        <n v="3288243"/>
        <n v="2414522"/>
        <n v="510355"/>
        <n v="411650"/>
        <n v="3915008"/>
        <n v="557663"/>
        <n v="1585637"/>
        <n v="6990108"/>
        <n v="658669"/>
        <n v="3763152"/>
        <n v="2622072"/>
        <n v="467922"/>
        <n v="1546762"/>
        <n v="293850"/>
        <n v="233671"/>
        <n v="497628"/>
        <n v="46243"/>
        <n v="8143954"/>
        <n v="356668"/>
        <n v="9399177"/>
        <n v="746720"/>
        <n v="193730"/>
        <n v="1572151"/>
        <n v="2009055"/>
        <n v="142783"/>
        <n v="120379"/>
        <n v="4918739"/>
        <n v="214003"/>
        <n v="257894"/>
        <n v="344262"/>
        <n v="4491207"/>
        <n v="406951"/>
        <n v="4991939"/>
        <n v="445346"/>
        <n v="1056527"/>
        <n v="3230580"/>
        <n v="177608"/>
        <n v="421507"/>
        <n v="232057"/>
        <n v="1947149"/>
        <n v="297790"/>
        <n v="7627942"/>
        <n v="193384"/>
        <n v="717893"/>
        <n v="4701186"/>
        <n v="2498287"/>
        <n v="1162017"/>
        <n v="7468775"/>
        <n v="1130409"/>
        <n v="3290919"/>
        <n v="421795"/>
        <n v="1499672"/>
        <n v="456462"/>
        <n v="1850507"/>
        <n v="5359491"/>
        <n v="1433660"/>
        <n v="7676724"/>
        <n v="1208549"/>
      </sharedItems>
    </cacheField>
    <cacheField name="INTEREST RATE" numFmtId="0">
      <sharedItems containsSemiMixedTypes="0" containsString="0" containsNumber="1" minValue="0" maxValue="13" count="476">
        <n v="8.24"/>
        <n v="9.18"/>
        <n v="9.12"/>
        <n v="8.2"/>
        <n v="10.28"/>
        <n v="8.04"/>
        <n v="9.15"/>
        <n v="8.37"/>
        <n v="10.21"/>
        <n v="10.42"/>
        <n v="8.32"/>
        <n v="8.43"/>
        <n v="9.78"/>
        <n v="8.72"/>
        <n v="8.13"/>
        <n v="8.6"/>
        <n v="9.54"/>
        <n v="8.47"/>
        <n v="11.83"/>
        <n v="9.2"/>
        <n v="10.17"/>
        <n v="8.27"/>
        <n v="9.93"/>
        <n v="12.7"/>
        <n v="7.57"/>
        <n v="10.65"/>
        <n v="7.85"/>
        <n v="7.9"/>
        <n v="8.81"/>
        <n v="8.42"/>
        <n v="10.31"/>
        <n v="9.5"/>
        <n v="12.09"/>
        <n v="8.31"/>
        <n v="9.05"/>
        <n v="10.39"/>
        <n v="7.96"/>
        <n v="12.8"/>
        <n v="9.22"/>
        <n v="7.76"/>
        <n v="9.91"/>
        <n v="12.22"/>
        <n v="9.57"/>
        <n v="7.86"/>
        <n v="8.28"/>
        <n v="11.45"/>
        <n v="12.41"/>
        <n v="9.33"/>
        <n v="10.67"/>
        <n v="11.92"/>
        <n v="11.74"/>
        <n v="11.82"/>
        <n v="12.13"/>
        <n v="10.36"/>
        <n v="10.93"/>
        <n v="10.34"/>
        <n v="8.61"/>
        <n v="11.33"/>
        <n v="10.07"/>
        <n v="12.42"/>
        <n v="8.91"/>
        <n v="8.97"/>
        <n v="9.19"/>
        <n v="8.84"/>
        <n v="9.63"/>
        <n v="10.29"/>
        <n v="8.95"/>
        <n v="11.46"/>
        <n v="11.34"/>
        <n v="8.14"/>
        <n v="11.36"/>
        <n v="9.3"/>
        <n v="11.95"/>
        <n v="7.74"/>
        <n v="10.5"/>
        <n v="12.03"/>
        <n v="8.69"/>
        <n v="8.82"/>
        <n v="8.38"/>
        <n v="11.48"/>
        <n v="10.84"/>
        <n v="8.22"/>
        <n v="9.25"/>
        <n v="11.11"/>
        <n v="8.7"/>
        <n v="9.74"/>
        <n v="11.79"/>
        <n v="12.12"/>
        <n v="9.71"/>
        <n v="12.9"/>
        <n v="8.3"/>
        <n v="9.21"/>
        <n v="10.92"/>
        <n v="10.48"/>
        <n v="8.65"/>
        <n v="10.69"/>
        <n v="12.83"/>
        <n v="9.02"/>
        <n v="10"/>
        <n v="9.08"/>
        <n v="8.86"/>
        <n v="10.32"/>
        <n v="9.29"/>
        <n v="9.86"/>
        <n v="9.42"/>
        <n v="8.83"/>
        <n v="9.41"/>
        <n v="13"/>
        <n v="12.29"/>
        <n v="10.27"/>
        <n v="9.49"/>
        <n v="9.99"/>
        <n v="11.24"/>
        <n v="8.34"/>
        <n v="10.37"/>
        <n v="7.82"/>
        <n v="8.9"/>
        <n v="8.05"/>
        <n v="11.7"/>
        <n v="10.45"/>
        <n v="11.32"/>
        <n v="9.06"/>
        <n v="11.43"/>
        <n v="12.02"/>
        <n v="11.94"/>
        <n v="8.5"/>
        <n v="8.75"/>
        <n v="9.44"/>
        <n v="11.19"/>
        <n v="11.05"/>
        <n v="10.24"/>
        <n v="9.53"/>
        <n v="7.98"/>
        <n v="10.95"/>
        <n v="8.35"/>
        <n v="8.8"/>
        <n v="9.1"/>
        <n v="7.59"/>
        <n v="9.46"/>
        <n v="9.95"/>
        <n v="10.68"/>
        <n v="9.94"/>
        <n v="9.68"/>
        <n v="10.12"/>
        <n v="11.01"/>
        <n v="11.58"/>
        <n v="7.7"/>
        <n v="8"/>
        <n v="10.62"/>
        <n v="8.85"/>
        <n v="8.44"/>
        <n v="8.41"/>
        <n v="8.45"/>
        <n v="9.07"/>
        <n v="9.26"/>
        <n v="7.88"/>
        <n v="10.71"/>
        <n v="11.51"/>
        <n v="8.93"/>
        <n v="9.11"/>
        <n v="11.13"/>
        <n v="10.18"/>
        <n v="9.32"/>
        <n v="8.74"/>
        <n v="8.57"/>
        <n v="8.78"/>
        <n v="10.14"/>
        <n v="12.5"/>
        <n v="8.03"/>
        <n v="9.04"/>
        <n v="12.38"/>
        <n v="11.07"/>
        <n v="11.44"/>
        <n v="8.1"/>
        <n v="8.11"/>
        <n v="8.17"/>
        <n v="9.79"/>
        <n v="11.15"/>
        <n v="10.75"/>
        <n v="11.09"/>
        <n v="11.08"/>
        <n v="11.85"/>
        <n v="8.79"/>
        <n v="7.97"/>
        <n v="7.65"/>
        <n v="12.68"/>
        <n v="11.88"/>
        <n v="8.39"/>
        <n v="10.09"/>
        <n v="8.71"/>
        <n v="8.62"/>
        <n v="10.15"/>
        <n v="8.94"/>
        <n v="11.1"/>
        <n v="8.15"/>
        <n v="8.26"/>
        <n v="9.51"/>
        <n v="7.64"/>
        <n v="8.66"/>
        <n v="11.52"/>
        <n v="7.77"/>
        <n v="12.25"/>
        <n v="10.38"/>
        <n v="9.75"/>
        <n v="12.11"/>
        <n v="10.87"/>
        <n v="10.64"/>
        <n v="10.73"/>
        <n v="9.6"/>
        <n v="7.73"/>
        <n v="8.29"/>
        <n v="7.78"/>
        <n v="8.55"/>
        <n v="10.04"/>
        <n v="10.91"/>
        <n v="9.81"/>
        <n v="9.52"/>
        <n v="7.61"/>
        <n v="11.21"/>
        <n v="9.38"/>
        <n v="8.08"/>
        <n v="7.53"/>
        <n v="10.19"/>
        <n v="7.71"/>
        <n v="10.61"/>
        <n v="9.39"/>
        <n v="8.48"/>
        <n v="10.99"/>
        <n v="8.96"/>
        <n v="11.4"/>
        <n v="8.98"/>
        <n v="9"/>
        <n v="7.91"/>
        <n v="8.59"/>
        <n v="8.54"/>
        <n v="7.94"/>
        <n v="9.23"/>
        <n v="8.36"/>
        <n v="9.14"/>
        <n v="10.44"/>
        <n v="7.75"/>
        <n v="7.8"/>
        <n v="11"/>
        <n v="10.13"/>
        <n v="9.24"/>
        <n v="8.16"/>
        <n v="8.33"/>
        <n v="10.47"/>
        <n v="10.9"/>
        <n v="10.53"/>
        <n v="7.95"/>
        <n v="11.73"/>
        <n v="9.34"/>
        <n v="9.31"/>
        <n v="8.4"/>
        <n v="8.23"/>
        <n v="12.47"/>
        <n v="10.8"/>
        <n v="8.02"/>
        <n v="11.64"/>
        <n v="7.6"/>
        <n v="12.62"/>
        <n v="10.16"/>
        <n v="8.19"/>
        <n v="7.81"/>
        <n v="9.64"/>
        <n v="11.29"/>
        <n v="9.56"/>
        <n v="8.73"/>
        <n v="7.51"/>
        <n v="8.64"/>
        <n v="10.57"/>
        <n v="12.31"/>
        <n v="8.21"/>
        <n v="12.76"/>
        <n v="7.5"/>
        <n v="9.4"/>
        <n v="7.63"/>
        <n v="10.08"/>
        <n v="10.82"/>
        <n v="11.54"/>
        <n v="8.09"/>
        <n v="7.56"/>
        <n v="12"/>
        <n v="10.96"/>
        <n v="9.28"/>
        <n v="10.03"/>
        <n v="7.55"/>
        <n v="11.78"/>
        <n v="7.84"/>
        <n v="8.53"/>
        <n v="11.93"/>
        <n v="9.59"/>
        <n v="12.77"/>
        <n v="9.36"/>
        <n v="8.07"/>
        <n v="7.67"/>
        <n v="10.94"/>
        <n v="11.56"/>
        <n v="8.06"/>
        <n v="8.76"/>
        <n v="10.43"/>
        <n v="12.32"/>
        <n v="11.16"/>
        <n v="10.86"/>
        <n v="9.43"/>
        <n v="8.56"/>
        <n v="8.01"/>
        <n v="7.89"/>
        <n v="11.63"/>
        <n v="7.87"/>
        <n v="11.3"/>
        <n v="7.52"/>
        <n v="8.52"/>
        <n v="10.02"/>
        <n v="10.55"/>
        <n v="8.49"/>
        <n v="11.81"/>
        <n v="10.2"/>
        <n v="11.27"/>
        <n v="12.49"/>
        <n v="11.14"/>
        <n v="10.22"/>
        <n v="7.79"/>
        <n v="10.56"/>
        <n v="11.37"/>
        <n v="11.65"/>
        <n v="7.36"/>
        <n v="7.99"/>
        <n v="12.53"/>
        <n v="10.51"/>
        <n v="8.77"/>
        <n v="10.06"/>
        <n v="7.25"/>
        <n v="7.83"/>
        <n v="12.85"/>
        <n v="12.01"/>
        <n v="11.12"/>
        <n v="7.72"/>
        <n v="10.23"/>
        <n v="12.97"/>
        <n v="8.25"/>
        <n v="9.66"/>
        <n v="7.38"/>
        <n v="7.05"/>
        <n v="9.83"/>
        <n v="10.58"/>
        <n v="11.38"/>
        <n v="9.76"/>
        <n v="10.33"/>
        <n v="11.22"/>
        <n v="10.26"/>
        <n v="7.13"/>
        <n v="10.89"/>
        <n v="10.54"/>
        <n v="10.72"/>
        <n v="7.03"/>
        <n v="11.41"/>
        <n v="11.59"/>
        <n v="7.14"/>
        <n v="12.87"/>
        <n v="12.72"/>
        <n v="9.13"/>
        <n v="10.76"/>
        <n v="12.89"/>
        <n v="7.54"/>
        <n v="12.14"/>
        <n v="10.98"/>
        <n v="7.45"/>
        <n v="9.85"/>
        <n v="10.49"/>
        <n v="9.72"/>
        <n v="10.41"/>
        <n v="11.66"/>
        <n v="9.27"/>
        <n v="7.27"/>
        <n v="7.35"/>
        <n v="11.9"/>
        <n v="10.63"/>
        <n v="7.92"/>
        <n v="10.66"/>
        <n v="7.46"/>
        <n v="7.69"/>
        <n v="10.4"/>
        <n v="11.42"/>
        <n v="9.97"/>
        <n v="11.31"/>
        <n v="9.87"/>
        <n v="9.61"/>
        <n v="7.49"/>
        <n v="11.26"/>
        <n v="9.96"/>
        <n v="10.79"/>
        <n v="9.45"/>
        <n v="7.42"/>
        <n v="11.02"/>
        <n v="7.62"/>
        <n v="11.53"/>
        <n v="11.18"/>
        <n v="9.16"/>
        <n v="8.12"/>
        <n v="12.88"/>
        <n v="11.89"/>
        <n v="10.88"/>
        <n v="7.1"/>
        <n v="7.68"/>
        <n v="7.06"/>
        <n v="11.35"/>
        <n v="9.7"/>
        <n v="10.01"/>
        <n v="12.06"/>
        <n v="12.05"/>
        <n v="11.39"/>
        <n v="9.55"/>
        <n v="11.6"/>
        <n v="7.3"/>
        <n v="11.25"/>
        <n v="12.2"/>
        <n v="7.66"/>
        <n v="7.47"/>
        <n v="11.97"/>
        <n v="12.44"/>
        <n v="7.11"/>
        <n v="12.96"/>
        <n v="9.8"/>
        <n v="7.23"/>
        <n v="10.35"/>
        <n v="9.47"/>
        <n v="7.58"/>
        <n v="7.4"/>
        <n v="12.91"/>
        <n v="10.3"/>
        <n v="11.61"/>
        <n v="12.45"/>
        <n v="10.81"/>
        <n v="12.59"/>
        <n v="11.96"/>
        <n v="10.46"/>
        <n v="8.18"/>
        <n v="9.73"/>
        <n v="11.72"/>
        <n v="10.97"/>
        <n v="9.01"/>
        <n v="8.67"/>
        <n v="9.98"/>
        <n v="11.03"/>
        <n v="9.88"/>
        <n v="7.04"/>
        <n v="9.89"/>
        <n v="9.77"/>
        <n v="11.28"/>
        <n v="8.68"/>
        <n v="12.58"/>
        <n v="9.58"/>
        <n v="10.59"/>
        <n v="11.62"/>
        <n v="10.05"/>
        <n v="7.17"/>
        <n v="10.7"/>
        <n v="8.46"/>
        <n v="11.55"/>
        <n v="9.67"/>
        <n v="7.21"/>
        <n v="10.1"/>
        <n v="12.33"/>
        <n v="11.71"/>
        <n v="7.15"/>
        <n v="11.91"/>
        <n v="10.25"/>
        <n v="10.52"/>
        <n v="10.11"/>
        <n v="7.43"/>
        <n v="8.58"/>
        <n v="7.48"/>
        <n v="11.67"/>
        <n v="11.04"/>
      </sharedItems>
    </cacheField>
    <cacheField name="TENURE(MONTHS)" numFmtId="0">
      <sharedItems containsSemiMixedTypes="0" containsString="0" containsNumber="1" containsInteger="1" minValue="0" maxValue="300" count="186">
        <n v="43"/>
        <n v="16"/>
        <n v="81"/>
        <n v="55"/>
        <n v="24"/>
        <n v="60"/>
        <n v="20"/>
        <n v="46"/>
        <n v="52"/>
        <n v="75"/>
        <n v="83"/>
        <n v="29"/>
        <n v="66"/>
        <n v="82"/>
        <n v="34"/>
        <n v="31"/>
        <n v="74"/>
        <n v="84"/>
        <n v="28"/>
        <n v="69"/>
        <n v="12"/>
        <n v="42"/>
        <n v="64"/>
        <n v="47"/>
        <n v="73"/>
        <n v="61"/>
        <n v="19"/>
        <n v="77"/>
        <n v="45"/>
        <n v="50"/>
        <n v="79"/>
        <n v="25"/>
        <n v="59"/>
        <n v="17"/>
        <n v="40"/>
        <n v="36"/>
        <n v="63"/>
        <n v="54"/>
        <n v="38"/>
        <n v="39"/>
        <n v="30"/>
        <n v="27"/>
        <n v="68"/>
        <n v="32"/>
        <n v="114"/>
        <n v="80"/>
        <n v="72"/>
        <n v="26"/>
        <n v="78"/>
        <n v="53"/>
        <n v="23"/>
        <n v="70"/>
        <n v="13"/>
        <n v="44"/>
        <n v="41"/>
        <n v="76"/>
        <n v="15"/>
        <n v="51"/>
        <n v="49"/>
        <n v="35"/>
        <n v="71"/>
        <n v="18"/>
        <n v="57"/>
        <n v="58"/>
        <n v="14"/>
        <n v="103"/>
        <n v="67"/>
        <n v="21"/>
        <n v="48"/>
        <n v="62"/>
        <n v="65"/>
        <n v="111"/>
        <n v="33"/>
        <n v="22"/>
        <n v="37"/>
        <n v="56"/>
        <n v="113"/>
        <n v="10"/>
        <n v="7"/>
        <n v="256"/>
        <n v="164"/>
        <n v="8"/>
        <n v="11"/>
        <n v="274"/>
        <n v="150"/>
        <n v="160"/>
        <n v="279"/>
        <n v="6"/>
        <n v="288"/>
        <n v="219"/>
        <n v="184"/>
        <n v="95"/>
        <n v="213"/>
        <n v="181"/>
        <n v="9"/>
        <n v="99"/>
        <n v="194"/>
        <n v="258"/>
        <n v="170"/>
        <n v="91"/>
        <n v="124"/>
        <n v="218"/>
        <n v="126"/>
        <n v="106"/>
        <n v="86"/>
        <n v="88"/>
        <n v="246"/>
        <n v="261"/>
        <n v="87"/>
        <n v="89"/>
        <n v="259"/>
        <n v="294"/>
        <n v="282"/>
        <n v="237"/>
        <n v="85"/>
        <n v="133"/>
        <n v="290"/>
        <n v="161"/>
        <n v="104"/>
        <n v="240"/>
        <n v="146"/>
        <n v="297"/>
        <n v="163"/>
        <n v="119"/>
        <n v="158"/>
        <n v="200"/>
        <n v="120"/>
        <n v="98"/>
        <n v="115"/>
        <n v="122"/>
        <n v="117"/>
        <n v="252"/>
        <n v="291"/>
        <n v="109"/>
        <n v="286"/>
        <n v="226"/>
        <n v="241"/>
        <n v="295"/>
        <n v="284"/>
        <n v="148"/>
        <n v="298"/>
        <n v="204"/>
        <n v="112"/>
        <n v="293"/>
        <n v="198"/>
        <n v="153"/>
        <n v="139"/>
        <n v="205"/>
        <n v="107"/>
        <n v="231"/>
        <n v="262"/>
        <n v="202"/>
        <n v="203"/>
        <n v="201"/>
        <n v="145"/>
        <n v="266"/>
        <n v="232"/>
        <n v="141"/>
        <n v="229"/>
        <n v="180"/>
        <n v="220"/>
        <n v="110"/>
        <n v="249"/>
        <n v="230"/>
        <n v="300"/>
        <n v="191"/>
        <n v="100"/>
        <n v="96"/>
        <n v="248"/>
        <n v="116"/>
        <n v="165"/>
        <n v="168"/>
        <n v="187"/>
        <n v="93"/>
        <n v="233"/>
        <n v="207"/>
        <n v="178"/>
        <n v="105"/>
        <n v="101"/>
        <n v="157"/>
        <n v="289"/>
        <n v="222"/>
        <n v="210"/>
        <n v="138"/>
        <n v="292"/>
        <n v="247"/>
      </sharedItems>
    </cacheField>
    <cacheField name="OUTSTANDING LOAN" numFmtId="178">
      <sharedItems containsSemiMixedTypes="0" containsString="0" containsNumber="1" containsInteger="1" minValue="0" maxValue="8935748" count="1300">
        <n v="48272"/>
        <n v="114009"/>
        <n v="60705"/>
        <n v="233445"/>
        <n v="420296"/>
        <n v="1268486"/>
        <n v="1142218"/>
        <n v="577581"/>
        <n v="1101509"/>
        <n v="276268"/>
        <n v="418623"/>
        <n v="1243480"/>
        <n v="476229"/>
        <n v="1026174"/>
        <n v="173333"/>
        <n v="1688848"/>
        <n v="508344"/>
        <n v="1074019"/>
        <n v="1765245"/>
        <n v="15168"/>
        <n v="283112"/>
        <n v="2187198"/>
        <n v="1405727"/>
        <n v="751847"/>
        <n v="777897"/>
        <n v="1055660"/>
        <n v="2068572"/>
        <n v="1655570"/>
        <n v="121363"/>
        <n v="255088"/>
        <n v="2299739"/>
        <n v="666613"/>
        <n v="1543147"/>
        <n v="590751"/>
        <n v="609233"/>
        <n v="2006825"/>
        <n v="687350"/>
        <n v="1781128"/>
        <n v="774551"/>
        <n v="23034"/>
        <n v="300130"/>
        <n v="968417"/>
        <n v="198915"/>
        <n v="879233"/>
        <n v="88665"/>
        <n v="472092"/>
        <n v="1501281"/>
        <n v="494280"/>
        <n v="1226107"/>
        <n v="160822"/>
        <n v="581666"/>
        <n v="181253"/>
        <n v="464739"/>
        <n v="707986"/>
        <n v="229081"/>
        <n v="955520"/>
        <n v="222108"/>
        <n v="711731"/>
        <n v="1136233"/>
        <n v="591759"/>
        <n v="42840"/>
        <n v="1157272"/>
        <n v="346731"/>
        <n v="235125"/>
        <n v="211678"/>
        <n v="419163"/>
        <n v="79928"/>
        <n v="2039957"/>
        <n v="1314977"/>
        <n v="1234313"/>
        <n v="369624"/>
        <n v="600725"/>
        <n v="2422715"/>
        <n v="1659737"/>
        <n v="1380536"/>
        <n v="1860689"/>
        <n v="138878"/>
        <n v="396305"/>
        <n v="885617"/>
        <n v="950529"/>
        <n v="448749"/>
        <n v="1552177"/>
        <n v="2349642"/>
        <n v="902336"/>
        <n v="56712"/>
        <n v="1755016"/>
        <n v="479155"/>
        <n v="1762583"/>
        <n v="800113"/>
        <n v="100528"/>
        <n v="307495"/>
        <n v="856794"/>
        <n v="728061"/>
        <n v="1182394"/>
        <n v="640089"/>
        <n v="485166"/>
        <n v="983456"/>
        <n v="25849"/>
        <n v="901492"/>
        <n v="239795"/>
        <n v="73700"/>
        <n v="905505"/>
        <n v="1789646"/>
        <n v="1393115"/>
        <n v="1547171"/>
        <n v="254073"/>
        <n v="457702"/>
        <n v="738892"/>
        <n v="1034317"/>
        <n v="537128"/>
        <n v="31812"/>
        <n v="2221250"/>
        <n v="197676"/>
        <n v="1046401"/>
        <n v="93520"/>
        <n v="1257847"/>
        <n v="1266457"/>
        <n v="178138"/>
        <n v="222264"/>
        <n v="314850"/>
        <n v="472728"/>
        <n v="757072"/>
        <n v="1263710"/>
        <n v="1383272"/>
        <n v="2237870"/>
        <n v="1112849"/>
        <n v="1622355"/>
        <n v="1268199"/>
        <n v="1018553"/>
        <n v="865464"/>
        <n v="1634860"/>
        <n v="238113"/>
        <n v="118236"/>
        <n v="774603"/>
        <n v="603119"/>
        <n v="66353"/>
        <n v="1127930"/>
        <n v="345166"/>
        <n v="821280"/>
        <n v="66847"/>
        <n v="720065"/>
        <n v="1874772"/>
        <n v="145754"/>
        <n v="642642"/>
        <n v="740118"/>
        <n v="467403"/>
        <n v="1535955"/>
        <n v="350904"/>
        <n v="703910"/>
        <n v="514507"/>
        <n v="1308072"/>
        <n v="105244"/>
        <n v="1885967"/>
        <n v="291565"/>
        <n v="779367"/>
        <n v="1617906"/>
        <n v="1266312"/>
        <n v="558704"/>
        <n v="424379"/>
        <n v="213670"/>
        <n v="131348"/>
        <n v="1219367"/>
        <n v="117028"/>
        <n v="1467429"/>
        <n v="1440249"/>
        <n v="537251"/>
        <n v="1019874"/>
        <n v="346598"/>
        <n v="1161546"/>
        <n v="75183"/>
        <n v="1816083"/>
        <n v="2407898"/>
        <n v="1212233"/>
        <n v="963472"/>
        <n v="89463"/>
        <n v="1084598"/>
        <n v="296647"/>
        <n v="554186"/>
        <n v="787115"/>
        <n v="66724"/>
        <n v="25002"/>
        <n v="1112057"/>
        <n v="84958"/>
        <n v="426704"/>
        <n v="859959"/>
        <n v="797621"/>
        <n v="254030"/>
        <n v="352684"/>
        <n v="637223"/>
        <n v="775499"/>
        <n v="799820"/>
        <n v="148683"/>
        <n v="1218542"/>
        <n v="1351277"/>
        <n v="160752"/>
        <n v="1120187"/>
        <n v="371313"/>
        <n v="329326"/>
        <n v="913459"/>
        <n v="1762419"/>
        <n v="216327"/>
        <n v="361558"/>
        <n v="1054066"/>
        <n v="104448"/>
        <n v="365788"/>
        <n v="780921"/>
        <n v="704441"/>
        <n v="1902632"/>
        <n v="254724"/>
        <n v="320532"/>
        <n v="394555"/>
        <n v="139129"/>
        <n v="140150"/>
        <n v="1135433"/>
        <n v="593919"/>
        <n v="317391"/>
        <n v="904525"/>
        <n v="30161"/>
        <n v="1426586"/>
        <n v="41652"/>
        <n v="46411"/>
        <n v="586476"/>
        <n v="2482573"/>
        <n v="186379"/>
        <n v="890533"/>
        <n v="523231"/>
        <n v="1691491"/>
        <n v="1337702"/>
        <n v="807426"/>
        <n v="969839"/>
        <n v="1087813"/>
        <n v="222665"/>
        <n v="54361"/>
        <n v="1073293"/>
        <n v="499455"/>
        <n v="961158"/>
        <n v="894140"/>
        <n v="300798"/>
        <n v="881178"/>
        <n v="231786"/>
        <n v="670838"/>
        <n v="1140662"/>
        <n v="584027"/>
        <n v="586366"/>
        <n v="489787"/>
        <n v="1018455"/>
        <n v="794922"/>
        <n v="346184"/>
        <n v="162308"/>
        <n v="195809"/>
        <n v="1526176"/>
        <n v="572381"/>
        <n v="805367"/>
        <n v="1118350"/>
        <n v="156452"/>
        <n v="1708185"/>
        <n v="430285"/>
        <n v="416294"/>
        <n v="230170"/>
        <n v="383478"/>
        <n v="1142731"/>
        <n v="1022911"/>
        <n v="273374"/>
        <n v="961634"/>
        <n v="131227"/>
        <n v="327280"/>
        <n v="864645"/>
        <n v="79888"/>
        <n v="1360693"/>
        <n v="313699"/>
        <n v="68645"/>
        <n v="1247146"/>
        <n v="2095551"/>
        <n v="490416"/>
        <n v="736909"/>
        <n v="1152246"/>
        <n v="316962"/>
        <n v="1949059"/>
        <n v="122262"/>
        <n v="794461"/>
        <n v="51813"/>
        <n v="879179"/>
        <n v="1313376"/>
        <n v="1545995"/>
        <n v="866073"/>
        <n v="664287"/>
        <n v="543644"/>
        <n v="471634"/>
        <n v="261427"/>
        <n v="1035655"/>
        <n v="408779"/>
        <n v="375231"/>
        <n v="1565477"/>
        <n v="538493"/>
        <n v="874035"/>
        <n v="1061448"/>
        <n v="242788"/>
        <n v="1880543"/>
        <n v="458474"/>
        <n v="1654818"/>
        <n v="1451567"/>
        <n v="279439"/>
        <n v="1999044"/>
        <n v="1246076"/>
        <n v="1882759"/>
        <n v="150480"/>
        <n v="240342"/>
        <n v="417108"/>
        <n v="543782"/>
        <n v="1091215"/>
        <n v="1682265"/>
        <n v="1755739"/>
        <n v="610098"/>
        <n v="1804034"/>
        <n v="182013"/>
        <n v="792442"/>
        <n v="93297"/>
        <n v="927216"/>
        <n v="1918953"/>
        <n v="673874"/>
        <n v="1867178"/>
        <n v="51485"/>
        <n v="884923"/>
        <n v="876083"/>
        <n v="618585"/>
        <n v="527659"/>
        <n v="58789"/>
        <n v="64529"/>
        <n v="97909"/>
        <n v="255900"/>
        <n v="291831"/>
        <n v="1808147"/>
        <n v="256813"/>
        <n v="258992"/>
        <n v="2086346"/>
        <n v="1879714"/>
        <n v="777537"/>
        <n v="243505"/>
        <n v="1082260"/>
        <n v="314512"/>
        <n v="630608"/>
        <n v="1149726"/>
        <n v="315458"/>
        <n v="745220"/>
        <n v="410955"/>
        <n v="527364"/>
        <n v="749180"/>
        <n v="358467"/>
        <n v="891320"/>
        <n v="1056220"/>
        <n v="539941"/>
        <n v="865780"/>
        <n v="891921"/>
        <n v="1045926"/>
        <n v="526525"/>
        <n v="89716"/>
        <n v="695152"/>
        <n v="849281"/>
        <n v="1573024"/>
        <n v="783013"/>
        <n v="300321"/>
        <n v="1111429"/>
        <n v="609571"/>
        <n v="241311"/>
        <n v="1230833"/>
        <n v="291721"/>
        <n v="498742"/>
        <n v="728391"/>
        <n v="178652"/>
        <n v="153904"/>
        <n v="1119021"/>
        <n v="1486791"/>
        <n v="158483"/>
        <n v="1111554"/>
        <n v="242483"/>
        <n v="84994"/>
        <n v="1155513"/>
        <n v="325909"/>
        <n v="1001070"/>
        <n v="1798027"/>
        <n v="1480257"/>
        <n v="446445"/>
        <n v="695921"/>
        <n v="1570503"/>
        <n v="698217"/>
        <n v="756441"/>
        <n v="119388"/>
        <n v="852846"/>
        <n v="980754"/>
        <n v="42735"/>
        <n v="1365234"/>
        <n v="1293491"/>
        <n v="72661"/>
        <n v="1958006"/>
        <n v="518726"/>
        <n v="404420"/>
        <n v="527377"/>
        <n v="697849"/>
        <n v="244411"/>
        <n v="446794"/>
        <n v="653796"/>
        <n v="277794"/>
        <n v="979876"/>
        <n v="453639"/>
        <n v="1008948"/>
        <n v="329457"/>
        <n v="1749086"/>
        <n v="312611"/>
        <n v="1171955"/>
        <n v="434253"/>
        <n v="496406"/>
        <n v="534411"/>
        <n v="1430241"/>
        <n v="182410"/>
        <n v="1104136"/>
        <n v="461038"/>
        <n v="650412"/>
        <n v="1987462"/>
        <n v="894044"/>
        <n v="1063848"/>
        <n v="413538"/>
        <n v="208505"/>
        <n v="1417872"/>
        <n v="1026791"/>
        <n v="839000"/>
        <n v="263338"/>
        <n v="412043"/>
        <n v="3912704"/>
        <n v="1746200"/>
        <n v="1461475"/>
        <n v="793355"/>
        <n v="602026"/>
        <n v="316688"/>
        <n v="812210"/>
        <n v="59822"/>
        <n v="1465568"/>
        <n v="536852"/>
        <n v="200552"/>
        <n v="2486783"/>
        <n v="138197"/>
        <n v="549360"/>
        <n v="650468"/>
        <n v="979532"/>
        <n v="873703"/>
        <n v="1360284"/>
        <n v="832987"/>
        <n v="146438"/>
        <n v="995485"/>
        <n v="249561"/>
        <n v="725020"/>
        <n v="1529710"/>
        <n v="266207"/>
        <n v="147921"/>
        <n v="257036"/>
        <n v="464610"/>
        <n v="1580247"/>
        <n v="439366"/>
        <n v="179677"/>
        <n v="305170"/>
        <n v="1289961"/>
        <n v="1451209"/>
        <n v="54004"/>
        <n v="1414044"/>
        <n v="136697"/>
        <n v="283769"/>
        <n v="799855"/>
        <n v="681929"/>
        <n v="903114"/>
        <n v="187505"/>
        <n v="695094"/>
        <n v="1174446"/>
        <n v="214751"/>
        <n v="788467"/>
        <n v="325890"/>
        <n v="537182"/>
        <n v="645314"/>
        <n v="1599786"/>
        <n v="1637149"/>
        <n v="377873"/>
        <n v="621353"/>
        <n v="809748"/>
        <n v="1191259"/>
        <n v="440789"/>
        <n v="795652"/>
        <n v="899044"/>
        <n v="55503"/>
        <n v="1324418"/>
        <n v="1494462"/>
        <n v="676973"/>
        <n v="1697437"/>
        <n v="2117590"/>
        <n v="129636"/>
        <n v="336626"/>
        <n v="1888005"/>
        <n v="136048"/>
        <n v="607076"/>
        <n v="1713756"/>
        <n v="1219884"/>
        <n v="951374"/>
        <n v="58016"/>
        <n v="108181"/>
        <n v="580422"/>
        <n v="6979216"/>
        <n v="268287"/>
        <n v="1671684"/>
        <n v="27993"/>
        <n v="452351"/>
        <n v="3292219"/>
        <n v="175867"/>
        <n v="1881218"/>
        <n v="9266"/>
        <n v="642656"/>
        <n v="295249"/>
        <n v="1507149"/>
        <n v="3826230"/>
        <n v="4357425"/>
        <n v="2538219"/>
        <n v="588909"/>
        <n v="14550"/>
        <n v="1833461"/>
        <n v="614847"/>
        <n v="264070"/>
        <n v="146153"/>
        <n v="600613"/>
        <n v="488393"/>
        <n v="988299"/>
        <n v="636006"/>
        <n v="451997"/>
        <n v="5068162"/>
        <n v="268910"/>
        <n v="239385"/>
        <n v="482550"/>
        <n v="2234944"/>
        <n v="1575782"/>
        <n v="4720"/>
        <n v="1153884"/>
        <n v="2474599"/>
        <n v="240547"/>
        <n v="947550"/>
        <n v="530860"/>
        <n v="420561"/>
        <n v="890174"/>
        <n v="371611"/>
        <n v="1167453"/>
        <n v="2035366"/>
        <n v="108995"/>
        <n v="244285"/>
        <n v="1564475"/>
        <n v="1657220"/>
        <n v="92792"/>
        <n v="1317924"/>
        <n v="1284097"/>
        <n v="244858"/>
        <n v="762832"/>
        <n v="548690"/>
        <n v="306211"/>
        <n v="821241"/>
        <n v="2190691"/>
        <n v="454430"/>
        <n v="396859"/>
        <n v="3928876"/>
        <n v="1804750"/>
        <n v="821774"/>
        <n v="55252"/>
        <n v="4736769"/>
        <n v="8935748"/>
        <n v="1026369"/>
        <n v="658507"/>
        <n v="386943"/>
        <n v="4868976"/>
        <n v="1525076"/>
        <n v="33609"/>
        <n v="964522"/>
        <n v="262133"/>
        <n v="2939699"/>
        <n v="155487"/>
        <n v="542652"/>
        <n v="7300"/>
        <n v="872854"/>
        <n v="619313"/>
        <n v="770268"/>
        <n v="1474375"/>
        <n v="3600068"/>
        <n v="696182"/>
        <n v="491759"/>
        <n v="2274372"/>
        <n v="474221"/>
        <n v="855828"/>
        <n v="367377"/>
        <n v="1957966"/>
        <n v="726440"/>
        <n v="77807"/>
        <n v="3742094"/>
        <n v="483564"/>
        <n v="1952786"/>
        <n v="1163740"/>
        <n v="961097"/>
        <n v="301622"/>
        <n v="330170"/>
        <n v="182300"/>
        <n v="294882"/>
        <n v="420055"/>
        <n v="265908"/>
        <n v="157249"/>
        <n v="1180653"/>
        <n v="716472"/>
        <n v="3045307"/>
        <n v="105227"/>
        <n v="5192967"/>
        <n v="252057"/>
        <n v="723045"/>
        <n v="1105458"/>
        <n v="110362"/>
        <n v="3528378"/>
        <n v="134750"/>
        <n v="65666"/>
        <n v="1041695"/>
        <n v="272563"/>
        <n v="913890"/>
        <n v="624090"/>
        <n v="1164893"/>
        <n v="9705"/>
        <n v="646163"/>
        <n v="4212012"/>
        <n v="12022"/>
        <n v="2940385"/>
        <n v="178368"/>
        <n v="95105"/>
        <n v="1151233"/>
        <n v="670331"/>
        <n v="605596"/>
        <n v="277240"/>
        <n v="3402289"/>
        <n v="4526632"/>
        <n v="1533290"/>
        <n v="603231"/>
        <n v="641313"/>
        <n v="14669"/>
        <n v="260411"/>
        <n v="1229610"/>
        <n v="623535"/>
        <n v="206815"/>
        <n v="146203"/>
        <n v="933133"/>
        <n v="850581"/>
        <n v="1779088"/>
        <n v="711948"/>
        <n v="4622169"/>
        <n v="1230051"/>
        <n v="4521993"/>
        <n v="294281"/>
        <n v="406101"/>
        <n v="12192"/>
        <n v="140735"/>
        <n v="32332"/>
        <n v="1309994"/>
        <n v="253595"/>
        <n v="115817"/>
        <n v="3362653"/>
        <n v="1312089"/>
        <n v="441545"/>
        <n v="218217"/>
        <n v="1526117"/>
        <n v="173295"/>
        <n v="996337"/>
        <n v="1697350"/>
        <n v="2485341"/>
        <n v="124150"/>
        <n v="3791075"/>
        <n v="996935"/>
        <n v="2456954"/>
        <n v="271185"/>
        <n v="258482"/>
        <n v="24358"/>
        <n v="1043872"/>
        <n v="751205"/>
        <n v="1998512"/>
        <n v="192130"/>
        <n v="1393322"/>
        <n v="175065"/>
        <n v="864701"/>
        <n v="634639"/>
        <n v="8893986"/>
        <n v="277812"/>
        <n v="1853561"/>
        <n v="26024"/>
        <n v="795634"/>
        <n v="146858"/>
        <n v="132421"/>
        <n v="372336"/>
        <n v="79168"/>
        <n v="821491"/>
        <n v="155572"/>
        <n v="227530"/>
        <n v="89184"/>
        <n v="980934"/>
        <n v="23560"/>
        <n v="865739"/>
        <n v="554050"/>
        <n v="2798977"/>
        <n v="458121"/>
        <n v="50446"/>
        <n v="391629"/>
        <n v="319828"/>
        <n v="9569"/>
        <n v="105805"/>
        <n v="346151"/>
        <n v="758730"/>
        <n v="2427056"/>
        <n v="496487"/>
        <n v="1530562"/>
        <n v="343356"/>
        <n v="761435"/>
        <n v="1881006"/>
        <n v="931098"/>
        <n v="38396"/>
        <n v="3076830"/>
        <n v="1023777"/>
        <n v="3284632"/>
        <n v="150943"/>
        <n v="30602"/>
        <n v="854675"/>
        <n v="2028203"/>
        <n v="1579095"/>
        <n v="5863190"/>
        <n v="380160"/>
        <n v="217311"/>
        <n v="371701"/>
        <n v="153547"/>
        <n v="225676"/>
        <n v="1455178"/>
        <n v="389519"/>
        <n v="1386327"/>
        <n v="2791070"/>
        <n v="911181"/>
        <n v="1733215"/>
        <n v="4502334"/>
        <n v="530771"/>
        <n v="3576564"/>
        <n v="379346"/>
        <n v="735370"/>
        <n v="576395"/>
        <n v="472778"/>
        <n v="886937"/>
        <n v="163012"/>
        <n v="666984"/>
        <n v="43571"/>
        <n v="3987258"/>
        <n v="1732811"/>
        <n v="472702"/>
        <n v="159642"/>
        <n v="145253"/>
        <n v="1126794"/>
        <n v="663039"/>
        <n v="219670"/>
        <n v="795828"/>
        <n v="752503"/>
        <n v="324910"/>
        <n v="591976"/>
        <n v="418487"/>
        <n v="47524"/>
        <n v="2330048"/>
        <n v="169780"/>
        <n v="2588565"/>
        <n v="1046042"/>
        <n v="5137320"/>
        <n v="448779"/>
        <n v="104632"/>
        <n v="472561"/>
        <n v="2437784"/>
        <n v="1334193"/>
        <n v="1188806"/>
        <n v="626280"/>
        <n v="28255"/>
        <n v="620004"/>
        <n v="3190516"/>
        <n v="470520"/>
        <n v="136099"/>
        <n v="489541"/>
        <n v="4202869"/>
        <n v="2175337"/>
        <n v="1065211"/>
        <n v="433138"/>
        <n v="608565"/>
        <n v="8426257"/>
        <n v="598102"/>
        <n v="1374523"/>
        <n v="5850776"/>
        <n v="307413"/>
        <n v="378422"/>
        <n v="398133"/>
        <n v="2229894"/>
        <n v="1454341"/>
        <n v="2947652"/>
        <n v="270068"/>
        <n v="454346"/>
        <n v="1819907"/>
        <n v="848786"/>
        <n v="2548907"/>
        <n v="2890641"/>
        <n v="544874"/>
        <n v="1451776"/>
        <n v="45170"/>
        <n v="456219"/>
        <n v="1082473"/>
        <n v="303822"/>
        <n v="190520"/>
        <n v="2808128"/>
        <n v="1555325"/>
        <n v="1518438"/>
        <n v="274410"/>
        <n v="372392"/>
        <n v="744334"/>
        <n v="1111606"/>
        <n v="1402158"/>
        <n v="145717"/>
        <n v="1010107"/>
        <n v="818593"/>
        <n v="463251"/>
        <n v="117195"/>
        <n v="337084"/>
        <n v="162834"/>
        <n v="562081"/>
        <n v="895647"/>
        <n v="585053"/>
        <n v="957174"/>
        <n v="1031762"/>
        <n v="3680973"/>
        <n v="4297558"/>
        <n v="672131"/>
        <n v="1346265"/>
        <n v="118890"/>
        <n v="44866"/>
        <n v="408898"/>
        <n v="4846179"/>
        <n v="242579"/>
        <n v="267018"/>
        <n v="1149861"/>
        <n v="910152"/>
        <n v="92121"/>
        <n v="1756821"/>
        <n v="2112293"/>
        <n v="1692989"/>
        <n v="147646"/>
        <n v="843693"/>
        <n v="2877884"/>
        <n v="2184910"/>
        <n v="1810652"/>
        <n v="2631427"/>
        <n v="313902"/>
        <n v="856472"/>
        <n v="2875339"/>
        <n v="518906"/>
        <n v="6690781"/>
        <n v="682763"/>
        <n v="18647"/>
        <n v="83190"/>
        <n v="110782"/>
        <n v="81263"/>
        <n v="14750"/>
        <n v="793688"/>
        <n v="400098"/>
        <n v="1237347"/>
        <n v="525927"/>
        <n v="1032508"/>
        <n v="502674"/>
        <n v="332113"/>
        <n v="291745"/>
        <n v="188526"/>
        <n v="174182"/>
        <n v="323080"/>
        <n v="131929"/>
        <n v="226622"/>
        <n v="38066"/>
        <n v="2125611"/>
        <n v="1405232"/>
        <n v="311287"/>
        <n v="183868"/>
        <n v="720617"/>
        <n v="553564"/>
        <n v="1569740"/>
        <n v="93372"/>
        <n v="1404758"/>
        <n v="670207"/>
        <n v="235491"/>
        <n v="68011"/>
        <n v="2342660"/>
        <n v="139951"/>
        <n v="242029"/>
        <n v="397988"/>
        <n v="1186385"/>
        <n v="2562950"/>
        <n v="179985"/>
        <n v="75819"/>
        <n v="2476471"/>
        <n v="343690"/>
        <n v="47141"/>
        <n v="245182"/>
        <n v="1293485"/>
        <n v="7831312"/>
        <n v="1689653"/>
        <n v="132783"/>
        <n v="429066"/>
        <n v="263824"/>
        <n v="710102"/>
        <n v="19484"/>
        <n v="6640128"/>
        <n v="503347"/>
        <n v="1491428"/>
        <n v="543053"/>
        <n v="208280"/>
        <n v="716000"/>
        <n v="1200139"/>
        <n v="1067303"/>
        <n v="5485874"/>
        <n v="943248"/>
        <n v="21243"/>
        <n v="3243166"/>
        <n v="284225"/>
        <n v="272529"/>
        <n v="223369"/>
        <n v="83165"/>
        <n v="126316"/>
        <n v="75499"/>
        <n v="736995"/>
        <n v="1254190"/>
        <n v="317695"/>
        <n v="401849"/>
        <n v="2335944"/>
        <n v="183394"/>
        <n v="127856"/>
        <n v="80980"/>
        <n v="373009"/>
        <n v="5152841"/>
        <n v="491872"/>
        <n v="22677"/>
        <n v="658045"/>
        <n v="483654"/>
        <n v="676191"/>
        <n v="2597229"/>
        <n v="1454941"/>
        <n v="271883"/>
        <n v="1166410"/>
        <n v="5311717"/>
        <n v="73455"/>
        <n v="150726"/>
        <n v="117904"/>
        <n v="813975"/>
        <n v="213953"/>
        <n v="81928"/>
        <n v="150759"/>
        <n v="1236851"/>
        <n v="1504664"/>
        <n v="6042071"/>
        <n v="577685"/>
        <n v="1300081"/>
        <n v="34028"/>
        <n v="4434714"/>
        <n v="2368895"/>
        <n v="304612"/>
        <n v="450824"/>
        <n v="708258"/>
        <n v="182788"/>
        <n v="1010061"/>
        <n v="280951"/>
        <n v="697947"/>
        <n v="359120"/>
        <n v="2694976"/>
        <n v="2557002"/>
        <n v="719058"/>
        <n v="2476931"/>
        <n v="1058070"/>
        <n v="27423"/>
        <n v="241119"/>
        <n v="868222"/>
        <n v="6164684"/>
        <n v="1436149"/>
        <n v="2461743"/>
        <n v="20654"/>
        <n v="291388"/>
        <n v="273830"/>
        <n v="224526"/>
        <n v="312560"/>
        <n v="284575"/>
        <n v="839446"/>
        <n v="1267242"/>
        <n v="411197"/>
        <n v="1263870"/>
        <n v="1434076"/>
        <n v="137108"/>
        <n v="751008"/>
        <n v="91902"/>
        <n v="279110"/>
        <n v="343365"/>
        <n v="51622"/>
        <n v="700244"/>
        <n v="675630"/>
        <n v="27739"/>
        <n v="492999"/>
        <n v="674410"/>
        <n v="259858"/>
        <n v="509280"/>
        <n v="2424399"/>
        <n v="619074"/>
        <n v="310855"/>
        <n v="1957920"/>
        <n v="343170"/>
        <n v="595321"/>
        <n v="114303"/>
        <n v="2934543"/>
        <n v="544596"/>
        <n v="213546"/>
        <n v="178360"/>
        <n v="135492"/>
        <n v="296332"/>
        <n v="1085110"/>
        <n v="1433872"/>
        <n v="72058"/>
        <n v="149623"/>
        <n v="26832"/>
        <n v="2390189"/>
        <n v="3618856"/>
        <n v="13765"/>
        <n v="136966"/>
        <n v="52583"/>
        <n v="321920"/>
        <n v="1267942"/>
        <n v="67276"/>
        <n v="125004"/>
        <n v="385810"/>
        <n v="459306"/>
        <n v="4470192"/>
        <n v="48215"/>
        <n v="70577"/>
        <n v="1144501"/>
        <n v="1532378"/>
        <n v="1342519"/>
        <n v="945955"/>
        <n v="99431"/>
        <n v="371553"/>
        <n v="957535"/>
        <n v="335236"/>
        <n v="74838"/>
        <n v="855168"/>
        <n v="1901113"/>
        <n v="872768"/>
        <n v="413853"/>
        <n v="1348482"/>
        <n v="428330"/>
        <n v="692026"/>
        <n v="28996"/>
        <n v="666495"/>
        <n v="390734"/>
        <n v="340111"/>
        <n v="226094"/>
        <n v="261206"/>
        <n v="408309"/>
        <n v="75082"/>
        <n v="215364"/>
        <n v="1671458"/>
        <n v="114704"/>
        <n v="234984"/>
        <n v="139754"/>
        <n v="124646"/>
        <n v="73552"/>
        <n v="189125"/>
        <n v="293924"/>
        <n v="4661679"/>
        <n v="14625"/>
        <n v="652296"/>
        <n v="1602379"/>
        <n v="1276975"/>
        <n v="76685"/>
        <n v="1735141"/>
        <n v="116728"/>
        <n v="3209611"/>
        <n v="169383"/>
        <n v="84135"/>
        <n v="4243004"/>
        <n v="410812"/>
        <n v="120167"/>
        <n v="346108"/>
        <n v="712598"/>
        <n v="2954241"/>
        <n v="483290"/>
        <n v="2476447"/>
        <n v="14738"/>
        <n v="2719264"/>
        <n v="195963"/>
        <n v="477878"/>
        <n v="895438"/>
        <n v="275774"/>
        <n v="801001"/>
        <n v="2140799"/>
        <n v="2827899"/>
        <n v="913905"/>
        <n v="79230"/>
        <n v="398951"/>
        <n v="1379129"/>
        <n v="75755"/>
        <n v="502526"/>
        <n v="416221"/>
        <n v="1243742"/>
        <n v="616025"/>
        <n v="41337"/>
        <n v="903622"/>
        <n v="240513"/>
        <n v="806284"/>
        <n v="297144"/>
        <n v="516225"/>
        <n v="343157"/>
        <n v="5074125"/>
        <n v="731674"/>
        <n v="398667"/>
        <n v="1815939"/>
        <n v="1168144"/>
        <n v="796385"/>
        <n v="1687881"/>
        <n v="2264906"/>
        <n v="678513"/>
        <n v="1311515"/>
        <n v="2124557"/>
        <n v="159141"/>
        <n v="2390533"/>
        <n v="2678465"/>
        <n v="377299"/>
        <n v="981248"/>
        <n v="1264143"/>
        <n v="1383614"/>
        <n v="930077"/>
        <n v="90259"/>
        <n v="4696228"/>
        <n v="2058092"/>
        <n v="82700"/>
        <n v="872024"/>
        <n v="91602"/>
        <n v="819306"/>
        <n v="1236608"/>
        <n v="485788"/>
        <n v="534826"/>
        <n v="305666"/>
        <n v="676373"/>
        <n v="63552"/>
        <n v="289800"/>
        <n v="1269048"/>
        <n v="49408"/>
        <n v="597904"/>
        <n v="146318"/>
        <n v="602666"/>
        <n v="955895"/>
        <n v="187426"/>
        <n v="108523"/>
        <n v="720712"/>
        <n v="320519"/>
        <n v="3066627"/>
        <n v="1907959"/>
        <n v="882262"/>
        <n v="1416949"/>
        <n v="640363"/>
        <n v="2860323"/>
        <n v="393301"/>
        <n v="120224"/>
        <n v="357899"/>
        <n v="1117624"/>
        <n v="2582021"/>
        <n v="222710"/>
        <n v="495823"/>
        <n v="670692"/>
        <n v="1648030"/>
        <n v="2067001"/>
        <n v="502691"/>
        <n v="674392"/>
        <n v="676378"/>
        <n v="851322"/>
        <n v="4041202"/>
        <n v="387086"/>
        <n v="1073135"/>
        <n v="373447"/>
        <n v="65563"/>
        <n v="1162276"/>
        <n v="1582990"/>
        <n v="1049751"/>
        <n v="2542211"/>
        <n v="491299"/>
        <n v="1029596"/>
        <n v="560742"/>
        <n v="1088661"/>
        <n v="3579640"/>
        <n v="2406299"/>
        <n v="1420603"/>
        <n v="912730"/>
        <n v="23721"/>
        <n v="444735"/>
        <n v="4417057"/>
        <n v="656953"/>
        <n v="310813"/>
        <n v="8823449"/>
        <n v="225414"/>
        <n v="283015"/>
        <n v="1641189"/>
        <n v="138034"/>
        <n v="383710"/>
        <n v="1183586"/>
        <n v="159917"/>
        <n v="148327"/>
        <n v="267062"/>
        <n v="2055973"/>
        <n v="406377"/>
        <n v="446889"/>
        <n v="255646"/>
        <n v="75000"/>
        <n v="1118671"/>
        <n v="577242"/>
        <n v="6130966"/>
        <n v="4054074"/>
        <n v="174154"/>
        <n v="15201"/>
        <n v="141503"/>
        <n v="693364"/>
        <n v="4535449"/>
        <n v="470593"/>
        <n v="5076475"/>
        <n v="910010"/>
        <n v="685926"/>
        <n v="1503328"/>
        <n v="887083"/>
        <n v="53948"/>
        <n v="321443"/>
        <n v="481034"/>
        <n v="5621486"/>
        <n v="109868"/>
        <n v="479099"/>
        <n v="299005"/>
        <n v="55514"/>
        <n v="239082"/>
        <n v="1624097"/>
        <n v="147638"/>
        <n v="38437"/>
        <n v="138036"/>
        <n v="1460978"/>
        <n v="778709"/>
        <n v="628724"/>
        <n v="2843500"/>
        <n v="701116"/>
        <n v="54175"/>
        <n v="33385"/>
        <n v="1791798"/>
        <n v="488820"/>
        <n v="477792"/>
        <n v="3542620"/>
        <n v="54881"/>
        <n v="2502727"/>
        <n v="639755"/>
        <n v="37318"/>
        <n v="1176139"/>
        <n v="108658"/>
        <n v="142158"/>
        <n v="436245"/>
        <n v="8460"/>
        <n v="6519225"/>
        <n v="142430"/>
        <n v="7002669"/>
        <n v="706459"/>
        <n v="136307"/>
        <n v="1492750"/>
        <n v="233260"/>
        <n v="116294"/>
        <n v="94018"/>
        <n v="1387970"/>
        <n v="108144"/>
        <n v="115112"/>
        <n v="43544"/>
        <n v="1263124"/>
        <n v="257888"/>
        <n v="2332745"/>
        <n v="116155"/>
        <n v="402848"/>
        <n v="601275"/>
        <n v="115168"/>
        <n v="132391"/>
        <n v="219374"/>
        <n v="1799398"/>
        <n v="287744"/>
        <n v="1755613"/>
        <n v="135125"/>
        <n v="583007"/>
        <n v="3748347"/>
        <n v="425838"/>
        <n v="1026162"/>
        <n v="3794981"/>
        <n v="642150"/>
        <n v="2335228"/>
        <n v="324166"/>
        <n v="947646"/>
        <n v="74276"/>
        <n v="1721105"/>
        <n v="333154"/>
        <n v="738833"/>
        <n v="4512700"/>
        <n v="896784"/>
      </sharedItems>
    </cacheField>
    <cacheField name="DEFAULT STATUS" numFmtId="0">
      <sharedItems containsSemiMixedTypes="0" containsString="0" containsNumber="1" containsInteger="1" minValue="0" maxValue="1" count="2">
        <n v="0"/>
        <n v="1"/>
      </sharedItems>
    </cacheField>
    <cacheField name="RECOVERY AMOUNT" numFmtId="0">
      <sharedItems containsSemiMixedTypes="0" containsString="0" containsNumber="1" containsInteger="1" minValue="0" maxValue="3776559" count="260">
        <n v="0"/>
        <n v="156695"/>
        <n v="176551"/>
        <n v="763850"/>
        <n v="160010"/>
        <n v="272878"/>
        <n v="389969"/>
        <n v="760153"/>
        <n v="326378"/>
        <n v="8190"/>
        <n v="95126"/>
        <n v="903940"/>
        <n v="791999"/>
        <n v="223354"/>
        <n v="868395"/>
        <n v="153550"/>
        <n v="129523"/>
        <n v="263068"/>
        <n v="187227"/>
        <n v="178392"/>
        <n v="1684342"/>
        <n v="660425"/>
        <n v="274006"/>
        <n v="388164"/>
        <n v="533023"/>
        <n v="23650"/>
        <n v="51427"/>
        <n v="464673"/>
        <n v="55361"/>
        <n v="282189"/>
        <n v="96281"/>
        <n v="239701"/>
        <n v="195252"/>
        <n v="808119"/>
        <n v="679553"/>
        <n v="424817"/>
        <n v="348172"/>
        <n v="150981"/>
        <n v="387172"/>
        <n v="250000"/>
        <n v="554700"/>
        <n v="1125"/>
        <n v="303606"/>
        <n v="1075087"/>
        <n v="335824"/>
        <n v="7386"/>
        <n v="1264931"/>
        <n v="136385"/>
        <n v="188585"/>
        <n v="37928"/>
        <n v="171212"/>
        <n v="90559"/>
        <n v="279432"/>
        <n v="123681"/>
        <n v="95967"/>
        <n v="86675"/>
        <n v="986655"/>
        <n v="1186590"/>
        <n v="7603"/>
        <n v="266667"/>
        <n v="58666"/>
        <n v="2779313"/>
        <n v="729350"/>
        <n v="14479"/>
        <n v="27926"/>
        <n v="330468"/>
        <n v="219691"/>
        <n v="301117"/>
        <n v="1056644"/>
        <n v="236202"/>
        <n v="851779"/>
        <n v="27927"/>
        <n v="434203"/>
        <n v="95307"/>
        <n v="91190"/>
        <n v="55050"/>
        <n v="1685771"/>
        <n v="12743"/>
        <n v="174563"/>
        <n v="346804"/>
        <n v="45509"/>
        <n v="250480"/>
        <n v="8481"/>
        <n v="87849"/>
        <n v="813173"/>
        <n v="146500"/>
        <n v="794552"/>
        <n v="258059"/>
        <n v="261192"/>
        <n v="5843"/>
        <n v="41849"/>
        <n v="305935"/>
        <n v="502078"/>
        <n v="866456"/>
        <n v="121099"/>
        <n v="346890"/>
        <n v="14475"/>
        <n v="547890"/>
        <n v="238710"/>
        <n v="308257"/>
        <n v="224720"/>
        <n v="2760"/>
        <n v="194561"/>
        <n v="62857"/>
        <n v="13417"/>
        <n v="131514"/>
        <n v="40186"/>
        <n v="303403"/>
        <n v="185431"/>
        <n v="594451"/>
        <n v="1889961"/>
        <n v="262870"/>
        <n v="82093"/>
        <n v="504530"/>
        <n v="104384"/>
        <n v="42223"/>
        <n v="195782"/>
        <n v="172103"/>
        <n v="1807137"/>
        <n v="68339"/>
        <n v="891034"/>
        <n v="182393"/>
        <n v="27256"/>
        <n v="195137"/>
        <n v="115951"/>
        <n v="645350"/>
        <n v="439534"/>
        <n v="443215"/>
        <n v="524443"/>
        <n v="767683"/>
        <n v="26239"/>
        <n v="127077"/>
        <n v="65597"/>
        <n v="2270110"/>
        <n v="851751"/>
        <n v="76070"/>
        <n v="279028"/>
        <n v="380363"/>
        <n v="373668"/>
        <n v="112963"/>
        <n v="1018180"/>
        <n v="52233"/>
        <n v="102918"/>
        <n v="98069"/>
        <n v="1355877"/>
        <n v="147812"/>
        <n v="489645"/>
        <n v="436325"/>
        <n v="990291"/>
        <n v="244154"/>
        <n v="1456118"/>
        <n v="39669"/>
        <n v="1183590"/>
        <n v="218382"/>
        <n v="6404"/>
        <n v="58030"/>
        <n v="117009"/>
        <n v="730093"/>
        <n v="216241"/>
        <n v="222610"/>
        <n v="965396"/>
        <n v="83865"/>
        <n v="18494"/>
        <n v="250698"/>
        <n v="631170"/>
        <n v="84564"/>
        <n v="1675593"/>
        <n v="1865471"/>
        <n v="718152"/>
        <n v="148047"/>
        <n v="1025807"/>
        <n v="2116"/>
        <n v="246185"/>
        <n v="308041"/>
        <n v="268459"/>
        <n v="5018"/>
        <n v="223082"/>
        <n v="348163"/>
        <n v="209942"/>
        <n v="78208"/>
        <n v="236204"/>
        <n v="50309"/>
        <n v="16173"/>
        <n v="19629"/>
        <n v="99916"/>
        <n v="717495"/>
        <n v="667149"/>
        <n v="204678"/>
        <n v="520776"/>
        <n v="695902"/>
        <n v="246404"/>
        <n v="20640"/>
        <n v="85894"/>
        <n v="60437"/>
        <n v="65156"/>
        <n v="442869"/>
        <n v="92541"/>
        <n v="28544"/>
        <n v="3017937"/>
        <n v="478229"/>
        <n v="990009"/>
        <n v="311370"/>
        <n v="45234"/>
        <n v="85364"/>
        <n v="11552"/>
        <n v="207138"/>
        <n v="452476"/>
        <n v="16351"/>
        <n v="104281"/>
        <n v="390618"/>
        <n v="213893"/>
        <n v="347609"/>
        <n v="700332"/>
        <n v="35740"/>
        <n v="268412"/>
        <n v="229803"/>
        <n v="569736"/>
        <n v="466767"/>
        <n v="91995"/>
        <n v="79081"/>
        <n v="94670"/>
        <n v="167316"/>
        <n v="137060"/>
        <n v="9835"/>
        <n v="1872119"/>
        <n v="152065"/>
        <n v="808390"/>
        <n v="384431"/>
        <n v="1204682"/>
        <n v="121667"/>
        <n v="89205"/>
        <n v="146743"/>
        <n v="134007"/>
        <n v="6351"/>
        <n v="89175"/>
        <n v="190813"/>
        <n v="290145"/>
        <n v="3776559"/>
        <n v="1009000"/>
        <n v="467879"/>
        <n v="541889"/>
        <n v="75605"/>
        <n v="13954"/>
        <n v="437614"/>
        <n v="326130"/>
        <n v="34876"/>
        <n v="407291"/>
        <n v="13717"/>
        <n v="165230"/>
        <n v="3619982"/>
        <n v="62814"/>
        <n v="57353"/>
        <n v="81972"/>
        <n v="22965"/>
        <n v="1075413"/>
        <n v="133624"/>
        <n v="44295"/>
        <n v="162662"/>
        <n v="44948"/>
        <n v="325954"/>
      </sharedItems>
    </cacheField>
    <cacheField name="PROVISION RATE(%)" numFmtId="0">
      <sharedItems containsSemiMixedTypes="0" containsString="0" containsNumber="1" minValue="0" maxValue="0.76" count="10">
        <n v="0.744"/>
        <n v="0.71"/>
        <n v="0.73"/>
        <n v="0.72"/>
        <n v="0.7"/>
        <n v="0.76"/>
        <n v="0.727"/>
        <n v="0.75"/>
        <n v="0.68"/>
        <n v="0.7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0"/>
    <x v="1"/>
    <x v="1"/>
    <x v="1"/>
    <x v="1"/>
    <x v="1"/>
    <x v="1"/>
    <x v="1"/>
    <x v="0"/>
  </r>
  <r>
    <x v="0"/>
    <x v="2"/>
    <x v="2"/>
    <x v="2"/>
    <x v="2"/>
    <x v="2"/>
    <x v="1"/>
    <x v="2"/>
    <x v="2"/>
    <x v="2"/>
    <x v="2"/>
    <x v="2"/>
    <x v="2"/>
    <x v="2"/>
    <x v="0"/>
  </r>
  <r>
    <x v="0"/>
    <x v="3"/>
    <x v="3"/>
    <x v="3"/>
    <x v="3"/>
    <x v="3"/>
    <x v="2"/>
    <x v="3"/>
    <x v="3"/>
    <x v="3"/>
    <x v="3"/>
    <x v="0"/>
    <x v="3"/>
    <x v="3"/>
    <x v="0"/>
  </r>
  <r>
    <x v="0"/>
    <x v="4"/>
    <x v="4"/>
    <x v="4"/>
    <x v="4"/>
    <x v="4"/>
    <x v="3"/>
    <x v="4"/>
    <x v="4"/>
    <x v="4"/>
    <x v="4"/>
    <x v="0"/>
    <x v="4"/>
    <x v="4"/>
    <x v="1"/>
  </r>
  <r>
    <x v="0"/>
    <x v="5"/>
    <x v="5"/>
    <x v="5"/>
    <x v="5"/>
    <x v="5"/>
    <x v="2"/>
    <x v="5"/>
    <x v="5"/>
    <x v="5"/>
    <x v="5"/>
    <x v="3"/>
    <x v="5"/>
    <x v="5"/>
    <x v="1"/>
  </r>
  <r>
    <x v="0"/>
    <x v="6"/>
    <x v="6"/>
    <x v="6"/>
    <x v="6"/>
    <x v="6"/>
    <x v="2"/>
    <x v="6"/>
    <x v="6"/>
    <x v="6"/>
    <x v="6"/>
    <x v="4"/>
    <x v="5"/>
    <x v="6"/>
    <x v="1"/>
  </r>
  <r>
    <x v="0"/>
    <x v="7"/>
    <x v="7"/>
    <x v="7"/>
    <x v="7"/>
    <x v="7"/>
    <x v="4"/>
    <x v="7"/>
    <x v="7"/>
    <x v="7"/>
    <x v="7"/>
    <x v="5"/>
    <x v="5"/>
    <x v="7"/>
    <x v="1"/>
  </r>
  <r>
    <x v="0"/>
    <x v="8"/>
    <x v="8"/>
    <x v="8"/>
    <x v="8"/>
    <x v="8"/>
    <x v="3"/>
    <x v="8"/>
    <x v="8"/>
    <x v="8"/>
    <x v="8"/>
    <x v="1"/>
    <x v="5"/>
    <x v="8"/>
    <x v="2"/>
  </r>
  <r>
    <x v="0"/>
    <x v="9"/>
    <x v="9"/>
    <x v="9"/>
    <x v="9"/>
    <x v="9"/>
    <x v="2"/>
    <x v="9"/>
    <x v="9"/>
    <x v="9"/>
    <x v="9"/>
    <x v="6"/>
    <x v="5"/>
    <x v="9"/>
    <x v="2"/>
  </r>
  <r>
    <x v="0"/>
    <x v="10"/>
    <x v="10"/>
    <x v="10"/>
    <x v="10"/>
    <x v="10"/>
    <x v="0"/>
    <x v="10"/>
    <x v="10"/>
    <x v="10"/>
    <x v="10"/>
    <x v="5"/>
    <x v="5"/>
    <x v="10"/>
    <x v="2"/>
  </r>
  <r>
    <x v="0"/>
    <x v="11"/>
    <x v="11"/>
    <x v="11"/>
    <x v="11"/>
    <x v="11"/>
    <x v="0"/>
    <x v="11"/>
    <x v="11"/>
    <x v="11"/>
    <x v="11"/>
    <x v="0"/>
    <x v="5"/>
    <x v="11"/>
    <x v="2"/>
  </r>
  <r>
    <x v="0"/>
    <x v="12"/>
    <x v="12"/>
    <x v="12"/>
    <x v="12"/>
    <x v="12"/>
    <x v="5"/>
    <x v="12"/>
    <x v="12"/>
    <x v="12"/>
    <x v="12"/>
    <x v="1"/>
    <x v="5"/>
    <x v="12"/>
    <x v="3"/>
  </r>
  <r>
    <x v="0"/>
    <x v="13"/>
    <x v="13"/>
    <x v="13"/>
    <x v="13"/>
    <x v="13"/>
    <x v="6"/>
    <x v="13"/>
    <x v="13"/>
    <x v="13"/>
    <x v="13"/>
    <x v="6"/>
    <x v="6"/>
    <x v="13"/>
    <x v="3"/>
  </r>
  <r>
    <x v="0"/>
    <x v="14"/>
    <x v="14"/>
    <x v="14"/>
    <x v="14"/>
    <x v="14"/>
    <x v="0"/>
    <x v="14"/>
    <x v="14"/>
    <x v="14"/>
    <x v="14"/>
    <x v="5"/>
    <x v="7"/>
    <x v="14"/>
    <x v="3"/>
  </r>
  <r>
    <x v="0"/>
    <x v="15"/>
    <x v="15"/>
    <x v="15"/>
    <x v="15"/>
    <x v="15"/>
    <x v="6"/>
    <x v="15"/>
    <x v="15"/>
    <x v="15"/>
    <x v="15"/>
    <x v="0"/>
    <x v="8"/>
    <x v="15"/>
    <x v="3"/>
  </r>
  <r>
    <x v="0"/>
    <x v="16"/>
    <x v="16"/>
    <x v="16"/>
    <x v="16"/>
    <x v="16"/>
    <x v="6"/>
    <x v="16"/>
    <x v="16"/>
    <x v="16"/>
    <x v="16"/>
    <x v="7"/>
    <x v="9"/>
    <x v="16"/>
    <x v="4"/>
  </r>
  <r>
    <x v="0"/>
    <x v="17"/>
    <x v="17"/>
    <x v="17"/>
    <x v="17"/>
    <x v="17"/>
    <x v="7"/>
    <x v="17"/>
    <x v="17"/>
    <x v="17"/>
    <x v="17"/>
    <x v="6"/>
    <x v="9"/>
    <x v="17"/>
    <x v="4"/>
  </r>
  <r>
    <x v="0"/>
    <x v="18"/>
    <x v="18"/>
    <x v="18"/>
    <x v="18"/>
    <x v="18"/>
    <x v="8"/>
    <x v="18"/>
    <x v="18"/>
    <x v="18"/>
    <x v="18"/>
    <x v="8"/>
    <x v="9"/>
    <x v="18"/>
    <x v="4"/>
  </r>
  <r>
    <x v="0"/>
    <x v="19"/>
    <x v="19"/>
    <x v="19"/>
    <x v="19"/>
    <x v="19"/>
    <x v="9"/>
    <x v="19"/>
    <x v="19"/>
    <x v="19"/>
    <x v="19"/>
    <x v="5"/>
    <x v="9"/>
    <x v="19"/>
    <x v="4"/>
  </r>
  <r>
    <x v="1"/>
    <x v="0"/>
    <x v="0"/>
    <x v="20"/>
    <x v="18"/>
    <x v="18"/>
    <x v="0"/>
    <x v="18"/>
    <x v="18"/>
    <x v="18"/>
    <x v="18"/>
    <x v="8"/>
    <x v="0"/>
    <x v="0"/>
    <x v="0"/>
  </r>
  <r>
    <x v="1"/>
    <x v="4"/>
    <x v="4"/>
    <x v="21"/>
    <x v="20"/>
    <x v="20"/>
    <x v="3"/>
    <x v="20"/>
    <x v="20"/>
    <x v="20"/>
    <x v="20"/>
    <x v="9"/>
    <x v="4"/>
    <x v="4"/>
    <x v="1"/>
  </r>
  <r>
    <x v="1"/>
    <x v="8"/>
    <x v="8"/>
    <x v="22"/>
    <x v="21"/>
    <x v="21"/>
    <x v="3"/>
    <x v="21"/>
    <x v="21"/>
    <x v="21"/>
    <x v="21"/>
    <x v="10"/>
    <x v="5"/>
    <x v="8"/>
    <x v="2"/>
  </r>
  <r>
    <x v="1"/>
    <x v="12"/>
    <x v="12"/>
    <x v="23"/>
    <x v="18"/>
    <x v="18"/>
    <x v="5"/>
    <x v="18"/>
    <x v="18"/>
    <x v="18"/>
    <x v="18"/>
    <x v="10"/>
    <x v="5"/>
    <x v="12"/>
    <x v="3"/>
  </r>
  <r>
    <x v="1"/>
    <x v="16"/>
    <x v="16"/>
    <x v="24"/>
    <x v="22"/>
    <x v="22"/>
    <x v="6"/>
    <x v="22"/>
    <x v="22"/>
    <x v="22"/>
    <x v="22"/>
    <x v="5"/>
    <x v="9"/>
    <x v="16"/>
    <x v="4"/>
  </r>
  <r>
    <x v="1"/>
    <x v="1"/>
    <x v="1"/>
    <x v="25"/>
    <x v="23"/>
    <x v="23"/>
    <x v="0"/>
    <x v="23"/>
    <x v="23"/>
    <x v="23"/>
    <x v="23"/>
    <x v="11"/>
    <x v="1"/>
    <x v="1"/>
    <x v="0"/>
  </r>
  <r>
    <x v="1"/>
    <x v="5"/>
    <x v="5"/>
    <x v="26"/>
    <x v="24"/>
    <x v="24"/>
    <x v="2"/>
    <x v="24"/>
    <x v="24"/>
    <x v="24"/>
    <x v="24"/>
    <x v="2"/>
    <x v="5"/>
    <x v="5"/>
    <x v="1"/>
  </r>
  <r>
    <x v="1"/>
    <x v="9"/>
    <x v="9"/>
    <x v="27"/>
    <x v="25"/>
    <x v="25"/>
    <x v="2"/>
    <x v="25"/>
    <x v="25"/>
    <x v="25"/>
    <x v="25"/>
    <x v="9"/>
    <x v="5"/>
    <x v="9"/>
    <x v="2"/>
  </r>
  <r>
    <x v="1"/>
    <x v="13"/>
    <x v="13"/>
    <x v="28"/>
    <x v="18"/>
    <x v="18"/>
    <x v="6"/>
    <x v="18"/>
    <x v="18"/>
    <x v="18"/>
    <x v="18"/>
    <x v="9"/>
    <x v="6"/>
    <x v="13"/>
    <x v="3"/>
  </r>
  <r>
    <x v="1"/>
    <x v="17"/>
    <x v="17"/>
    <x v="29"/>
    <x v="18"/>
    <x v="18"/>
    <x v="7"/>
    <x v="18"/>
    <x v="18"/>
    <x v="18"/>
    <x v="18"/>
    <x v="10"/>
    <x v="9"/>
    <x v="17"/>
    <x v="4"/>
  </r>
  <r>
    <x v="1"/>
    <x v="2"/>
    <x v="2"/>
    <x v="30"/>
    <x v="26"/>
    <x v="26"/>
    <x v="1"/>
    <x v="26"/>
    <x v="26"/>
    <x v="26"/>
    <x v="26"/>
    <x v="8"/>
    <x v="2"/>
    <x v="2"/>
    <x v="0"/>
  </r>
  <r>
    <x v="1"/>
    <x v="6"/>
    <x v="6"/>
    <x v="31"/>
    <x v="27"/>
    <x v="27"/>
    <x v="2"/>
    <x v="27"/>
    <x v="27"/>
    <x v="27"/>
    <x v="27"/>
    <x v="8"/>
    <x v="5"/>
    <x v="6"/>
    <x v="1"/>
  </r>
  <r>
    <x v="1"/>
    <x v="10"/>
    <x v="10"/>
    <x v="32"/>
    <x v="18"/>
    <x v="18"/>
    <x v="0"/>
    <x v="18"/>
    <x v="18"/>
    <x v="18"/>
    <x v="18"/>
    <x v="12"/>
    <x v="5"/>
    <x v="10"/>
    <x v="2"/>
  </r>
  <r>
    <x v="1"/>
    <x v="14"/>
    <x v="14"/>
    <x v="33"/>
    <x v="18"/>
    <x v="18"/>
    <x v="0"/>
    <x v="18"/>
    <x v="18"/>
    <x v="18"/>
    <x v="18"/>
    <x v="12"/>
    <x v="7"/>
    <x v="14"/>
    <x v="3"/>
  </r>
  <r>
    <x v="1"/>
    <x v="18"/>
    <x v="18"/>
    <x v="34"/>
    <x v="18"/>
    <x v="18"/>
    <x v="8"/>
    <x v="18"/>
    <x v="18"/>
    <x v="18"/>
    <x v="18"/>
    <x v="8"/>
    <x v="9"/>
    <x v="18"/>
    <x v="4"/>
  </r>
  <r>
    <x v="1"/>
    <x v="3"/>
    <x v="3"/>
    <x v="35"/>
    <x v="28"/>
    <x v="28"/>
    <x v="2"/>
    <x v="28"/>
    <x v="28"/>
    <x v="28"/>
    <x v="28"/>
    <x v="13"/>
    <x v="3"/>
    <x v="3"/>
    <x v="0"/>
  </r>
  <r>
    <x v="1"/>
    <x v="7"/>
    <x v="7"/>
    <x v="36"/>
    <x v="29"/>
    <x v="29"/>
    <x v="4"/>
    <x v="29"/>
    <x v="29"/>
    <x v="29"/>
    <x v="29"/>
    <x v="8"/>
    <x v="5"/>
    <x v="7"/>
    <x v="1"/>
  </r>
  <r>
    <x v="1"/>
    <x v="11"/>
    <x v="11"/>
    <x v="37"/>
    <x v="18"/>
    <x v="18"/>
    <x v="0"/>
    <x v="18"/>
    <x v="18"/>
    <x v="18"/>
    <x v="18"/>
    <x v="13"/>
    <x v="5"/>
    <x v="11"/>
    <x v="2"/>
  </r>
  <r>
    <x v="1"/>
    <x v="15"/>
    <x v="15"/>
    <x v="38"/>
    <x v="30"/>
    <x v="30"/>
    <x v="6"/>
    <x v="30"/>
    <x v="30"/>
    <x v="30"/>
    <x v="30"/>
    <x v="13"/>
    <x v="8"/>
    <x v="15"/>
    <x v="3"/>
  </r>
  <r>
    <x v="1"/>
    <x v="19"/>
    <x v="19"/>
    <x v="39"/>
    <x v="31"/>
    <x v="31"/>
    <x v="9"/>
    <x v="31"/>
    <x v="31"/>
    <x v="31"/>
    <x v="31"/>
    <x v="5"/>
    <x v="9"/>
    <x v="19"/>
    <x v="4"/>
  </r>
  <r>
    <x v="2"/>
    <x v="0"/>
    <x v="0"/>
    <x v="40"/>
    <x v="32"/>
    <x v="32"/>
    <x v="0"/>
    <x v="32"/>
    <x v="32"/>
    <x v="32"/>
    <x v="32"/>
    <x v="9"/>
    <x v="0"/>
    <x v="0"/>
    <x v="0"/>
  </r>
  <r>
    <x v="2"/>
    <x v="1"/>
    <x v="1"/>
    <x v="41"/>
    <x v="18"/>
    <x v="18"/>
    <x v="0"/>
    <x v="18"/>
    <x v="18"/>
    <x v="18"/>
    <x v="18"/>
    <x v="11"/>
    <x v="1"/>
    <x v="1"/>
    <x v="0"/>
  </r>
  <r>
    <x v="2"/>
    <x v="2"/>
    <x v="2"/>
    <x v="42"/>
    <x v="33"/>
    <x v="33"/>
    <x v="1"/>
    <x v="33"/>
    <x v="33"/>
    <x v="33"/>
    <x v="33"/>
    <x v="11"/>
    <x v="2"/>
    <x v="2"/>
    <x v="0"/>
  </r>
  <r>
    <x v="2"/>
    <x v="3"/>
    <x v="3"/>
    <x v="43"/>
    <x v="18"/>
    <x v="18"/>
    <x v="2"/>
    <x v="18"/>
    <x v="18"/>
    <x v="18"/>
    <x v="18"/>
    <x v="11"/>
    <x v="3"/>
    <x v="3"/>
    <x v="0"/>
  </r>
  <r>
    <x v="2"/>
    <x v="4"/>
    <x v="4"/>
    <x v="44"/>
    <x v="34"/>
    <x v="34"/>
    <x v="3"/>
    <x v="34"/>
    <x v="34"/>
    <x v="34"/>
    <x v="34"/>
    <x v="11"/>
    <x v="4"/>
    <x v="4"/>
    <x v="1"/>
  </r>
  <r>
    <x v="2"/>
    <x v="5"/>
    <x v="5"/>
    <x v="45"/>
    <x v="18"/>
    <x v="18"/>
    <x v="2"/>
    <x v="18"/>
    <x v="18"/>
    <x v="18"/>
    <x v="18"/>
    <x v="14"/>
    <x v="5"/>
    <x v="5"/>
    <x v="1"/>
  </r>
  <r>
    <x v="2"/>
    <x v="6"/>
    <x v="6"/>
    <x v="46"/>
    <x v="35"/>
    <x v="35"/>
    <x v="2"/>
    <x v="35"/>
    <x v="35"/>
    <x v="35"/>
    <x v="35"/>
    <x v="11"/>
    <x v="5"/>
    <x v="6"/>
    <x v="1"/>
  </r>
  <r>
    <x v="2"/>
    <x v="7"/>
    <x v="7"/>
    <x v="47"/>
    <x v="18"/>
    <x v="18"/>
    <x v="4"/>
    <x v="18"/>
    <x v="18"/>
    <x v="18"/>
    <x v="18"/>
    <x v="14"/>
    <x v="5"/>
    <x v="7"/>
    <x v="1"/>
  </r>
  <r>
    <x v="2"/>
    <x v="8"/>
    <x v="8"/>
    <x v="48"/>
    <x v="36"/>
    <x v="36"/>
    <x v="3"/>
    <x v="36"/>
    <x v="36"/>
    <x v="36"/>
    <x v="36"/>
    <x v="15"/>
    <x v="5"/>
    <x v="8"/>
    <x v="2"/>
  </r>
  <r>
    <x v="2"/>
    <x v="9"/>
    <x v="9"/>
    <x v="49"/>
    <x v="18"/>
    <x v="18"/>
    <x v="2"/>
    <x v="18"/>
    <x v="18"/>
    <x v="18"/>
    <x v="18"/>
    <x v="11"/>
    <x v="5"/>
    <x v="9"/>
    <x v="2"/>
  </r>
  <r>
    <x v="2"/>
    <x v="10"/>
    <x v="10"/>
    <x v="50"/>
    <x v="37"/>
    <x v="37"/>
    <x v="0"/>
    <x v="37"/>
    <x v="37"/>
    <x v="37"/>
    <x v="37"/>
    <x v="4"/>
    <x v="5"/>
    <x v="10"/>
    <x v="2"/>
  </r>
  <r>
    <x v="2"/>
    <x v="11"/>
    <x v="11"/>
    <x v="51"/>
    <x v="38"/>
    <x v="38"/>
    <x v="0"/>
    <x v="38"/>
    <x v="38"/>
    <x v="38"/>
    <x v="38"/>
    <x v="6"/>
    <x v="5"/>
    <x v="11"/>
    <x v="2"/>
  </r>
  <r>
    <x v="2"/>
    <x v="12"/>
    <x v="12"/>
    <x v="52"/>
    <x v="39"/>
    <x v="39"/>
    <x v="5"/>
    <x v="39"/>
    <x v="39"/>
    <x v="39"/>
    <x v="39"/>
    <x v="15"/>
    <x v="5"/>
    <x v="12"/>
    <x v="3"/>
  </r>
  <r>
    <x v="2"/>
    <x v="13"/>
    <x v="13"/>
    <x v="53"/>
    <x v="40"/>
    <x v="40"/>
    <x v="6"/>
    <x v="40"/>
    <x v="40"/>
    <x v="40"/>
    <x v="40"/>
    <x v="11"/>
    <x v="6"/>
    <x v="13"/>
    <x v="3"/>
  </r>
  <r>
    <x v="2"/>
    <x v="14"/>
    <x v="14"/>
    <x v="54"/>
    <x v="18"/>
    <x v="18"/>
    <x v="0"/>
    <x v="18"/>
    <x v="18"/>
    <x v="18"/>
    <x v="18"/>
    <x v="4"/>
    <x v="7"/>
    <x v="14"/>
    <x v="3"/>
  </r>
  <r>
    <x v="2"/>
    <x v="15"/>
    <x v="15"/>
    <x v="55"/>
    <x v="41"/>
    <x v="41"/>
    <x v="6"/>
    <x v="41"/>
    <x v="41"/>
    <x v="41"/>
    <x v="41"/>
    <x v="6"/>
    <x v="8"/>
    <x v="15"/>
    <x v="3"/>
  </r>
  <r>
    <x v="2"/>
    <x v="16"/>
    <x v="16"/>
    <x v="56"/>
    <x v="18"/>
    <x v="18"/>
    <x v="6"/>
    <x v="18"/>
    <x v="18"/>
    <x v="18"/>
    <x v="18"/>
    <x v="2"/>
    <x v="9"/>
    <x v="16"/>
    <x v="4"/>
  </r>
  <r>
    <x v="2"/>
    <x v="17"/>
    <x v="17"/>
    <x v="57"/>
    <x v="42"/>
    <x v="42"/>
    <x v="7"/>
    <x v="42"/>
    <x v="42"/>
    <x v="42"/>
    <x v="42"/>
    <x v="0"/>
    <x v="9"/>
    <x v="17"/>
    <x v="4"/>
  </r>
  <r>
    <x v="2"/>
    <x v="18"/>
    <x v="18"/>
    <x v="58"/>
    <x v="18"/>
    <x v="18"/>
    <x v="8"/>
    <x v="18"/>
    <x v="18"/>
    <x v="18"/>
    <x v="18"/>
    <x v="16"/>
    <x v="9"/>
    <x v="18"/>
    <x v="4"/>
  </r>
  <r>
    <x v="2"/>
    <x v="19"/>
    <x v="19"/>
    <x v="59"/>
    <x v="43"/>
    <x v="43"/>
    <x v="9"/>
    <x v="43"/>
    <x v="43"/>
    <x v="43"/>
    <x v="43"/>
    <x v="11"/>
    <x v="9"/>
    <x v="19"/>
    <x v="4"/>
  </r>
  <r>
    <x v="3"/>
    <x v="0"/>
    <x v="0"/>
    <x v="60"/>
    <x v="44"/>
    <x v="44"/>
    <x v="0"/>
    <x v="44"/>
    <x v="44"/>
    <x v="44"/>
    <x v="44"/>
    <x v="16"/>
    <x v="0"/>
    <x v="0"/>
    <x v="0"/>
  </r>
  <r>
    <x v="3"/>
    <x v="4"/>
    <x v="4"/>
    <x v="61"/>
    <x v="45"/>
    <x v="45"/>
    <x v="3"/>
    <x v="45"/>
    <x v="45"/>
    <x v="45"/>
    <x v="45"/>
    <x v="0"/>
    <x v="4"/>
    <x v="4"/>
    <x v="1"/>
  </r>
  <r>
    <x v="3"/>
    <x v="8"/>
    <x v="8"/>
    <x v="62"/>
    <x v="46"/>
    <x v="46"/>
    <x v="3"/>
    <x v="46"/>
    <x v="46"/>
    <x v="46"/>
    <x v="46"/>
    <x v="1"/>
    <x v="5"/>
    <x v="8"/>
    <x v="2"/>
  </r>
  <r>
    <x v="3"/>
    <x v="12"/>
    <x v="12"/>
    <x v="63"/>
    <x v="47"/>
    <x v="47"/>
    <x v="5"/>
    <x v="47"/>
    <x v="47"/>
    <x v="47"/>
    <x v="47"/>
    <x v="1"/>
    <x v="5"/>
    <x v="12"/>
    <x v="3"/>
  </r>
  <r>
    <x v="3"/>
    <x v="16"/>
    <x v="16"/>
    <x v="64"/>
    <x v="48"/>
    <x v="48"/>
    <x v="6"/>
    <x v="48"/>
    <x v="48"/>
    <x v="48"/>
    <x v="48"/>
    <x v="4"/>
    <x v="9"/>
    <x v="16"/>
    <x v="4"/>
  </r>
  <r>
    <x v="3"/>
    <x v="1"/>
    <x v="1"/>
    <x v="65"/>
    <x v="49"/>
    <x v="49"/>
    <x v="0"/>
    <x v="49"/>
    <x v="49"/>
    <x v="49"/>
    <x v="49"/>
    <x v="6"/>
    <x v="1"/>
    <x v="1"/>
    <x v="0"/>
  </r>
  <r>
    <x v="3"/>
    <x v="5"/>
    <x v="5"/>
    <x v="66"/>
    <x v="50"/>
    <x v="50"/>
    <x v="2"/>
    <x v="50"/>
    <x v="50"/>
    <x v="50"/>
    <x v="50"/>
    <x v="4"/>
    <x v="5"/>
    <x v="5"/>
    <x v="1"/>
  </r>
  <r>
    <x v="3"/>
    <x v="9"/>
    <x v="9"/>
    <x v="67"/>
    <x v="51"/>
    <x v="51"/>
    <x v="2"/>
    <x v="51"/>
    <x v="51"/>
    <x v="51"/>
    <x v="51"/>
    <x v="16"/>
    <x v="5"/>
    <x v="9"/>
    <x v="2"/>
  </r>
  <r>
    <x v="3"/>
    <x v="13"/>
    <x v="13"/>
    <x v="68"/>
    <x v="52"/>
    <x v="52"/>
    <x v="6"/>
    <x v="52"/>
    <x v="52"/>
    <x v="52"/>
    <x v="52"/>
    <x v="16"/>
    <x v="6"/>
    <x v="13"/>
    <x v="3"/>
  </r>
  <r>
    <x v="3"/>
    <x v="17"/>
    <x v="17"/>
    <x v="69"/>
    <x v="53"/>
    <x v="53"/>
    <x v="7"/>
    <x v="53"/>
    <x v="53"/>
    <x v="53"/>
    <x v="53"/>
    <x v="6"/>
    <x v="9"/>
    <x v="17"/>
    <x v="4"/>
  </r>
  <r>
    <x v="3"/>
    <x v="2"/>
    <x v="2"/>
    <x v="70"/>
    <x v="54"/>
    <x v="54"/>
    <x v="1"/>
    <x v="54"/>
    <x v="54"/>
    <x v="54"/>
    <x v="54"/>
    <x v="0"/>
    <x v="2"/>
    <x v="2"/>
    <x v="0"/>
  </r>
  <r>
    <x v="3"/>
    <x v="6"/>
    <x v="6"/>
    <x v="71"/>
    <x v="55"/>
    <x v="55"/>
    <x v="2"/>
    <x v="55"/>
    <x v="55"/>
    <x v="55"/>
    <x v="55"/>
    <x v="16"/>
    <x v="5"/>
    <x v="6"/>
    <x v="1"/>
  </r>
  <r>
    <x v="3"/>
    <x v="10"/>
    <x v="10"/>
    <x v="72"/>
    <x v="56"/>
    <x v="56"/>
    <x v="0"/>
    <x v="56"/>
    <x v="56"/>
    <x v="56"/>
    <x v="56"/>
    <x v="16"/>
    <x v="5"/>
    <x v="10"/>
    <x v="2"/>
  </r>
  <r>
    <x v="3"/>
    <x v="14"/>
    <x v="14"/>
    <x v="73"/>
    <x v="57"/>
    <x v="57"/>
    <x v="0"/>
    <x v="57"/>
    <x v="57"/>
    <x v="57"/>
    <x v="57"/>
    <x v="16"/>
    <x v="7"/>
    <x v="14"/>
    <x v="3"/>
  </r>
  <r>
    <x v="3"/>
    <x v="18"/>
    <x v="18"/>
    <x v="74"/>
    <x v="58"/>
    <x v="58"/>
    <x v="8"/>
    <x v="58"/>
    <x v="58"/>
    <x v="58"/>
    <x v="58"/>
    <x v="11"/>
    <x v="9"/>
    <x v="18"/>
    <x v="4"/>
  </r>
  <r>
    <x v="3"/>
    <x v="3"/>
    <x v="3"/>
    <x v="75"/>
    <x v="59"/>
    <x v="59"/>
    <x v="2"/>
    <x v="59"/>
    <x v="59"/>
    <x v="59"/>
    <x v="59"/>
    <x v="4"/>
    <x v="3"/>
    <x v="3"/>
    <x v="0"/>
  </r>
  <r>
    <x v="3"/>
    <x v="7"/>
    <x v="7"/>
    <x v="76"/>
    <x v="60"/>
    <x v="60"/>
    <x v="4"/>
    <x v="60"/>
    <x v="60"/>
    <x v="60"/>
    <x v="60"/>
    <x v="2"/>
    <x v="5"/>
    <x v="7"/>
    <x v="1"/>
  </r>
  <r>
    <x v="3"/>
    <x v="11"/>
    <x v="11"/>
    <x v="77"/>
    <x v="61"/>
    <x v="61"/>
    <x v="0"/>
    <x v="61"/>
    <x v="61"/>
    <x v="61"/>
    <x v="61"/>
    <x v="8"/>
    <x v="5"/>
    <x v="11"/>
    <x v="2"/>
  </r>
  <r>
    <x v="3"/>
    <x v="15"/>
    <x v="15"/>
    <x v="78"/>
    <x v="62"/>
    <x v="62"/>
    <x v="6"/>
    <x v="62"/>
    <x v="62"/>
    <x v="62"/>
    <x v="62"/>
    <x v="8"/>
    <x v="8"/>
    <x v="15"/>
    <x v="3"/>
  </r>
  <r>
    <x v="3"/>
    <x v="19"/>
    <x v="19"/>
    <x v="79"/>
    <x v="63"/>
    <x v="63"/>
    <x v="9"/>
    <x v="63"/>
    <x v="63"/>
    <x v="63"/>
    <x v="63"/>
    <x v="0"/>
    <x v="9"/>
    <x v="19"/>
    <x v="4"/>
  </r>
  <r>
    <x v="4"/>
    <x v="0"/>
    <x v="0"/>
    <x v="80"/>
    <x v="64"/>
    <x v="64"/>
    <x v="0"/>
    <x v="64"/>
    <x v="64"/>
    <x v="64"/>
    <x v="64"/>
    <x v="5"/>
    <x v="0"/>
    <x v="0"/>
    <x v="0"/>
  </r>
  <r>
    <x v="4"/>
    <x v="4"/>
    <x v="4"/>
    <x v="81"/>
    <x v="65"/>
    <x v="65"/>
    <x v="3"/>
    <x v="65"/>
    <x v="65"/>
    <x v="65"/>
    <x v="65"/>
    <x v="6"/>
    <x v="4"/>
    <x v="4"/>
    <x v="1"/>
  </r>
  <r>
    <x v="4"/>
    <x v="8"/>
    <x v="8"/>
    <x v="82"/>
    <x v="66"/>
    <x v="66"/>
    <x v="3"/>
    <x v="66"/>
    <x v="66"/>
    <x v="66"/>
    <x v="66"/>
    <x v="2"/>
    <x v="5"/>
    <x v="8"/>
    <x v="2"/>
  </r>
  <r>
    <x v="4"/>
    <x v="12"/>
    <x v="12"/>
    <x v="83"/>
    <x v="67"/>
    <x v="67"/>
    <x v="5"/>
    <x v="67"/>
    <x v="67"/>
    <x v="67"/>
    <x v="67"/>
    <x v="2"/>
    <x v="5"/>
    <x v="12"/>
    <x v="3"/>
  </r>
  <r>
    <x v="4"/>
    <x v="16"/>
    <x v="16"/>
    <x v="84"/>
    <x v="68"/>
    <x v="68"/>
    <x v="6"/>
    <x v="68"/>
    <x v="68"/>
    <x v="68"/>
    <x v="68"/>
    <x v="9"/>
    <x v="9"/>
    <x v="16"/>
    <x v="4"/>
  </r>
  <r>
    <x v="4"/>
    <x v="1"/>
    <x v="1"/>
    <x v="85"/>
    <x v="69"/>
    <x v="69"/>
    <x v="0"/>
    <x v="69"/>
    <x v="69"/>
    <x v="69"/>
    <x v="69"/>
    <x v="4"/>
    <x v="1"/>
    <x v="1"/>
    <x v="0"/>
  </r>
  <r>
    <x v="4"/>
    <x v="5"/>
    <x v="5"/>
    <x v="86"/>
    <x v="70"/>
    <x v="70"/>
    <x v="2"/>
    <x v="70"/>
    <x v="70"/>
    <x v="70"/>
    <x v="70"/>
    <x v="9"/>
    <x v="5"/>
    <x v="5"/>
    <x v="1"/>
  </r>
  <r>
    <x v="4"/>
    <x v="9"/>
    <x v="9"/>
    <x v="87"/>
    <x v="71"/>
    <x v="71"/>
    <x v="2"/>
    <x v="71"/>
    <x v="71"/>
    <x v="71"/>
    <x v="71"/>
    <x v="2"/>
    <x v="5"/>
    <x v="9"/>
    <x v="2"/>
  </r>
  <r>
    <x v="4"/>
    <x v="13"/>
    <x v="13"/>
    <x v="88"/>
    <x v="72"/>
    <x v="72"/>
    <x v="6"/>
    <x v="72"/>
    <x v="72"/>
    <x v="72"/>
    <x v="72"/>
    <x v="2"/>
    <x v="6"/>
    <x v="13"/>
    <x v="3"/>
  </r>
  <r>
    <x v="4"/>
    <x v="17"/>
    <x v="17"/>
    <x v="89"/>
    <x v="73"/>
    <x v="73"/>
    <x v="7"/>
    <x v="73"/>
    <x v="73"/>
    <x v="73"/>
    <x v="73"/>
    <x v="5"/>
    <x v="9"/>
    <x v="17"/>
    <x v="4"/>
  </r>
  <r>
    <x v="4"/>
    <x v="2"/>
    <x v="2"/>
    <x v="90"/>
    <x v="74"/>
    <x v="74"/>
    <x v="1"/>
    <x v="74"/>
    <x v="74"/>
    <x v="74"/>
    <x v="74"/>
    <x v="3"/>
    <x v="2"/>
    <x v="2"/>
    <x v="0"/>
  </r>
  <r>
    <x v="4"/>
    <x v="6"/>
    <x v="6"/>
    <x v="91"/>
    <x v="75"/>
    <x v="75"/>
    <x v="2"/>
    <x v="75"/>
    <x v="75"/>
    <x v="75"/>
    <x v="75"/>
    <x v="15"/>
    <x v="5"/>
    <x v="6"/>
    <x v="1"/>
  </r>
  <r>
    <x v="4"/>
    <x v="10"/>
    <x v="10"/>
    <x v="92"/>
    <x v="76"/>
    <x v="76"/>
    <x v="0"/>
    <x v="76"/>
    <x v="76"/>
    <x v="76"/>
    <x v="76"/>
    <x v="15"/>
    <x v="5"/>
    <x v="10"/>
    <x v="2"/>
  </r>
  <r>
    <x v="4"/>
    <x v="14"/>
    <x v="14"/>
    <x v="93"/>
    <x v="77"/>
    <x v="77"/>
    <x v="0"/>
    <x v="77"/>
    <x v="77"/>
    <x v="77"/>
    <x v="77"/>
    <x v="15"/>
    <x v="7"/>
    <x v="14"/>
    <x v="3"/>
  </r>
  <r>
    <x v="4"/>
    <x v="18"/>
    <x v="18"/>
    <x v="94"/>
    <x v="78"/>
    <x v="78"/>
    <x v="8"/>
    <x v="78"/>
    <x v="78"/>
    <x v="78"/>
    <x v="78"/>
    <x v="6"/>
    <x v="9"/>
    <x v="18"/>
    <x v="4"/>
  </r>
  <r>
    <x v="4"/>
    <x v="3"/>
    <x v="3"/>
    <x v="95"/>
    <x v="79"/>
    <x v="79"/>
    <x v="2"/>
    <x v="79"/>
    <x v="79"/>
    <x v="79"/>
    <x v="79"/>
    <x v="2"/>
    <x v="3"/>
    <x v="3"/>
    <x v="0"/>
  </r>
  <r>
    <x v="4"/>
    <x v="7"/>
    <x v="7"/>
    <x v="96"/>
    <x v="80"/>
    <x v="80"/>
    <x v="4"/>
    <x v="80"/>
    <x v="80"/>
    <x v="80"/>
    <x v="80"/>
    <x v="9"/>
    <x v="5"/>
    <x v="7"/>
    <x v="1"/>
  </r>
  <r>
    <x v="4"/>
    <x v="11"/>
    <x v="11"/>
    <x v="97"/>
    <x v="81"/>
    <x v="81"/>
    <x v="0"/>
    <x v="81"/>
    <x v="81"/>
    <x v="81"/>
    <x v="81"/>
    <x v="2"/>
    <x v="5"/>
    <x v="11"/>
    <x v="2"/>
  </r>
  <r>
    <x v="4"/>
    <x v="15"/>
    <x v="15"/>
    <x v="98"/>
    <x v="82"/>
    <x v="82"/>
    <x v="6"/>
    <x v="82"/>
    <x v="82"/>
    <x v="82"/>
    <x v="82"/>
    <x v="2"/>
    <x v="8"/>
    <x v="15"/>
    <x v="3"/>
  </r>
  <r>
    <x v="4"/>
    <x v="19"/>
    <x v="19"/>
    <x v="99"/>
    <x v="83"/>
    <x v="83"/>
    <x v="9"/>
    <x v="83"/>
    <x v="83"/>
    <x v="83"/>
    <x v="83"/>
    <x v="6"/>
    <x v="9"/>
    <x v="19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00">
  <r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0"/>
    <x v="0"/>
    <x v="1"/>
  </r>
  <r>
    <x v="2"/>
    <x v="1"/>
    <x v="0"/>
    <x v="2"/>
    <x v="2"/>
    <x v="2"/>
    <x v="2"/>
    <x v="2"/>
    <x v="0"/>
    <x v="0"/>
    <x v="2"/>
  </r>
  <r>
    <x v="3"/>
    <x v="0"/>
    <x v="0"/>
    <x v="3"/>
    <x v="3"/>
    <x v="3"/>
    <x v="3"/>
    <x v="3"/>
    <x v="0"/>
    <x v="0"/>
    <x v="3"/>
  </r>
  <r>
    <x v="4"/>
    <x v="2"/>
    <x v="0"/>
    <x v="4"/>
    <x v="4"/>
    <x v="4"/>
    <x v="4"/>
    <x v="4"/>
    <x v="0"/>
    <x v="0"/>
    <x v="1"/>
  </r>
  <r>
    <x v="5"/>
    <x v="0"/>
    <x v="0"/>
    <x v="5"/>
    <x v="5"/>
    <x v="5"/>
    <x v="5"/>
    <x v="5"/>
    <x v="0"/>
    <x v="0"/>
    <x v="4"/>
  </r>
  <r>
    <x v="6"/>
    <x v="1"/>
    <x v="0"/>
    <x v="6"/>
    <x v="6"/>
    <x v="6"/>
    <x v="6"/>
    <x v="6"/>
    <x v="0"/>
    <x v="0"/>
    <x v="1"/>
  </r>
  <r>
    <x v="7"/>
    <x v="0"/>
    <x v="0"/>
    <x v="7"/>
    <x v="7"/>
    <x v="7"/>
    <x v="5"/>
    <x v="7"/>
    <x v="0"/>
    <x v="0"/>
    <x v="3"/>
  </r>
  <r>
    <x v="8"/>
    <x v="3"/>
    <x v="0"/>
    <x v="8"/>
    <x v="8"/>
    <x v="8"/>
    <x v="7"/>
    <x v="8"/>
    <x v="0"/>
    <x v="0"/>
    <x v="4"/>
  </r>
  <r>
    <x v="9"/>
    <x v="3"/>
    <x v="0"/>
    <x v="9"/>
    <x v="9"/>
    <x v="9"/>
    <x v="7"/>
    <x v="9"/>
    <x v="0"/>
    <x v="0"/>
    <x v="5"/>
  </r>
  <r>
    <x v="10"/>
    <x v="0"/>
    <x v="0"/>
    <x v="10"/>
    <x v="10"/>
    <x v="10"/>
    <x v="8"/>
    <x v="10"/>
    <x v="0"/>
    <x v="0"/>
    <x v="6"/>
  </r>
  <r>
    <x v="11"/>
    <x v="1"/>
    <x v="0"/>
    <x v="11"/>
    <x v="11"/>
    <x v="11"/>
    <x v="9"/>
    <x v="11"/>
    <x v="0"/>
    <x v="0"/>
    <x v="6"/>
  </r>
  <r>
    <x v="12"/>
    <x v="3"/>
    <x v="0"/>
    <x v="12"/>
    <x v="12"/>
    <x v="12"/>
    <x v="10"/>
    <x v="12"/>
    <x v="0"/>
    <x v="0"/>
    <x v="5"/>
  </r>
  <r>
    <x v="13"/>
    <x v="1"/>
    <x v="0"/>
    <x v="13"/>
    <x v="13"/>
    <x v="13"/>
    <x v="11"/>
    <x v="13"/>
    <x v="0"/>
    <x v="0"/>
    <x v="2"/>
  </r>
  <r>
    <x v="14"/>
    <x v="0"/>
    <x v="0"/>
    <x v="14"/>
    <x v="14"/>
    <x v="14"/>
    <x v="12"/>
    <x v="14"/>
    <x v="0"/>
    <x v="0"/>
    <x v="7"/>
  </r>
  <r>
    <x v="15"/>
    <x v="4"/>
    <x v="0"/>
    <x v="15"/>
    <x v="15"/>
    <x v="15"/>
    <x v="13"/>
    <x v="15"/>
    <x v="0"/>
    <x v="0"/>
    <x v="1"/>
  </r>
  <r>
    <x v="16"/>
    <x v="1"/>
    <x v="0"/>
    <x v="16"/>
    <x v="16"/>
    <x v="16"/>
    <x v="3"/>
    <x v="16"/>
    <x v="0"/>
    <x v="0"/>
    <x v="8"/>
  </r>
  <r>
    <x v="17"/>
    <x v="0"/>
    <x v="0"/>
    <x v="17"/>
    <x v="17"/>
    <x v="17"/>
    <x v="14"/>
    <x v="17"/>
    <x v="0"/>
    <x v="0"/>
    <x v="2"/>
  </r>
  <r>
    <x v="18"/>
    <x v="2"/>
    <x v="0"/>
    <x v="18"/>
    <x v="18"/>
    <x v="18"/>
    <x v="15"/>
    <x v="18"/>
    <x v="0"/>
    <x v="0"/>
    <x v="1"/>
  </r>
  <r>
    <x v="19"/>
    <x v="1"/>
    <x v="0"/>
    <x v="19"/>
    <x v="19"/>
    <x v="19"/>
    <x v="16"/>
    <x v="19"/>
    <x v="0"/>
    <x v="0"/>
    <x v="1"/>
  </r>
  <r>
    <x v="20"/>
    <x v="2"/>
    <x v="0"/>
    <x v="20"/>
    <x v="20"/>
    <x v="20"/>
    <x v="17"/>
    <x v="20"/>
    <x v="0"/>
    <x v="0"/>
    <x v="4"/>
  </r>
  <r>
    <x v="21"/>
    <x v="0"/>
    <x v="0"/>
    <x v="21"/>
    <x v="21"/>
    <x v="21"/>
    <x v="18"/>
    <x v="21"/>
    <x v="0"/>
    <x v="0"/>
    <x v="2"/>
  </r>
  <r>
    <x v="22"/>
    <x v="1"/>
    <x v="0"/>
    <x v="22"/>
    <x v="22"/>
    <x v="22"/>
    <x v="2"/>
    <x v="22"/>
    <x v="0"/>
    <x v="0"/>
    <x v="8"/>
  </r>
  <r>
    <x v="23"/>
    <x v="2"/>
    <x v="0"/>
    <x v="7"/>
    <x v="23"/>
    <x v="23"/>
    <x v="19"/>
    <x v="23"/>
    <x v="1"/>
    <x v="1"/>
    <x v="8"/>
  </r>
  <r>
    <x v="24"/>
    <x v="1"/>
    <x v="0"/>
    <x v="23"/>
    <x v="24"/>
    <x v="1"/>
    <x v="20"/>
    <x v="24"/>
    <x v="1"/>
    <x v="2"/>
    <x v="4"/>
  </r>
  <r>
    <x v="25"/>
    <x v="0"/>
    <x v="0"/>
    <x v="24"/>
    <x v="25"/>
    <x v="24"/>
    <x v="21"/>
    <x v="25"/>
    <x v="0"/>
    <x v="0"/>
    <x v="3"/>
  </r>
  <r>
    <x v="26"/>
    <x v="3"/>
    <x v="0"/>
    <x v="25"/>
    <x v="26"/>
    <x v="25"/>
    <x v="0"/>
    <x v="26"/>
    <x v="0"/>
    <x v="0"/>
    <x v="2"/>
  </r>
  <r>
    <x v="27"/>
    <x v="0"/>
    <x v="0"/>
    <x v="9"/>
    <x v="27"/>
    <x v="26"/>
    <x v="22"/>
    <x v="27"/>
    <x v="1"/>
    <x v="3"/>
    <x v="1"/>
  </r>
  <r>
    <x v="28"/>
    <x v="0"/>
    <x v="0"/>
    <x v="26"/>
    <x v="28"/>
    <x v="27"/>
    <x v="3"/>
    <x v="28"/>
    <x v="0"/>
    <x v="0"/>
    <x v="8"/>
  </r>
  <r>
    <x v="29"/>
    <x v="4"/>
    <x v="0"/>
    <x v="27"/>
    <x v="29"/>
    <x v="28"/>
    <x v="23"/>
    <x v="29"/>
    <x v="0"/>
    <x v="0"/>
    <x v="1"/>
  </r>
  <r>
    <x v="30"/>
    <x v="4"/>
    <x v="0"/>
    <x v="15"/>
    <x v="30"/>
    <x v="29"/>
    <x v="2"/>
    <x v="30"/>
    <x v="0"/>
    <x v="0"/>
    <x v="1"/>
  </r>
  <r>
    <x v="31"/>
    <x v="3"/>
    <x v="0"/>
    <x v="28"/>
    <x v="31"/>
    <x v="30"/>
    <x v="24"/>
    <x v="31"/>
    <x v="0"/>
    <x v="0"/>
    <x v="8"/>
  </r>
  <r>
    <x v="32"/>
    <x v="3"/>
    <x v="0"/>
    <x v="2"/>
    <x v="32"/>
    <x v="31"/>
    <x v="25"/>
    <x v="32"/>
    <x v="0"/>
    <x v="0"/>
    <x v="3"/>
  </r>
  <r>
    <x v="33"/>
    <x v="2"/>
    <x v="0"/>
    <x v="21"/>
    <x v="33"/>
    <x v="32"/>
    <x v="10"/>
    <x v="33"/>
    <x v="0"/>
    <x v="0"/>
    <x v="2"/>
  </r>
  <r>
    <x v="34"/>
    <x v="0"/>
    <x v="0"/>
    <x v="29"/>
    <x v="34"/>
    <x v="0"/>
    <x v="26"/>
    <x v="34"/>
    <x v="0"/>
    <x v="0"/>
    <x v="1"/>
  </r>
  <r>
    <x v="35"/>
    <x v="1"/>
    <x v="0"/>
    <x v="30"/>
    <x v="35"/>
    <x v="33"/>
    <x v="27"/>
    <x v="35"/>
    <x v="0"/>
    <x v="0"/>
    <x v="4"/>
  </r>
  <r>
    <x v="36"/>
    <x v="0"/>
    <x v="0"/>
    <x v="3"/>
    <x v="36"/>
    <x v="27"/>
    <x v="17"/>
    <x v="36"/>
    <x v="1"/>
    <x v="4"/>
    <x v="0"/>
  </r>
  <r>
    <x v="37"/>
    <x v="1"/>
    <x v="0"/>
    <x v="31"/>
    <x v="37"/>
    <x v="34"/>
    <x v="28"/>
    <x v="37"/>
    <x v="0"/>
    <x v="0"/>
    <x v="8"/>
  </r>
  <r>
    <x v="38"/>
    <x v="2"/>
    <x v="0"/>
    <x v="9"/>
    <x v="38"/>
    <x v="35"/>
    <x v="29"/>
    <x v="38"/>
    <x v="0"/>
    <x v="0"/>
    <x v="1"/>
  </r>
  <r>
    <x v="39"/>
    <x v="0"/>
    <x v="0"/>
    <x v="32"/>
    <x v="39"/>
    <x v="36"/>
    <x v="17"/>
    <x v="39"/>
    <x v="0"/>
    <x v="0"/>
    <x v="8"/>
  </r>
  <r>
    <x v="40"/>
    <x v="2"/>
    <x v="0"/>
    <x v="33"/>
    <x v="40"/>
    <x v="37"/>
    <x v="6"/>
    <x v="40"/>
    <x v="0"/>
    <x v="0"/>
    <x v="0"/>
  </r>
  <r>
    <x v="41"/>
    <x v="1"/>
    <x v="0"/>
    <x v="21"/>
    <x v="41"/>
    <x v="38"/>
    <x v="30"/>
    <x v="41"/>
    <x v="0"/>
    <x v="0"/>
    <x v="1"/>
  </r>
  <r>
    <x v="42"/>
    <x v="0"/>
    <x v="0"/>
    <x v="34"/>
    <x v="42"/>
    <x v="39"/>
    <x v="31"/>
    <x v="42"/>
    <x v="0"/>
    <x v="0"/>
    <x v="5"/>
  </r>
  <r>
    <x v="43"/>
    <x v="3"/>
    <x v="0"/>
    <x v="35"/>
    <x v="43"/>
    <x v="40"/>
    <x v="28"/>
    <x v="43"/>
    <x v="0"/>
    <x v="0"/>
    <x v="2"/>
  </r>
  <r>
    <x v="44"/>
    <x v="0"/>
    <x v="0"/>
    <x v="33"/>
    <x v="44"/>
    <x v="14"/>
    <x v="23"/>
    <x v="44"/>
    <x v="0"/>
    <x v="0"/>
    <x v="1"/>
  </r>
  <r>
    <x v="45"/>
    <x v="2"/>
    <x v="0"/>
    <x v="36"/>
    <x v="45"/>
    <x v="41"/>
    <x v="13"/>
    <x v="45"/>
    <x v="1"/>
    <x v="5"/>
    <x v="2"/>
  </r>
  <r>
    <x v="46"/>
    <x v="3"/>
    <x v="0"/>
    <x v="37"/>
    <x v="46"/>
    <x v="42"/>
    <x v="32"/>
    <x v="46"/>
    <x v="0"/>
    <x v="0"/>
    <x v="9"/>
  </r>
  <r>
    <x v="47"/>
    <x v="0"/>
    <x v="0"/>
    <x v="20"/>
    <x v="47"/>
    <x v="43"/>
    <x v="33"/>
    <x v="47"/>
    <x v="0"/>
    <x v="0"/>
    <x v="1"/>
  </r>
  <r>
    <x v="48"/>
    <x v="0"/>
    <x v="0"/>
    <x v="11"/>
    <x v="48"/>
    <x v="44"/>
    <x v="22"/>
    <x v="48"/>
    <x v="0"/>
    <x v="0"/>
    <x v="7"/>
  </r>
  <r>
    <x v="49"/>
    <x v="3"/>
    <x v="0"/>
    <x v="38"/>
    <x v="49"/>
    <x v="45"/>
    <x v="14"/>
    <x v="49"/>
    <x v="0"/>
    <x v="0"/>
    <x v="2"/>
  </r>
  <r>
    <x v="50"/>
    <x v="2"/>
    <x v="1"/>
    <x v="39"/>
    <x v="50"/>
    <x v="46"/>
    <x v="0"/>
    <x v="50"/>
    <x v="0"/>
    <x v="0"/>
    <x v="3"/>
  </r>
  <r>
    <x v="51"/>
    <x v="4"/>
    <x v="2"/>
    <x v="40"/>
    <x v="51"/>
    <x v="47"/>
    <x v="34"/>
    <x v="51"/>
    <x v="0"/>
    <x v="0"/>
    <x v="8"/>
  </r>
  <r>
    <x v="52"/>
    <x v="2"/>
    <x v="3"/>
    <x v="41"/>
    <x v="52"/>
    <x v="48"/>
    <x v="35"/>
    <x v="52"/>
    <x v="0"/>
    <x v="0"/>
    <x v="6"/>
  </r>
  <r>
    <x v="53"/>
    <x v="2"/>
    <x v="4"/>
    <x v="42"/>
    <x v="53"/>
    <x v="49"/>
    <x v="36"/>
    <x v="53"/>
    <x v="1"/>
    <x v="6"/>
    <x v="5"/>
  </r>
  <r>
    <x v="54"/>
    <x v="2"/>
    <x v="5"/>
    <x v="43"/>
    <x v="54"/>
    <x v="50"/>
    <x v="28"/>
    <x v="54"/>
    <x v="0"/>
    <x v="0"/>
    <x v="1"/>
  </r>
  <r>
    <x v="55"/>
    <x v="2"/>
    <x v="6"/>
    <x v="44"/>
    <x v="55"/>
    <x v="51"/>
    <x v="27"/>
    <x v="55"/>
    <x v="0"/>
    <x v="0"/>
    <x v="8"/>
  </r>
  <r>
    <x v="56"/>
    <x v="2"/>
    <x v="7"/>
    <x v="45"/>
    <x v="56"/>
    <x v="52"/>
    <x v="20"/>
    <x v="56"/>
    <x v="0"/>
    <x v="0"/>
    <x v="2"/>
  </r>
  <r>
    <x v="57"/>
    <x v="3"/>
    <x v="8"/>
    <x v="46"/>
    <x v="57"/>
    <x v="53"/>
    <x v="37"/>
    <x v="57"/>
    <x v="0"/>
    <x v="0"/>
    <x v="7"/>
  </r>
  <r>
    <x v="58"/>
    <x v="2"/>
    <x v="9"/>
    <x v="47"/>
    <x v="58"/>
    <x v="54"/>
    <x v="22"/>
    <x v="58"/>
    <x v="0"/>
    <x v="0"/>
    <x v="1"/>
  </r>
  <r>
    <x v="59"/>
    <x v="3"/>
    <x v="10"/>
    <x v="48"/>
    <x v="59"/>
    <x v="55"/>
    <x v="5"/>
    <x v="59"/>
    <x v="0"/>
    <x v="0"/>
    <x v="8"/>
  </r>
  <r>
    <x v="60"/>
    <x v="1"/>
    <x v="11"/>
    <x v="49"/>
    <x v="60"/>
    <x v="56"/>
    <x v="38"/>
    <x v="60"/>
    <x v="0"/>
    <x v="0"/>
    <x v="2"/>
  </r>
  <r>
    <x v="61"/>
    <x v="2"/>
    <x v="7"/>
    <x v="50"/>
    <x v="61"/>
    <x v="57"/>
    <x v="39"/>
    <x v="61"/>
    <x v="0"/>
    <x v="0"/>
    <x v="2"/>
  </r>
  <r>
    <x v="62"/>
    <x v="3"/>
    <x v="12"/>
    <x v="51"/>
    <x v="62"/>
    <x v="58"/>
    <x v="37"/>
    <x v="62"/>
    <x v="0"/>
    <x v="0"/>
    <x v="4"/>
  </r>
  <r>
    <x v="63"/>
    <x v="2"/>
    <x v="13"/>
    <x v="52"/>
    <x v="63"/>
    <x v="59"/>
    <x v="40"/>
    <x v="63"/>
    <x v="0"/>
    <x v="0"/>
    <x v="1"/>
  </r>
  <r>
    <x v="64"/>
    <x v="1"/>
    <x v="3"/>
    <x v="53"/>
    <x v="64"/>
    <x v="60"/>
    <x v="35"/>
    <x v="64"/>
    <x v="0"/>
    <x v="0"/>
    <x v="6"/>
  </r>
  <r>
    <x v="65"/>
    <x v="0"/>
    <x v="10"/>
    <x v="54"/>
    <x v="65"/>
    <x v="44"/>
    <x v="34"/>
    <x v="65"/>
    <x v="0"/>
    <x v="0"/>
    <x v="8"/>
  </r>
  <r>
    <x v="66"/>
    <x v="4"/>
    <x v="14"/>
    <x v="55"/>
    <x v="66"/>
    <x v="61"/>
    <x v="41"/>
    <x v="66"/>
    <x v="0"/>
    <x v="0"/>
    <x v="1"/>
  </r>
  <r>
    <x v="67"/>
    <x v="1"/>
    <x v="8"/>
    <x v="56"/>
    <x v="67"/>
    <x v="62"/>
    <x v="42"/>
    <x v="67"/>
    <x v="0"/>
    <x v="0"/>
    <x v="7"/>
  </r>
  <r>
    <x v="68"/>
    <x v="4"/>
    <x v="15"/>
    <x v="57"/>
    <x v="68"/>
    <x v="63"/>
    <x v="43"/>
    <x v="68"/>
    <x v="0"/>
    <x v="0"/>
    <x v="2"/>
  </r>
  <r>
    <x v="69"/>
    <x v="2"/>
    <x v="1"/>
    <x v="58"/>
    <x v="69"/>
    <x v="45"/>
    <x v="21"/>
    <x v="69"/>
    <x v="0"/>
    <x v="0"/>
    <x v="3"/>
  </r>
  <r>
    <x v="70"/>
    <x v="3"/>
    <x v="12"/>
    <x v="59"/>
    <x v="70"/>
    <x v="20"/>
    <x v="2"/>
    <x v="70"/>
    <x v="0"/>
    <x v="0"/>
    <x v="4"/>
  </r>
  <r>
    <x v="71"/>
    <x v="3"/>
    <x v="9"/>
    <x v="60"/>
    <x v="71"/>
    <x v="64"/>
    <x v="22"/>
    <x v="71"/>
    <x v="0"/>
    <x v="0"/>
    <x v="1"/>
  </r>
  <r>
    <x v="72"/>
    <x v="3"/>
    <x v="13"/>
    <x v="61"/>
    <x v="72"/>
    <x v="65"/>
    <x v="44"/>
    <x v="72"/>
    <x v="1"/>
    <x v="7"/>
    <x v="1"/>
  </r>
  <r>
    <x v="73"/>
    <x v="4"/>
    <x v="8"/>
    <x v="62"/>
    <x v="73"/>
    <x v="66"/>
    <x v="2"/>
    <x v="73"/>
    <x v="0"/>
    <x v="0"/>
    <x v="7"/>
  </r>
  <r>
    <x v="74"/>
    <x v="2"/>
    <x v="9"/>
    <x v="63"/>
    <x v="74"/>
    <x v="67"/>
    <x v="25"/>
    <x v="74"/>
    <x v="0"/>
    <x v="0"/>
    <x v="1"/>
  </r>
  <r>
    <x v="75"/>
    <x v="3"/>
    <x v="13"/>
    <x v="64"/>
    <x v="75"/>
    <x v="68"/>
    <x v="45"/>
    <x v="75"/>
    <x v="0"/>
    <x v="0"/>
    <x v="1"/>
  </r>
  <r>
    <x v="76"/>
    <x v="0"/>
    <x v="14"/>
    <x v="65"/>
    <x v="76"/>
    <x v="69"/>
    <x v="11"/>
    <x v="76"/>
    <x v="0"/>
    <x v="0"/>
    <x v="1"/>
  </r>
  <r>
    <x v="77"/>
    <x v="2"/>
    <x v="3"/>
    <x v="66"/>
    <x v="77"/>
    <x v="70"/>
    <x v="3"/>
    <x v="77"/>
    <x v="0"/>
    <x v="0"/>
    <x v="6"/>
  </r>
  <r>
    <x v="78"/>
    <x v="4"/>
    <x v="13"/>
    <x v="67"/>
    <x v="78"/>
    <x v="71"/>
    <x v="46"/>
    <x v="78"/>
    <x v="0"/>
    <x v="0"/>
    <x v="1"/>
  </r>
  <r>
    <x v="79"/>
    <x v="2"/>
    <x v="13"/>
    <x v="68"/>
    <x v="79"/>
    <x v="72"/>
    <x v="33"/>
    <x v="79"/>
    <x v="0"/>
    <x v="0"/>
    <x v="1"/>
  </r>
  <r>
    <x v="80"/>
    <x v="0"/>
    <x v="6"/>
    <x v="69"/>
    <x v="80"/>
    <x v="73"/>
    <x v="46"/>
    <x v="80"/>
    <x v="0"/>
    <x v="0"/>
    <x v="8"/>
  </r>
  <r>
    <x v="81"/>
    <x v="2"/>
    <x v="10"/>
    <x v="70"/>
    <x v="81"/>
    <x v="74"/>
    <x v="47"/>
    <x v="81"/>
    <x v="1"/>
    <x v="8"/>
    <x v="8"/>
  </r>
  <r>
    <x v="82"/>
    <x v="2"/>
    <x v="3"/>
    <x v="71"/>
    <x v="82"/>
    <x v="75"/>
    <x v="5"/>
    <x v="82"/>
    <x v="0"/>
    <x v="0"/>
    <x v="6"/>
  </r>
  <r>
    <x v="83"/>
    <x v="1"/>
    <x v="8"/>
    <x v="72"/>
    <x v="83"/>
    <x v="3"/>
    <x v="29"/>
    <x v="83"/>
    <x v="0"/>
    <x v="0"/>
    <x v="7"/>
  </r>
  <r>
    <x v="84"/>
    <x v="1"/>
    <x v="16"/>
    <x v="73"/>
    <x v="84"/>
    <x v="76"/>
    <x v="12"/>
    <x v="84"/>
    <x v="0"/>
    <x v="0"/>
    <x v="1"/>
  </r>
  <r>
    <x v="85"/>
    <x v="0"/>
    <x v="11"/>
    <x v="74"/>
    <x v="85"/>
    <x v="10"/>
    <x v="31"/>
    <x v="85"/>
    <x v="0"/>
    <x v="0"/>
    <x v="2"/>
  </r>
  <r>
    <x v="86"/>
    <x v="4"/>
    <x v="1"/>
    <x v="75"/>
    <x v="86"/>
    <x v="77"/>
    <x v="48"/>
    <x v="86"/>
    <x v="0"/>
    <x v="0"/>
    <x v="3"/>
  </r>
  <r>
    <x v="87"/>
    <x v="4"/>
    <x v="9"/>
    <x v="76"/>
    <x v="87"/>
    <x v="77"/>
    <x v="7"/>
    <x v="87"/>
    <x v="0"/>
    <x v="0"/>
    <x v="1"/>
  </r>
  <r>
    <x v="88"/>
    <x v="0"/>
    <x v="14"/>
    <x v="77"/>
    <x v="88"/>
    <x v="78"/>
    <x v="0"/>
    <x v="88"/>
    <x v="0"/>
    <x v="0"/>
    <x v="1"/>
  </r>
  <r>
    <x v="89"/>
    <x v="2"/>
    <x v="10"/>
    <x v="78"/>
    <x v="89"/>
    <x v="79"/>
    <x v="49"/>
    <x v="89"/>
    <x v="0"/>
    <x v="0"/>
    <x v="8"/>
  </r>
  <r>
    <x v="90"/>
    <x v="2"/>
    <x v="4"/>
    <x v="79"/>
    <x v="90"/>
    <x v="80"/>
    <x v="23"/>
    <x v="90"/>
    <x v="0"/>
    <x v="0"/>
    <x v="5"/>
  </r>
  <r>
    <x v="91"/>
    <x v="0"/>
    <x v="4"/>
    <x v="80"/>
    <x v="91"/>
    <x v="81"/>
    <x v="16"/>
    <x v="91"/>
    <x v="0"/>
    <x v="0"/>
    <x v="5"/>
  </r>
  <r>
    <x v="92"/>
    <x v="4"/>
    <x v="17"/>
    <x v="81"/>
    <x v="92"/>
    <x v="82"/>
    <x v="50"/>
    <x v="92"/>
    <x v="0"/>
    <x v="0"/>
    <x v="8"/>
  </r>
  <r>
    <x v="93"/>
    <x v="2"/>
    <x v="7"/>
    <x v="82"/>
    <x v="93"/>
    <x v="83"/>
    <x v="13"/>
    <x v="93"/>
    <x v="0"/>
    <x v="0"/>
    <x v="2"/>
  </r>
  <r>
    <x v="94"/>
    <x v="1"/>
    <x v="1"/>
    <x v="83"/>
    <x v="94"/>
    <x v="84"/>
    <x v="51"/>
    <x v="94"/>
    <x v="0"/>
    <x v="0"/>
    <x v="3"/>
  </r>
  <r>
    <x v="95"/>
    <x v="3"/>
    <x v="10"/>
    <x v="84"/>
    <x v="95"/>
    <x v="85"/>
    <x v="45"/>
    <x v="95"/>
    <x v="0"/>
    <x v="0"/>
    <x v="8"/>
  </r>
  <r>
    <x v="96"/>
    <x v="2"/>
    <x v="2"/>
    <x v="85"/>
    <x v="96"/>
    <x v="86"/>
    <x v="4"/>
    <x v="96"/>
    <x v="0"/>
    <x v="0"/>
    <x v="8"/>
  </r>
  <r>
    <x v="97"/>
    <x v="2"/>
    <x v="1"/>
    <x v="86"/>
    <x v="97"/>
    <x v="87"/>
    <x v="18"/>
    <x v="97"/>
    <x v="1"/>
    <x v="9"/>
    <x v="3"/>
  </r>
  <r>
    <x v="98"/>
    <x v="3"/>
    <x v="18"/>
    <x v="87"/>
    <x v="98"/>
    <x v="88"/>
    <x v="52"/>
    <x v="98"/>
    <x v="0"/>
    <x v="0"/>
    <x v="9"/>
  </r>
  <r>
    <x v="99"/>
    <x v="2"/>
    <x v="15"/>
    <x v="88"/>
    <x v="99"/>
    <x v="89"/>
    <x v="53"/>
    <x v="99"/>
    <x v="1"/>
    <x v="10"/>
    <x v="2"/>
  </r>
  <r>
    <x v="100"/>
    <x v="1"/>
    <x v="17"/>
    <x v="89"/>
    <x v="100"/>
    <x v="90"/>
    <x v="17"/>
    <x v="100"/>
    <x v="0"/>
    <x v="0"/>
    <x v="8"/>
  </r>
  <r>
    <x v="101"/>
    <x v="1"/>
    <x v="7"/>
    <x v="90"/>
    <x v="101"/>
    <x v="91"/>
    <x v="34"/>
    <x v="101"/>
    <x v="0"/>
    <x v="0"/>
    <x v="2"/>
  </r>
  <r>
    <x v="102"/>
    <x v="2"/>
    <x v="8"/>
    <x v="56"/>
    <x v="102"/>
    <x v="92"/>
    <x v="26"/>
    <x v="102"/>
    <x v="1"/>
    <x v="11"/>
    <x v="7"/>
  </r>
  <r>
    <x v="103"/>
    <x v="3"/>
    <x v="19"/>
    <x v="91"/>
    <x v="103"/>
    <x v="93"/>
    <x v="26"/>
    <x v="103"/>
    <x v="1"/>
    <x v="12"/>
    <x v="3"/>
  </r>
  <r>
    <x v="104"/>
    <x v="4"/>
    <x v="17"/>
    <x v="92"/>
    <x v="104"/>
    <x v="94"/>
    <x v="54"/>
    <x v="104"/>
    <x v="0"/>
    <x v="0"/>
    <x v="8"/>
  </r>
  <r>
    <x v="105"/>
    <x v="4"/>
    <x v="18"/>
    <x v="93"/>
    <x v="105"/>
    <x v="2"/>
    <x v="28"/>
    <x v="105"/>
    <x v="0"/>
    <x v="0"/>
    <x v="9"/>
  </r>
  <r>
    <x v="106"/>
    <x v="4"/>
    <x v="1"/>
    <x v="94"/>
    <x v="106"/>
    <x v="66"/>
    <x v="15"/>
    <x v="106"/>
    <x v="0"/>
    <x v="0"/>
    <x v="3"/>
  </r>
  <r>
    <x v="107"/>
    <x v="3"/>
    <x v="17"/>
    <x v="95"/>
    <x v="107"/>
    <x v="95"/>
    <x v="17"/>
    <x v="107"/>
    <x v="0"/>
    <x v="0"/>
    <x v="8"/>
  </r>
  <r>
    <x v="108"/>
    <x v="2"/>
    <x v="4"/>
    <x v="79"/>
    <x v="108"/>
    <x v="96"/>
    <x v="55"/>
    <x v="108"/>
    <x v="1"/>
    <x v="13"/>
    <x v="5"/>
  </r>
  <r>
    <x v="109"/>
    <x v="4"/>
    <x v="12"/>
    <x v="96"/>
    <x v="109"/>
    <x v="97"/>
    <x v="56"/>
    <x v="109"/>
    <x v="0"/>
    <x v="0"/>
    <x v="4"/>
  </r>
  <r>
    <x v="110"/>
    <x v="1"/>
    <x v="18"/>
    <x v="97"/>
    <x v="110"/>
    <x v="98"/>
    <x v="7"/>
    <x v="110"/>
    <x v="0"/>
    <x v="0"/>
    <x v="9"/>
  </r>
  <r>
    <x v="111"/>
    <x v="4"/>
    <x v="10"/>
    <x v="98"/>
    <x v="111"/>
    <x v="99"/>
    <x v="23"/>
    <x v="111"/>
    <x v="0"/>
    <x v="0"/>
    <x v="8"/>
  </r>
  <r>
    <x v="112"/>
    <x v="4"/>
    <x v="9"/>
    <x v="99"/>
    <x v="112"/>
    <x v="100"/>
    <x v="22"/>
    <x v="112"/>
    <x v="0"/>
    <x v="0"/>
    <x v="1"/>
  </r>
  <r>
    <x v="113"/>
    <x v="3"/>
    <x v="17"/>
    <x v="100"/>
    <x v="113"/>
    <x v="101"/>
    <x v="9"/>
    <x v="113"/>
    <x v="0"/>
    <x v="0"/>
    <x v="8"/>
  </r>
  <r>
    <x v="114"/>
    <x v="1"/>
    <x v="1"/>
    <x v="101"/>
    <x v="114"/>
    <x v="60"/>
    <x v="8"/>
    <x v="114"/>
    <x v="0"/>
    <x v="0"/>
    <x v="3"/>
  </r>
  <r>
    <x v="115"/>
    <x v="4"/>
    <x v="4"/>
    <x v="102"/>
    <x v="115"/>
    <x v="102"/>
    <x v="20"/>
    <x v="115"/>
    <x v="0"/>
    <x v="0"/>
    <x v="5"/>
  </r>
  <r>
    <x v="116"/>
    <x v="1"/>
    <x v="14"/>
    <x v="65"/>
    <x v="116"/>
    <x v="82"/>
    <x v="9"/>
    <x v="116"/>
    <x v="0"/>
    <x v="0"/>
    <x v="1"/>
  </r>
  <r>
    <x v="117"/>
    <x v="1"/>
    <x v="15"/>
    <x v="103"/>
    <x v="117"/>
    <x v="103"/>
    <x v="42"/>
    <x v="117"/>
    <x v="0"/>
    <x v="0"/>
    <x v="2"/>
  </r>
  <r>
    <x v="118"/>
    <x v="1"/>
    <x v="4"/>
    <x v="104"/>
    <x v="118"/>
    <x v="104"/>
    <x v="57"/>
    <x v="118"/>
    <x v="0"/>
    <x v="0"/>
    <x v="5"/>
  </r>
  <r>
    <x v="119"/>
    <x v="3"/>
    <x v="19"/>
    <x v="105"/>
    <x v="119"/>
    <x v="9"/>
    <x v="41"/>
    <x v="119"/>
    <x v="0"/>
    <x v="0"/>
    <x v="3"/>
  </r>
  <r>
    <x v="120"/>
    <x v="1"/>
    <x v="15"/>
    <x v="106"/>
    <x v="120"/>
    <x v="105"/>
    <x v="24"/>
    <x v="120"/>
    <x v="0"/>
    <x v="0"/>
    <x v="2"/>
  </r>
  <r>
    <x v="121"/>
    <x v="4"/>
    <x v="19"/>
    <x v="107"/>
    <x v="121"/>
    <x v="106"/>
    <x v="27"/>
    <x v="121"/>
    <x v="0"/>
    <x v="0"/>
    <x v="3"/>
  </r>
  <r>
    <x v="122"/>
    <x v="4"/>
    <x v="1"/>
    <x v="108"/>
    <x v="122"/>
    <x v="104"/>
    <x v="55"/>
    <x v="122"/>
    <x v="0"/>
    <x v="0"/>
    <x v="3"/>
  </r>
  <r>
    <x v="123"/>
    <x v="2"/>
    <x v="19"/>
    <x v="109"/>
    <x v="123"/>
    <x v="107"/>
    <x v="16"/>
    <x v="123"/>
    <x v="0"/>
    <x v="0"/>
    <x v="3"/>
  </r>
  <r>
    <x v="124"/>
    <x v="2"/>
    <x v="14"/>
    <x v="110"/>
    <x v="124"/>
    <x v="108"/>
    <x v="5"/>
    <x v="124"/>
    <x v="0"/>
    <x v="0"/>
    <x v="1"/>
  </r>
  <r>
    <x v="125"/>
    <x v="3"/>
    <x v="5"/>
    <x v="111"/>
    <x v="125"/>
    <x v="109"/>
    <x v="22"/>
    <x v="125"/>
    <x v="0"/>
    <x v="0"/>
    <x v="1"/>
  </r>
  <r>
    <x v="126"/>
    <x v="4"/>
    <x v="15"/>
    <x v="112"/>
    <x v="126"/>
    <x v="110"/>
    <x v="15"/>
    <x v="126"/>
    <x v="0"/>
    <x v="0"/>
    <x v="2"/>
  </r>
  <r>
    <x v="127"/>
    <x v="1"/>
    <x v="13"/>
    <x v="113"/>
    <x v="127"/>
    <x v="111"/>
    <x v="58"/>
    <x v="127"/>
    <x v="0"/>
    <x v="0"/>
    <x v="1"/>
  </r>
  <r>
    <x v="128"/>
    <x v="3"/>
    <x v="12"/>
    <x v="114"/>
    <x v="128"/>
    <x v="112"/>
    <x v="15"/>
    <x v="128"/>
    <x v="0"/>
    <x v="0"/>
    <x v="4"/>
  </r>
  <r>
    <x v="129"/>
    <x v="2"/>
    <x v="4"/>
    <x v="115"/>
    <x v="129"/>
    <x v="72"/>
    <x v="37"/>
    <x v="129"/>
    <x v="0"/>
    <x v="0"/>
    <x v="5"/>
  </r>
  <r>
    <x v="130"/>
    <x v="4"/>
    <x v="20"/>
    <x v="116"/>
    <x v="130"/>
    <x v="113"/>
    <x v="6"/>
    <x v="130"/>
    <x v="0"/>
    <x v="0"/>
    <x v="0"/>
  </r>
  <r>
    <x v="131"/>
    <x v="3"/>
    <x v="6"/>
    <x v="117"/>
    <x v="131"/>
    <x v="114"/>
    <x v="4"/>
    <x v="131"/>
    <x v="0"/>
    <x v="0"/>
    <x v="8"/>
  </r>
  <r>
    <x v="132"/>
    <x v="0"/>
    <x v="17"/>
    <x v="118"/>
    <x v="132"/>
    <x v="115"/>
    <x v="26"/>
    <x v="132"/>
    <x v="0"/>
    <x v="0"/>
    <x v="8"/>
  </r>
  <r>
    <x v="133"/>
    <x v="3"/>
    <x v="10"/>
    <x v="119"/>
    <x v="133"/>
    <x v="101"/>
    <x v="59"/>
    <x v="133"/>
    <x v="0"/>
    <x v="0"/>
    <x v="8"/>
  </r>
  <r>
    <x v="134"/>
    <x v="4"/>
    <x v="20"/>
    <x v="120"/>
    <x v="134"/>
    <x v="116"/>
    <x v="40"/>
    <x v="134"/>
    <x v="0"/>
    <x v="0"/>
    <x v="0"/>
  </r>
  <r>
    <x v="135"/>
    <x v="2"/>
    <x v="17"/>
    <x v="92"/>
    <x v="135"/>
    <x v="23"/>
    <x v="60"/>
    <x v="135"/>
    <x v="0"/>
    <x v="0"/>
    <x v="8"/>
  </r>
  <r>
    <x v="136"/>
    <x v="4"/>
    <x v="11"/>
    <x v="121"/>
    <x v="136"/>
    <x v="110"/>
    <x v="29"/>
    <x v="136"/>
    <x v="0"/>
    <x v="0"/>
    <x v="2"/>
  </r>
  <r>
    <x v="137"/>
    <x v="2"/>
    <x v="6"/>
    <x v="122"/>
    <x v="137"/>
    <x v="107"/>
    <x v="24"/>
    <x v="137"/>
    <x v="0"/>
    <x v="0"/>
    <x v="8"/>
  </r>
  <r>
    <x v="138"/>
    <x v="1"/>
    <x v="13"/>
    <x v="123"/>
    <x v="138"/>
    <x v="117"/>
    <x v="7"/>
    <x v="138"/>
    <x v="0"/>
    <x v="0"/>
    <x v="1"/>
  </r>
  <r>
    <x v="139"/>
    <x v="2"/>
    <x v="8"/>
    <x v="124"/>
    <x v="139"/>
    <x v="118"/>
    <x v="61"/>
    <x v="139"/>
    <x v="0"/>
    <x v="0"/>
    <x v="7"/>
  </r>
  <r>
    <x v="140"/>
    <x v="2"/>
    <x v="20"/>
    <x v="125"/>
    <x v="140"/>
    <x v="51"/>
    <x v="62"/>
    <x v="140"/>
    <x v="0"/>
    <x v="0"/>
    <x v="0"/>
  </r>
  <r>
    <x v="141"/>
    <x v="3"/>
    <x v="19"/>
    <x v="126"/>
    <x v="141"/>
    <x v="119"/>
    <x v="16"/>
    <x v="141"/>
    <x v="1"/>
    <x v="14"/>
    <x v="3"/>
  </r>
  <r>
    <x v="142"/>
    <x v="3"/>
    <x v="11"/>
    <x v="74"/>
    <x v="142"/>
    <x v="120"/>
    <x v="49"/>
    <x v="142"/>
    <x v="0"/>
    <x v="0"/>
    <x v="2"/>
  </r>
  <r>
    <x v="143"/>
    <x v="1"/>
    <x v="10"/>
    <x v="127"/>
    <x v="143"/>
    <x v="121"/>
    <x v="7"/>
    <x v="143"/>
    <x v="0"/>
    <x v="0"/>
    <x v="8"/>
  </r>
  <r>
    <x v="144"/>
    <x v="4"/>
    <x v="6"/>
    <x v="128"/>
    <x v="144"/>
    <x v="19"/>
    <x v="3"/>
    <x v="144"/>
    <x v="0"/>
    <x v="0"/>
    <x v="8"/>
  </r>
  <r>
    <x v="145"/>
    <x v="3"/>
    <x v="16"/>
    <x v="129"/>
    <x v="145"/>
    <x v="122"/>
    <x v="10"/>
    <x v="145"/>
    <x v="0"/>
    <x v="0"/>
    <x v="1"/>
  </r>
  <r>
    <x v="146"/>
    <x v="2"/>
    <x v="1"/>
    <x v="130"/>
    <x v="146"/>
    <x v="114"/>
    <x v="32"/>
    <x v="146"/>
    <x v="0"/>
    <x v="0"/>
    <x v="3"/>
  </r>
  <r>
    <x v="147"/>
    <x v="2"/>
    <x v="13"/>
    <x v="131"/>
    <x v="147"/>
    <x v="123"/>
    <x v="46"/>
    <x v="147"/>
    <x v="0"/>
    <x v="0"/>
    <x v="1"/>
  </r>
  <r>
    <x v="148"/>
    <x v="2"/>
    <x v="17"/>
    <x v="132"/>
    <x v="148"/>
    <x v="124"/>
    <x v="60"/>
    <x v="148"/>
    <x v="1"/>
    <x v="15"/>
    <x v="8"/>
  </r>
  <r>
    <x v="149"/>
    <x v="0"/>
    <x v="6"/>
    <x v="122"/>
    <x v="149"/>
    <x v="125"/>
    <x v="47"/>
    <x v="149"/>
    <x v="0"/>
    <x v="0"/>
    <x v="8"/>
  </r>
  <r>
    <x v="150"/>
    <x v="4"/>
    <x v="11"/>
    <x v="133"/>
    <x v="150"/>
    <x v="126"/>
    <x v="2"/>
    <x v="150"/>
    <x v="0"/>
    <x v="0"/>
    <x v="2"/>
  </r>
  <r>
    <x v="151"/>
    <x v="4"/>
    <x v="1"/>
    <x v="134"/>
    <x v="151"/>
    <x v="71"/>
    <x v="22"/>
    <x v="151"/>
    <x v="0"/>
    <x v="0"/>
    <x v="3"/>
  </r>
  <r>
    <x v="152"/>
    <x v="4"/>
    <x v="6"/>
    <x v="135"/>
    <x v="152"/>
    <x v="127"/>
    <x v="63"/>
    <x v="152"/>
    <x v="0"/>
    <x v="0"/>
    <x v="8"/>
  </r>
  <r>
    <x v="153"/>
    <x v="2"/>
    <x v="6"/>
    <x v="136"/>
    <x v="153"/>
    <x v="128"/>
    <x v="35"/>
    <x v="153"/>
    <x v="0"/>
    <x v="0"/>
    <x v="8"/>
  </r>
  <r>
    <x v="154"/>
    <x v="0"/>
    <x v="5"/>
    <x v="137"/>
    <x v="154"/>
    <x v="69"/>
    <x v="64"/>
    <x v="154"/>
    <x v="0"/>
    <x v="0"/>
    <x v="1"/>
  </r>
  <r>
    <x v="155"/>
    <x v="3"/>
    <x v="2"/>
    <x v="138"/>
    <x v="155"/>
    <x v="40"/>
    <x v="13"/>
    <x v="155"/>
    <x v="0"/>
    <x v="0"/>
    <x v="8"/>
  </r>
  <r>
    <x v="156"/>
    <x v="3"/>
    <x v="1"/>
    <x v="139"/>
    <x v="156"/>
    <x v="129"/>
    <x v="20"/>
    <x v="156"/>
    <x v="0"/>
    <x v="0"/>
    <x v="3"/>
  </r>
  <r>
    <x v="157"/>
    <x v="3"/>
    <x v="19"/>
    <x v="140"/>
    <x v="157"/>
    <x v="130"/>
    <x v="65"/>
    <x v="157"/>
    <x v="1"/>
    <x v="16"/>
    <x v="3"/>
  </r>
  <r>
    <x v="158"/>
    <x v="3"/>
    <x v="5"/>
    <x v="141"/>
    <x v="158"/>
    <x v="131"/>
    <x v="28"/>
    <x v="158"/>
    <x v="0"/>
    <x v="0"/>
    <x v="1"/>
  </r>
  <r>
    <x v="159"/>
    <x v="0"/>
    <x v="7"/>
    <x v="142"/>
    <x v="159"/>
    <x v="132"/>
    <x v="63"/>
    <x v="159"/>
    <x v="0"/>
    <x v="0"/>
    <x v="2"/>
  </r>
  <r>
    <x v="160"/>
    <x v="3"/>
    <x v="17"/>
    <x v="143"/>
    <x v="160"/>
    <x v="133"/>
    <x v="48"/>
    <x v="160"/>
    <x v="0"/>
    <x v="0"/>
    <x v="8"/>
  </r>
  <r>
    <x v="161"/>
    <x v="0"/>
    <x v="6"/>
    <x v="144"/>
    <x v="161"/>
    <x v="134"/>
    <x v="12"/>
    <x v="161"/>
    <x v="0"/>
    <x v="0"/>
    <x v="8"/>
  </r>
  <r>
    <x v="162"/>
    <x v="0"/>
    <x v="12"/>
    <x v="145"/>
    <x v="162"/>
    <x v="115"/>
    <x v="40"/>
    <x v="162"/>
    <x v="0"/>
    <x v="0"/>
    <x v="4"/>
  </r>
  <r>
    <x v="163"/>
    <x v="1"/>
    <x v="8"/>
    <x v="146"/>
    <x v="163"/>
    <x v="104"/>
    <x v="5"/>
    <x v="163"/>
    <x v="0"/>
    <x v="0"/>
    <x v="7"/>
  </r>
  <r>
    <x v="164"/>
    <x v="1"/>
    <x v="4"/>
    <x v="147"/>
    <x v="164"/>
    <x v="3"/>
    <x v="47"/>
    <x v="164"/>
    <x v="0"/>
    <x v="0"/>
    <x v="5"/>
  </r>
  <r>
    <x v="165"/>
    <x v="4"/>
    <x v="3"/>
    <x v="148"/>
    <x v="165"/>
    <x v="135"/>
    <x v="51"/>
    <x v="165"/>
    <x v="0"/>
    <x v="0"/>
    <x v="6"/>
  </r>
  <r>
    <x v="166"/>
    <x v="4"/>
    <x v="19"/>
    <x v="149"/>
    <x v="166"/>
    <x v="136"/>
    <x v="32"/>
    <x v="166"/>
    <x v="0"/>
    <x v="0"/>
    <x v="3"/>
  </r>
  <r>
    <x v="167"/>
    <x v="0"/>
    <x v="16"/>
    <x v="150"/>
    <x v="167"/>
    <x v="137"/>
    <x v="4"/>
    <x v="167"/>
    <x v="0"/>
    <x v="0"/>
    <x v="1"/>
  </r>
  <r>
    <x v="168"/>
    <x v="1"/>
    <x v="11"/>
    <x v="151"/>
    <x v="168"/>
    <x v="2"/>
    <x v="41"/>
    <x v="168"/>
    <x v="0"/>
    <x v="0"/>
    <x v="2"/>
  </r>
  <r>
    <x v="169"/>
    <x v="4"/>
    <x v="16"/>
    <x v="152"/>
    <x v="169"/>
    <x v="138"/>
    <x v="57"/>
    <x v="169"/>
    <x v="0"/>
    <x v="0"/>
    <x v="1"/>
  </r>
  <r>
    <x v="170"/>
    <x v="3"/>
    <x v="16"/>
    <x v="153"/>
    <x v="170"/>
    <x v="139"/>
    <x v="31"/>
    <x v="170"/>
    <x v="0"/>
    <x v="0"/>
    <x v="1"/>
  </r>
  <r>
    <x v="171"/>
    <x v="2"/>
    <x v="4"/>
    <x v="154"/>
    <x v="171"/>
    <x v="140"/>
    <x v="12"/>
    <x v="171"/>
    <x v="0"/>
    <x v="0"/>
    <x v="5"/>
  </r>
  <r>
    <x v="172"/>
    <x v="1"/>
    <x v="13"/>
    <x v="155"/>
    <x v="172"/>
    <x v="141"/>
    <x v="49"/>
    <x v="172"/>
    <x v="0"/>
    <x v="0"/>
    <x v="1"/>
  </r>
  <r>
    <x v="173"/>
    <x v="2"/>
    <x v="19"/>
    <x v="156"/>
    <x v="173"/>
    <x v="129"/>
    <x v="59"/>
    <x v="173"/>
    <x v="0"/>
    <x v="0"/>
    <x v="3"/>
  </r>
  <r>
    <x v="174"/>
    <x v="3"/>
    <x v="2"/>
    <x v="157"/>
    <x v="174"/>
    <x v="142"/>
    <x v="30"/>
    <x v="174"/>
    <x v="0"/>
    <x v="0"/>
    <x v="8"/>
  </r>
  <r>
    <x v="175"/>
    <x v="3"/>
    <x v="18"/>
    <x v="158"/>
    <x v="175"/>
    <x v="143"/>
    <x v="49"/>
    <x v="175"/>
    <x v="0"/>
    <x v="0"/>
    <x v="9"/>
  </r>
  <r>
    <x v="176"/>
    <x v="3"/>
    <x v="12"/>
    <x v="159"/>
    <x v="176"/>
    <x v="144"/>
    <x v="61"/>
    <x v="176"/>
    <x v="0"/>
    <x v="0"/>
    <x v="4"/>
  </r>
  <r>
    <x v="177"/>
    <x v="4"/>
    <x v="7"/>
    <x v="160"/>
    <x v="177"/>
    <x v="135"/>
    <x v="39"/>
    <x v="177"/>
    <x v="0"/>
    <x v="0"/>
    <x v="2"/>
  </r>
  <r>
    <x v="178"/>
    <x v="2"/>
    <x v="5"/>
    <x v="161"/>
    <x v="178"/>
    <x v="145"/>
    <x v="57"/>
    <x v="178"/>
    <x v="0"/>
    <x v="0"/>
    <x v="1"/>
  </r>
  <r>
    <x v="179"/>
    <x v="0"/>
    <x v="19"/>
    <x v="162"/>
    <x v="179"/>
    <x v="146"/>
    <x v="39"/>
    <x v="179"/>
    <x v="0"/>
    <x v="0"/>
    <x v="3"/>
  </r>
  <r>
    <x v="180"/>
    <x v="0"/>
    <x v="10"/>
    <x v="163"/>
    <x v="180"/>
    <x v="147"/>
    <x v="66"/>
    <x v="180"/>
    <x v="0"/>
    <x v="0"/>
    <x v="8"/>
  </r>
  <r>
    <x v="181"/>
    <x v="3"/>
    <x v="12"/>
    <x v="164"/>
    <x v="181"/>
    <x v="148"/>
    <x v="62"/>
    <x v="181"/>
    <x v="0"/>
    <x v="0"/>
    <x v="4"/>
  </r>
  <r>
    <x v="182"/>
    <x v="4"/>
    <x v="9"/>
    <x v="165"/>
    <x v="182"/>
    <x v="149"/>
    <x v="67"/>
    <x v="182"/>
    <x v="0"/>
    <x v="0"/>
    <x v="1"/>
  </r>
  <r>
    <x v="183"/>
    <x v="4"/>
    <x v="9"/>
    <x v="166"/>
    <x v="183"/>
    <x v="150"/>
    <x v="64"/>
    <x v="183"/>
    <x v="0"/>
    <x v="0"/>
    <x v="1"/>
  </r>
  <r>
    <x v="184"/>
    <x v="4"/>
    <x v="20"/>
    <x v="167"/>
    <x v="184"/>
    <x v="151"/>
    <x v="31"/>
    <x v="184"/>
    <x v="0"/>
    <x v="0"/>
    <x v="0"/>
  </r>
  <r>
    <x v="185"/>
    <x v="0"/>
    <x v="20"/>
    <x v="168"/>
    <x v="185"/>
    <x v="7"/>
    <x v="3"/>
    <x v="185"/>
    <x v="0"/>
    <x v="0"/>
    <x v="0"/>
  </r>
  <r>
    <x v="186"/>
    <x v="1"/>
    <x v="16"/>
    <x v="169"/>
    <x v="186"/>
    <x v="121"/>
    <x v="35"/>
    <x v="186"/>
    <x v="0"/>
    <x v="0"/>
    <x v="1"/>
  </r>
  <r>
    <x v="187"/>
    <x v="3"/>
    <x v="2"/>
    <x v="170"/>
    <x v="187"/>
    <x v="88"/>
    <x v="53"/>
    <x v="187"/>
    <x v="0"/>
    <x v="0"/>
    <x v="8"/>
  </r>
  <r>
    <x v="188"/>
    <x v="0"/>
    <x v="14"/>
    <x v="171"/>
    <x v="188"/>
    <x v="152"/>
    <x v="9"/>
    <x v="188"/>
    <x v="0"/>
    <x v="0"/>
    <x v="1"/>
  </r>
  <r>
    <x v="189"/>
    <x v="4"/>
    <x v="9"/>
    <x v="172"/>
    <x v="189"/>
    <x v="153"/>
    <x v="49"/>
    <x v="189"/>
    <x v="0"/>
    <x v="0"/>
    <x v="1"/>
  </r>
  <r>
    <x v="190"/>
    <x v="4"/>
    <x v="16"/>
    <x v="173"/>
    <x v="190"/>
    <x v="154"/>
    <x v="26"/>
    <x v="190"/>
    <x v="0"/>
    <x v="0"/>
    <x v="1"/>
  </r>
  <r>
    <x v="191"/>
    <x v="4"/>
    <x v="12"/>
    <x v="174"/>
    <x v="191"/>
    <x v="7"/>
    <x v="68"/>
    <x v="191"/>
    <x v="0"/>
    <x v="0"/>
    <x v="4"/>
  </r>
  <r>
    <x v="192"/>
    <x v="0"/>
    <x v="5"/>
    <x v="175"/>
    <x v="192"/>
    <x v="155"/>
    <x v="13"/>
    <x v="192"/>
    <x v="0"/>
    <x v="0"/>
    <x v="1"/>
  </r>
  <r>
    <x v="193"/>
    <x v="3"/>
    <x v="19"/>
    <x v="176"/>
    <x v="193"/>
    <x v="156"/>
    <x v="55"/>
    <x v="193"/>
    <x v="0"/>
    <x v="0"/>
    <x v="3"/>
  </r>
  <r>
    <x v="194"/>
    <x v="2"/>
    <x v="5"/>
    <x v="177"/>
    <x v="194"/>
    <x v="157"/>
    <x v="14"/>
    <x v="194"/>
    <x v="0"/>
    <x v="0"/>
    <x v="1"/>
  </r>
  <r>
    <x v="195"/>
    <x v="4"/>
    <x v="16"/>
    <x v="178"/>
    <x v="195"/>
    <x v="158"/>
    <x v="43"/>
    <x v="195"/>
    <x v="0"/>
    <x v="0"/>
    <x v="1"/>
  </r>
  <r>
    <x v="196"/>
    <x v="4"/>
    <x v="9"/>
    <x v="179"/>
    <x v="196"/>
    <x v="159"/>
    <x v="61"/>
    <x v="196"/>
    <x v="0"/>
    <x v="0"/>
    <x v="1"/>
  </r>
  <r>
    <x v="197"/>
    <x v="4"/>
    <x v="9"/>
    <x v="180"/>
    <x v="197"/>
    <x v="15"/>
    <x v="15"/>
    <x v="197"/>
    <x v="0"/>
    <x v="0"/>
    <x v="1"/>
  </r>
  <r>
    <x v="198"/>
    <x v="2"/>
    <x v="19"/>
    <x v="181"/>
    <x v="198"/>
    <x v="89"/>
    <x v="69"/>
    <x v="198"/>
    <x v="0"/>
    <x v="0"/>
    <x v="3"/>
  </r>
  <r>
    <x v="199"/>
    <x v="2"/>
    <x v="19"/>
    <x v="182"/>
    <x v="199"/>
    <x v="160"/>
    <x v="37"/>
    <x v="199"/>
    <x v="0"/>
    <x v="0"/>
    <x v="3"/>
  </r>
  <r>
    <x v="200"/>
    <x v="1"/>
    <x v="7"/>
    <x v="183"/>
    <x v="200"/>
    <x v="102"/>
    <x v="12"/>
    <x v="200"/>
    <x v="0"/>
    <x v="0"/>
    <x v="2"/>
  </r>
  <r>
    <x v="201"/>
    <x v="3"/>
    <x v="2"/>
    <x v="184"/>
    <x v="201"/>
    <x v="161"/>
    <x v="16"/>
    <x v="201"/>
    <x v="0"/>
    <x v="0"/>
    <x v="8"/>
  </r>
  <r>
    <x v="202"/>
    <x v="0"/>
    <x v="7"/>
    <x v="185"/>
    <x v="202"/>
    <x v="113"/>
    <x v="4"/>
    <x v="202"/>
    <x v="0"/>
    <x v="0"/>
    <x v="2"/>
  </r>
  <r>
    <x v="203"/>
    <x v="1"/>
    <x v="8"/>
    <x v="186"/>
    <x v="203"/>
    <x v="162"/>
    <x v="18"/>
    <x v="203"/>
    <x v="0"/>
    <x v="0"/>
    <x v="7"/>
  </r>
  <r>
    <x v="204"/>
    <x v="1"/>
    <x v="11"/>
    <x v="187"/>
    <x v="204"/>
    <x v="127"/>
    <x v="33"/>
    <x v="204"/>
    <x v="0"/>
    <x v="0"/>
    <x v="2"/>
  </r>
  <r>
    <x v="205"/>
    <x v="4"/>
    <x v="20"/>
    <x v="188"/>
    <x v="205"/>
    <x v="19"/>
    <x v="19"/>
    <x v="205"/>
    <x v="0"/>
    <x v="0"/>
    <x v="0"/>
  </r>
  <r>
    <x v="206"/>
    <x v="4"/>
    <x v="14"/>
    <x v="189"/>
    <x v="206"/>
    <x v="163"/>
    <x v="42"/>
    <x v="206"/>
    <x v="0"/>
    <x v="0"/>
    <x v="1"/>
  </r>
  <r>
    <x v="207"/>
    <x v="1"/>
    <x v="2"/>
    <x v="190"/>
    <x v="207"/>
    <x v="63"/>
    <x v="43"/>
    <x v="207"/>
    <x v="0"/>
    <x v="0"/>
    <x v="8"/>
  </r>
  <r>
    <x v="208"/>
    <x v="2"/>
    <x v="4"/>
    <x v="191"/>
    <x v="208"/>
    <x v="49"/>
    <x v="32"/>
    <x v="208"/>
    <x v="0"/>
    <x v="0"/>
    <x v="5"/>
  </r>
  <r>
    <x v="209"/>
    <x v="1"/>
    <x v="1"/>
    <x v="192"/>
    <x v="209"/>
    <x v="164"/>
    <x v="43"/>
    <x v="209"/>
    <x v="0"/>
    <x v="0"/>
    <x v="3"/>
  </r>
  <r>
    <x v="210"/>
    <x v="4"/>
    <x v="14"/>
    <x v="193"/>
    <x v="210"/>
    <x v="127"/>
    <x v="34"/>
    <x v="210"/>
    <x v="0"/>
    <x v="0"/>
    <x v="1"/>
  </r>
  <r>
    <x v="211"/>
    <x v="4"/>
    <x v="20"/>
    <x v="194"/>
    <x v="211"/>
    <x v="165"/>
    <x v="32"/>
    <x v="211"/>
    <x v="0"/>
    <x v="0"/>
    <x v="0"/>
  </r>
  <r>
    <x v="212"/>
    <x v="3"/>
    <x v="9"/>
    <x v="165"/>
    <x v="212"/>
    <x v="166"/>
    <x v="4"/>
    <x v="212"/>
    <x v="0"/>
    <x v="0"/>
    <x v="1"/>
  </r>
  <r>
    <x v="213"/>
    <x v="2"/>
    <x v="15"/>
    <x v="195"/>
    <x v="213"/>
    <x v="32"/>
    <x v="11"/>
    <x v="213"/>
    <x v="1"/>
    <x v="17"/>
    <x v="2"/>
  </r>
  <r>
    <x v="214"/>
    <x v="2"/>
    <x v="8"/>
    <x v="196"/>
    <x v="214"/>
    <x v="167"/>
    <x v="13"/>
    <x v="214"/>
    <x v="1"/>
    <x v="18"/>
    <x v="7"/>
  </r>
  <r>
    <x v="215"/>
    <x v="2"/>
    <x v="8"/>
    <x v="197"/>
    <x v="215"/>
    <x v="166"/>
    <x v="70"/>
    <x v="215"/>
    <x v="1"/>
    <x v="19"/>
    <x v="7"/>
  </r>
  <r>
    <x v="216"/>
    <x v="1"/>
    <x v="18"/>
    <x v="198"/>
    <x v="216"/>
    <x v="168"/>
    <x v="27"/>
    <x v="216"/>
    <x v="0"/>
    <x v="0"/>
    <x v="9"/>
  </r>
  <r>
    <x v="217"/>
    <x v="4"/>
    <x v="18"/>
    <x v="199"/>
    <x v="217"/>
    <x v="169"/>
    <x v="21"/>
    <x v="217"/>
    <x v="0"/>
    <x v="0"/>
    <x v="9"/>
  </r>
  <r>
    <x v="218"/>
    <x v="0"/>
    <x v="7"/>
    <x v="200"/>
    <x v="218"/>
    <x v="17"/>
    <x v="6"/>
    <x v="218"/>
    <x v="0"/>
    <x v="0"/>
    <x v="2"/>
  </r>
  <r>
    <x v="219"/>
    <x v="1"/>
    <x v="13"/>
    <x v="201"/>
    <x v="219"/>
    <x v="170"/>
    <x v="59"/>
    <x v="219"/>
    <x v="0"/>
    <x v="0"/>
    <x v="1"/>
  </r>
  <r>
    <x v="220"/>
    <x v="2"/>
    <x v="16"/>
    <x v="153"/>
    <x v="220"/>
    <x v="171"/>
    <x v="6"/>
    <x v="220"/>
    <x v="0"/>
    <x v="0"/>
    <x v="1"/>
  </r>
  <r>
    <x v="221"/>
    <x v="0"/>
    <x v="19"/>
    <x v="202"/>
    <x v="221"/>
    <x v="0"/>
    <x v="37"/>
    <x v="221"/>
    <x v="0"/>
    <x v="0"/>
    <x v="3"/>
  </r>
  <r>
    <x v="222"/>
    <x v="3"/>
    <x v="19"/>
    <x v="203"/>
    <x v="222"/>
    <x v="172"/>
    <x v="71"/>
    <x v="222"/>
    <x v="1"/>
    <x v="20"/>
    <x v="3"/>
  </r>
  <r>
    <x v="223"/>
    <x v="4"/>
    <x v="2"/>
    <x v="204"/>
    <x v="223"/>
    <x v="94"/>
    <x v="33"/>
    <x v="223"/>
    <x v="0"/>
    <x v="0"/>
    <x v="8"/>
  </r>
  <r>
    <x v="224"/>
    <x v="2"/>
    <x v="15"/>
    <x v="205"/>
    <x v="224"/>
    <x v="128"/>
    <x v="2"/>
    <x v="224"/>
    <x v="0"/>
    <x v="0"/>
    <x v="2"/>
  </r>
  <r>
    <x v="225"/>
    <x v="3"/>
    <x v="9"/>
    <x v="206"/>
    <x v="225"/>
    <x v="8"/>
    <x v="61"/>
    <x v="225"/>
    <x v="0"/>
    <x v="0"/>
    <x v="1"/>
  </r>
  <r>
    <x v="226"/>
    <x v="4"/>
    <x v="9"/>
    <x v="207"/>
    <x v="226"/>
    <x v="62"/>
    <x v="25"/>
    <x v="226"/>
    <x v="0"/>
    <x v="0"/>
    <x v="1"/>
  </r>
  <r>
    <x v="227"/>
    <x v="4"/>
    <x v="1"/>
    <x v="208"/>
    <x v="227"/>
    <x v="106"/>
    <x v="48"/>
    <x v="227"/>
    <x v="0"/>
    <x v="0"/>
    <x v="3"/>
  </r>
  <r>
    <x v="228"/>
    <x v="0"/>
    <x v="4"/>
    <x v="209"/>
    <x v="228"/>
    <x v="173"/>
    <x v="59"/>
    <x v="228"/>
    <x v="0"/>
    <x v="0"/>
    <x v="5"/>
  </r>
  <r>
    <x v="229"/>
    <x v="2"/>
    <x v="10"/>
    <x v="210"/>
    <x v="229"/>
    <x v="92"/>
    <x v="12"/>
    <x v="229"/>
    <x v="0"/>
    <x v="0"/>
    <x v="8"/>
  </r>
  <r>
    <x v="230"/>
    <x v="0"/>
    <x v="1"/>
    <x v="211"/>
    <x v="230"/>
    <x v="174"/>
    <x v="66"/>
    <x v="230"/>
    <x v="0"/>
    <x v="0"/>
    <x v="3"/>
  </r>
  <r>
    <x v="231"/>
    <x v="0"/>
    <x v="16"/>
    <x v="212"/>
    <x v="231"/>
    <x v="175"/>
    <x v="36"/>
    <x v="231"/>
    <x v="0"/>
    <x v="0"/>
    <x v="1"/>
  </r>
  <r>
    <x v="232"/>
    <x v="3"/>
    <x v="5"/>
    <x v="213"/>
    <x v="232"/>
    <x v="176"/>
    <x v="42"/>
    <x v="232"/>
    <x v="0"/>
    <x v="0"/>
    <x v="1"/>
  </r>
  <r>
    <x v="233"/>
    <x v="2"/>
    <x v="5"/>
    <x v="214"/>
    <x v="233"/>
    <x v="177"/>
    <x v="17"/>
    <x v="233"/>
    <x v="0"/>
    <x v="0"/>
    <x v="1"/>
  </r>
  <r>
    <x v="234"/>
    <x v="2"/>
    <x v="18"/>
    <x v="215"/>
    <x v="234"/>
    <x v="57"/>
    <x v="67"/>
    <x v="234"/>
    <x v="0"/>
    <x v="0"/>
    <x v="9"/>
  </r>
  <r>
    <x v="235"/>
    <x v="2"/>
    <x v="13"/>
    <x v="68"/>
    <x v="235"/>
    <x v="178"/>
    <x v="47"/>
    <x v="235"/>
    <x v="0"/>
    <x v="0"/>
    <x v="1"/>
  </r>
  <r>
    <x v="236"/>
    <x v="4"/>
    <x v="14"/>
    <x v="216"/>
    <x v="236"/>
    <x v="150"/>
    <x v="28"/>
    <x v="236"/>
    <x v="0"/>
    <x v="0"/>
    <x v="1"/>
  </r>
  <r>
    <x v="237"/>
    <x v="4"/>
    <x v="14"/>
    <x v="189"/>
    <x v="237"/>
    <x v="152"/>
    <x v="67"/>
    <x v="237"/>
    <x v="0"/>
    <x v="0"/>
    <x v="1"/>
  </r>
  <r>
    <x v="238"/>
    <x v="0"/>
    <x v="4"/>
    <x v="217"/>
    <x v="238"/>
    <x v="175"/>
    <x v="6"/>
    <x v="238"/>
    <x v="0"/>
    <x v="0"/>
    <x v="5"/>
  </r>
  <r>
    <x v="239"/>
    <x v="3"/>
    <x v="20"/>
    <x v="218"/>
    <x v="239"/>
    <x v="179"/>
    <x v="27"/>
    <x v="239"/>
    <x v="0"/>
    <x v="0"/>
    <x v="0"/>
  </r>
  <r>
    <x v="240"/>
    <x v="3"/>
    <x v="16"/>
    <x v="219"/>
    <x v="240"/>
    <x v="180"/>
    <x v="56"/>
    <x v="240"/>
    <x v="0"/>
    <x v="0"/>
    <x v="1"/>
  </r>
  <r>
    <x v="241"/>
    <x v="1"/>
    <x v="13"/>
    <x v="220"/>
    <x v="241"/>
    <x v="181"/>
    <x v="72"/>
    <x v="241"/>
    <x v="0"/>
    <x v="0"/>
    <x v="1"/>
  </r>
  <r>
    <x v="242"/>
    <x v="4"/>
    <x v="18"/>
    <x v="221"/>
    <x v="242"/>
    <x v="182"/>
    <x v="22"/>
    <x v="242"/>
    <x v="0"/>
    <x v="0"/>
    <x v="9"/>
  </r>
  <r>
    <x v="243"/>
    <x v="0"/>
    <x v="16"/>
    <x v="152"/>
    <x v="243"/>
    <x v="183"/>
    <x v="48"/>
    <x v="243"/>
    <x v="0"/>
    <x v="0"/>
    <x v="1"/>
  </r>
  <r>
    <x v="244"/>
    <x v="1"/>
    <x v="11"/>
    <x v="222"/>
    <x v="244"/>
    <x v="16"/>
    <x v="18"/>
    <x v="244"/>
    <x v="0"/>
    <x v="0"/>
    <x v="2"/>
  </r>
  <r>
    <x v="245"/>
    <x v="0"/>
    <x v="10"/>
    <x v="223"/>
    <x v="245"/>
    <x v="184"/>
    <x v="72"/>
    <x v="245"/>
    <x v="0"/>
    <x v="0"/>
    <x v="8"/>
  </r>
  <r>
    <x v="246"/>
    <x v="2"/>
    <x v="1"/>
    <x v="139"/>
    <x v="246"/>
    <x v="185"/>
    <x v="73"/>
    <x v="246"/>
    <x v="0"/>
    <x v="0"/>
    <x v="3"/>
  </r>
  <r>
    <x v="247"/>
    <x v="2"/>
    <x v="12"/>
    <x v="224"/>
    <x v="247"/>
    <x v="186"/>
    <x v="45"/>
    <x v="247"/>
    <x v="0"/>
    <x v="0"/>
    <x v="4"/>
  </r>
  <r>
    <x v="248"/>
    <x v="1"/>
    <x v="18"/>
    <x v="225"/>
    <x v="248"/>
    <x v="113"/>
    <x v="3"/>
    <x v="248"/>
    <x v="0"/>
    <x v="0"/>
    <x v="9"/>
  </r>
  <r>
    <x v="249"/>
    <x v="0"/>
    <x v="2"/>
    <x v="226"/>
    <x v="249"/>
    <x v="152"/>
    <x v="28"/>
    <x v="249"/>
    <x v="0"/>
    <x v="0"/>
    <x v="8"/>
  </r>
  <r>
    <x v="250"/>
    <x v="0"/>
    <x v="17"/>
    <x v="227"/>
    <x v="250"/>
    <x v="187"/>
    <x v="2"/>
    <x v="250"/>
    <x v="0"/>
    <x v="0"/>
    <x v="8"/>
  </r>
  <r>
    <x v="251"/>
    <x v="3"/>
    <x v="5"/>
    <x v="228"/>
    <x v="251"/>
    <x v="188"/>
    <x v="67"/>
    <x v="251"/>
    <x v="0"/>
    <x v="0"/>
    <x v="1"/>
  </r>
  <r>
    <x v="252"/>
    <x v="4"/>
    <x v="9"/>
    <x v="207"/>
    <x v="252"/>
    <x v="189"/>
    <x v="40"/>
    <x v="252"/>
    <x v="0"/>
    <x v="0"/>
    <x v="1"/>
  </r>
  <r>
    <x v="253"/>
    <x v="2"/>
    <x v="7"/>
    <x v="229"/>
    <x v="253"/>
    <x v="35"/>
    <x v="32"/>
    <x v="253"/>
    <x v="0"/>
    <x v="0"/>
    <x v="2"/>
  </r>
  <r>
    <x v="254"/>
    <x v="4"/>
    <x v="19"/>
    <x v="107"/>
    <x v="254"/>
    <x v="190"/>
    <x v="0"/>
    <x v="254"/>
    <x v="0"/>
    <x v="0"/>
    <x v="3"/>
  </r>
  <r>
    <x v="255"/>
    <x v="4"/>
    <x v="9"/>
    <x v="165"/>
    <x v="255"/>
    <x v="15"/>
    <x v="43"/>
    <x v="255"/>
    <x v="0"/>
    <x v="0"/>
    <x v="1"/>
  </r>
  <r>
    <x v="256"/>
    <x v="3"/>
    <x v="14"/>
    <x v="55"/>
    <x v="256"/>
    <x v="74"/>
    <x v="27"/>
    <x v="256"/>
    <x v="0"/>
    <x v="0"/>
    <x v="1"/>
  </r>
  <r>
    <x v="257"/>
    <x v="0"/>
    <x v="14"/>
    <x v="230"/>
    <x v="257"/>
    <x v="152"/>
    <x v="55"/>
    <x v="257"/>
    <x v="0"/>
    <x v="0"/>
    <x v="1"/>
  </r>
  <r>
    <x v="258"/>
    <x v="2"/>
    <x v="8"/>
    <x v="231"/>
    <x v="258"/>
    <x v="191"/>
    <x v="9"/>
    <x v="258"/>
    <x v="0"/>
    <x v="0"/>
    <x v="7"/>
  </r>
  <r>
    <x v="259"/>
    <x v="4"/>
    <x v="11"/>
    <x v="232"/>
    <x v="259"/>
    <x v="192"/>
    <x v="31"/>
    <x v="259"/>
    <x v="0"/>
    <x v="0"/>
    <x v="2"/>
  </r>
  <r>
    <x v="260"/>
    <x v="2"/>
    <x v="5"/>
    <x v="233"/>
    <x v="260"/>
    <x v="193"/>
    <x v="36"/>
    <x v="260"/>
    <x v="0"/>
    <x v="0"/>
    <x v="1"/>
  </r>
  <r>
    <x v="261"/>
    <x v="1"/>
    <x v="14"/>
    <x v="234"/>
    <x v="261"/>
    <x v="194"/>
    <x v="55"/>
    <x v="261"/>
    <x v="0"/>
    <x v="0"/>
    <x v="1"/>
  </r>
  <r>
    <x v="262"/>
    <x v="1"/>
    <x v="3"/>
    <x v="235"/>
    <x v="262"/>
    <x v="195"/>
    <x v="4"/>
    <x v="262"/>
    <x v="0"/>
    <x v="0"/>
    <x v="6"/>
  </r>
  <r>
    <x v="263"/>
    <x v="1"/>
    <x v="8"/>
    <x v="236"/>
    <x v="263"/>
    <x v="196"/>
    <x v="74"/>
    <x v="263"/>
    <x v="0"/>
    <x v="0"/>
    <x v="7"/>
  </r>
  <r>
    <x v="264"/>
    <x v="0"/>
    <x v="15"/>
    <x v="237"/>
    <x v="264"/>
    <x v="197"/>
    <x v="37"/>
    <x v="264"/>
    <x v="0"/>
    <x v="0"/>
    <x v="2"/>
  </r>
  <r>
    <x v="265"/>
    <x v="1"/>
    <x v="10"/>
    <x v="54"/>
    <x v="265"/>
    <x v="198"/>
    <x v="8"/>
    <x v="265"/>
    <x v="0"/>
    <x v="0"/>
    <x v="8"/>
  </r>
  <r>
    <x v="266"/>
    <x v="2"/>
    <x v="4"/>
    <x v="238"/>
    <x v="266"/>
    <x v="199"/>
    <x v="27"/>
    <x v="266"/>
    <x v="0"/>
    <x v="0"/>
    <x v="5"/>
  </r>
  <r>
    <x v="267"/>
    <x v="4"/>
    <x v="11"/>
    <x v="239"/>
    <x v="267"/>
    <x v="163"/>
    <x v="47"/>
    <x v="267"/>
    <x v="0"/>
    <x v="0"/>
    <x v="2"/>
  </r>
  <r>
    <x v="268"/>
    <x v="0"/>
    <x v="5"/>
    <x v="240"/>
    <x v="268"/>
    <x v="200"/>
    <x v="54"/>
    <x v="268"/>
    <x v="0"/>
    <x v="0"/>
    <x v="1"/>
  </r>
  <r>
    <x v="269"/>
    <x v="1"/>
    <x v="13"/>
    <x v="241"/>
    <x v="269"/>
    <x v="201"/>
    <x v="73"/>
    <x v="269"/>
    <x v="0"/>
    <x v="0"/>
    <x v="1"/>
  </r>
  <r>
    <x v="270"/>
    <x v="3"/>
    <x v="19"/>
    <x v="242"/>
    <x v="270"/>
    <x v="202"/>
    <x v="70"/>
    <x v="270"/>
    <x v="0"/>
    <x v="0"/>
    <x v="3"/>
  </r>
  <r>
    <x v="271"/>
    <x v="1"/>
    <x v="19"/>
    <x v="243"/>
    <x v="271"/>
    <x v="203"/>
    <x v="26"/>
    <x v="271"/>
    <x v="0"/>
    <x v="0"/>
    <x v="3"/>
  </r>
  <r>
    <x v="272"/>
    <x v="4"/>
    <x v="14"/>
    <x v="244"/>
    <x v="272"/>
    <x v="126"/>
    <x v="14"/>
    <x v="272"/>
    <x v="0"/>
    <x v="0"/>
    <x v="1"/>
  </r>
  <r>
    <x v="273"/>
    <x v="2"/>
    <x v="20"/>
    <x v="245"/>
    <x v="273"/>
    <x v="18"/>
    <x v="35"/>
    <x v="273"/>
    <x v="0"/>
    <x v="0"/>
    <x v="0"/>
  </r>
  <r>
    <x v="274"/>
    <x v="2"/>
    <x v="9"/>
    <x v="60"/>
    <x v="274"/>
    <x v="204"/>
    <x v="16"/>
    <x v="274"/>
    <x v="0"/>
    <x v="0"/>
    <x v="1"/>
  </r>
  <r>
    <x v="275"/>
    <x v="2"/>
    <x v="3"/>
    <x v="246"/>
    <x v="275"/>
    <x v="114"/>
    <x v="2"/>
    <x v="275"/>
    <x v="0"/>
    <x v="0"/>
    <x v="6"/>
  </r>
  <r>
    <x v="276"/>
    <x v="2"/>
    <x v="12"/>
    <x v="247"/>
    <x v="276"/>
    <x v="205"/>
    <x v="68"/>
    <x v="276"/>
    <x v="0"/>
    <x v="0"/>
    <x v="4"/>
  </r>
  <r>
    <x v="277"/>
    <x v="2"/>
    <x v="1"/>
    <x v="248"/>
    <x v="277"/>
    <x v="206"/>
    <x v="45"/>
    <x v="277"/>
    <x v="0"/>
    <x v="0"/>
    <x v="3"/>
  </r>
  <r>
    <x v="278"/>
    <x v="3"/>
    <x v="20"/>
    <x v="249"/>
    <x v="278"/>
    <x v="207"/>
    <x v="21"/>
    <x v="278"/>
    <x v="0"/>
    <x v="0"/>
    <x v="0"/>
  </r>
  <r>
    <x v="279"/>
    <x v="3"/>
    <x v="9"/>
    <x v="250"/>
    <x v="279"/>
    <x v="208"/>
    <x v="22"/>
    <x v="279"/>
    <x v="0"/>
    <x v="0"/>
    <x v="1"/>
  </r>
  <r>
    <x v="280"/>
    <x v="3"/>
    <x v="11"/>
    <x v="187"/>
    <x v="280"/>
    <x v="122"/>
    <x v="43"/>
    <x v="280"/>
    <x v="0"/>
    <x v="0"/>
    <x v="2"/>
  </r>
  <r>
    <x v="281"/>
    <x v="4"/>
    <x v="9"/>
    <x v="251"/>
    <x v="281"/>
    <x v="99"/>
    <x v="68"/>
    <x v="281"/>
    <x v="0"/>
    <x v="0"/>
    <x v="1"/>
  </r>
  <r>
    <x v="282"/>
    <x v="0"/>
    <x v="10"/>
    <x v="252"/>
    <x v="282"/>
    <x v="209"/>
    <x v="1"/>
    <x v="282"/>
    <x v="0"/>
    <x v="0"/>
    <x v="8"/>
  </r>
  <r>
    <x v="283"/>
    <x v="0"/>
    <x v="17"/>
    <x v="253"/>
    <x v="283"/>
    <x v="210"/>
    <x v="59"/>
    <x v="283"/>
    <x v="1"/>
    <x v="21"/>
    <x v="8"/>
  </r>
  <r>
    <x v="284"/>
    <x v="0"/>
    <x v="7"/>
    <x v="254"/>
    <x v="284"/>
    <x v="211"/>
    <x v="2"/>
    <x v="284"/>
    <x v="0"/>
    <x v="0"/>
    <x v="2"/>
  </r>
  <r>
    <x v="285"/>
    <x v="1"/>
    <x v="9"/>
    <x v="172"/>
    <x v="285"/>
    <x v="212"/>
    <x v="47"/>
    <x v="285"/>
    <x v="0"/>
    <x v="0"/>
    <x v="1"/>
  </r>
  <r>
    <x v="286"/>
    <x v="2"/>
    <x v="17"/>
    <x v="255"/>
    <x v="286"/>
    <x v="213"/>
    <x v="3"/>
    <x v="286"/>
    <x v="0"/>
    <x v="0"/>
    <x v="8"/>
  </r>
  <r>
    <x v="287"/>
    <x v="3"/>
    <x v="9"/>
    <x v="256"/>
    <x v="287"/>
    <x v="177"/>
    <x v="27"/>
    <x v="287"/>
    <x v="0"/>
    <x v="0"/>
    <x v="1"/>
  </r>
  <r>
    <x v="288"/>
    <x v="3"/>
    <x v="13"/>
    <x v="257"/>
    <x v="288"/>
    <x v="119"/>
    <x v="0"/>
    <x v="288"/>
    <x v="0"/>
    <x v="0"/>
    <x v="1"/>
  </r>
  <r>
    <x v="289"/>
    <x v="2"/>
    <x v="1"/>
    <x v="258"/>
    <x v="289"/>
    <x v="214"/>
    <x v="52"/>
    <x v="289"/>
    <x v="0"/>
    <x v="0"/>
    <x v="3"/>
  </r>
  <r>
    <x v="290"/>
    <x v="0"/>
    <x v="3"/>
    <x v="259"/>
    <x v="290"/>
    <x v="183"/>
    <x v="43"/>
    <x v="290"/>
    <x v="0"/>
    <x v="0"/>
    <x v="6"/>
  </r>
  <r>
    <x v="291"/>
    <x v="2"/>
    <x v="16"/>
    <x v="260"/>
    <x v="291"/>
    <x v="49"/>
    <x v="58"/>
    <x v="291"/>
    <x v="0"/>
    <x v="0"/>
    <x v="1"/>
  </r>
  <r>
    <x v="292"/>
    <x v="3"/>
    <x v="11"/>
    <x v="261"/>
    <x v="292"/>
    <x v="215"/>
    <x v="32"/>
    <x v="292"/>
    <x v="0"/>
    <x v="0"/>
    <x v="2"/>
  </r>
  <r>
    <x v="293"/>
    <x v="1"/>
    <x v="7"/>
    <x v="262"/>
    <x v="293"/>
    <x v="216"/>
    <x v="73"/>
    <x v="293"/>
    <x v="0"/>
    <x v="0"/>
    <x v="2"/>
  </r>
  <r>
    <x v="294"/>
    <x v="0"/>
    <x v="7"/>
    <x v="262"/>
    <x v="294"/>
    <x v="217"/>
    <x v="13"/>
    <x v="294"/>
    <x v="0"/>
    <x v="0"/>
    <x v="2"/>
  </r>
  <r>
    <x v="295"/>
    <x v="3"/>
    <x v="6"/>
    <x v="263"/>
    <x v="295"/>
    <x v="218"/>
    <x v="42"/>
    <x v="295"/>
    <x v="0"/>
    <x v="0"/>
    <x v="8"/>
  </r>
  <r>
    <x v="296"/>
    <x v="4"/>
    <x v="5"/>
    <x v="264"/>
    <x v="296"/>
    <x v="219"/>
    <x v="19"/>
    <x v="296"/>
    <x v="0"/>
    <x v="0"/>
    <x v="1"/>
  </r>
  <r>
    <x v="297"/>
    <x v="4"/>
    <x v="17"/>
    <x v="265"/>
    <x v="297"/>
    <x v="7"/>
    <x v="60"/>
    <x v="297"/>
    <x v="0"/>
    <x v="0"/>
    <x v="8"/>
  </r>
  <r>
    <x v="298"/>
    <x v="0"/>
    <x v="11"/>
    <x v="266"/>
    <x v="298"/>
    <x v="220"/>
    <x v="33"/>
    <x v="298"/>
    <x v="1"/>
    <x v="22"/>
    <x v="2"/>
  </r>
  <r>
    <x v="299"/>
    <x v="0"/>
    <x v="10"/>
    <x v="267"/>
    <x v="299"/>
    <x v="221"/>
    <x v="22"/>
    <x v="299"/>
    <x v="0"/>
    <x v="0"/>
    <x v="8"/>
  </r>
  <r>
    <x v="300"/>
    <x v="4"/>
    <x v="14"/>
    <x v="268"/>
    <x v="300"/>
    <x v="110"/>
    <x v="5"/>
    <x v="300"/>
    <x v="0"/>
    <x v="0"/>
    <x v="1"/>
  </r>
  <r>
    <x v="301"/>
    <x v="4"/>
    <x v="19"/>
    <x v="269"/>
    <x v="301"/>
    <x v="2"/>
    <x v="2"/>
    <x v="301"/>
    <x v="0"/>
    <x v="0"/>
    <x v="3"/>
  </r>
  <r>
    <x v="302"/>
    <x v="3"/>
    <x v="20"/>
    <x v="270"/>
    <x v="302"/>
    <x v="65"/>
    <x v="18"/>
    <x v="302"/>
    <x v="0"/>
    <x v="0"/>
    <x v="0"/>
  </r>
  <r>
    <x v="303"/>
    <x v="2"/>
    <x v="11"/>
    <x v="271"/>
    <x v="303"/>
    <x v="123"/>
    <x v="2"/>
    <x v="303"/>
    <x v="0"/>
    <x v="0"/>
    <x v="2"/>
  </r>
  <r>
    <x v="304"/>
    <x v="3"/>
    <x v="2"/>
    <x v="272"/>
    <x v="304"/>
    <x v="222"/>
    <x v="23"/>
    <x v="304"/>
    <x v="0"/>
    <x v="0"/>
    <x v="8"/>
  </r>
  <r>
    <x v="305"/>
    <x v="0"/>
    <x v="8"/>
    <x v="273"/>
    <x v="305"/>
    <x v="33"/>
    <x v="70"/>
    <x v="305"/>
    <x v="0"/>
    <x v="0"/>
    <x v="7"/>
  </r>
  <r>
    <x v="306"/>
    <x v="0"/>
    <x v="8"/>
    <x v="56"/>
    <x v="306"/>
    <x v="223"/>
    <x v="4"/>
    <x v="306"/>
    <x v="0"/>
    <x v="0"/>
    <x v="7"/>
  </r>
  <r>
    <x v="307"/>
    <x v="0"/>
    <x v="14"/>
    <x v="193"/>
    <x v="307"/>
    <x v="0"/>
    <x v="36"/>
    <x v="307"/>
    <x v="0"/>
    <x v="0"/>
    <x v="1"/>
  </r>
  <r>
    <x v="308"/>
    <x v="0"/>
    <x v="20"/>
    <x v="188"/>
    <x v="308"/>
    <x v="147"/>
    <x v="58"/>
    <x v="308"/>
    <x v="0"/>
    <x v="0"/>
    <x v="0"/>
  </r>
  <r>
    <x v="309"/>
    <x v="2"/>
    <x v="20"/>
    <x v="274"/>
    <x v="309"/>
    <x v="86"/>
    <x v="49"/>
    <x v="309"/>
    <x v="0"/>
    <x v="0"/>
    <x v="0"/>
  </r>
  <r>
    <x v="310"/>
    <x v="1"/>
    <x v="5"/>
    <x v="275"/>
    <x v="310"/>
    <x v="5"/>
    <x v="46"/>
    <x v="310"/>
    <x v="0"/>
    <x v="0"/>
    <x v="1"/>
  </r>
  <r>
    <x v="311"/>
    <x v="3"/>
    <x v="16"/>
    <x v="276"/>
    <x v="311"/>
    <x v="224"/>
    <x v="61"/>
    <x v="311"/>
    <x v="0"/>
    <x v="0"/>
    <x v="1"/>
  </r>
  <r>
    <x v="312"/>
    <x v="1"/>
    <x v="19"/>
    <x v="277"/>
    <x v="312"/>
    <x v="225"/>
    <x v="22"/>
    <x v="312"/>
    <x v="0"/>
    <x v="0"/>
    <x v="3"/>
  </r>
  <r>
    <x v="313"/>
    <x v="1"/>
    <x v="17"/>
    <x v="278"/>
    <x v="313"/>
    <x v="226"/>
    <x v="34"/>
    <x v="313"/>
    <x v="0"/>
    <x v="0"/>
    <x v="8"/>
  </r>
  <r>
    <x v="314"/>
    <x v="4"/>
    <x v="4"/>
    <x v="147"/>
    <x v="314"/>
    <x v="61"/>
    <x v="70"/>
    <x v="314"/>
    <x v="0"/>
    <x v="0"/>
    <x v="5"/>
  </r>
  <r>
    <x v="315"/>
    <x v="2"/>
    <x v="14"/>
    <x v="279"/>
    <x v="315"/>
    <x v="227"/>
    <x v="73"/>
    <x v="315"/>
    <x v="1"/>
    <x v="23"/>
    <x v="1"/>
  </r>
  <r>
    <x v="316"/>
    <x v="3"/>
    <x v="12"/>
    <x v="280"/>
    <x v="316"/>
    <x v="213"/>
    <x v="33"/>
    <x v="316"/>
    <x v="0"/>
    <x v="0"/>
    <x v="4"/>
  </r>
  <r>
    <x v="317"/>
    <x v="1"/>
    <x v="17"/>
    <x v="281"/>
    <x v="317"/>
    <x v="228"/>
    <x v="37"/>
    <x v="317"/>
    <x v="1"/>
    <x v="24"/>
    <x v="8"/>
  </r>
  <r>
    <x v="318"/>
    <x v="0"/>
    <x v="3"/>
    <x v="282"/>
    <x v="318"/>
    <x v="151"/>
    <x v="38"/>
    <x v="318"/>
    <x v="0"/>
    <x v="0"/>
    <x v="6"/>
  </r>
  <r>
    <x v="319"/>
    <x v="2"/>
    <x v="17"/>
    <x v="100"/>
    <x v="319"/>
    <x v="229"/>
    <x v="62"/>
    <x v="319"/>
    <x v="0"/>
    <x v="0"/>
    <x v="8"/>
  </r>
  <r>
    <x v="320"/>
    <x v="4"/>
    <x v="9"/>
    <x v="283"/>
    <x v="320"/>
    <x v="29"/>
    <x v="46"/>
    <x v="320"/>
    <x v="0"/>
    <x v="0"/>
    <x v="1"/>
  </r>
  <r>
    <x v="321"/>
    <x v="4"/>
    <x v="19"/>
    <x v="284"/>
    <x v="321"/>
    <x v="230"/>
    <x v="34"/>
    <x v="321"/>
    <x v="0"/>
    <x v="0"/>
    <x v="3"/>
  </r>
  <r>
    <x v="322"/>
    <x v="1"/>
    <x v="19"/>
    <x v="285"/>
    <x v="322"/>
    <x v="127"/>
    <x v="58"/>
    <x v="322"/>
    <x v="0"/>
    <x v="0"/>
    <x v="3"/>
  </r>
  <r>
    <x v="323"/>
    <x v="1"/>
    <x v="1"/>
    <x v="286"/>
    <x v="323"/>
    <x v="231"/>
    <x v="3"/>
    <x v="323"/>
    <x v="0"/>
    <x v="0"/>
    <x v="3"/>
  </r>
  <r>
    <x v="324"/>
    <x v="4"/>
    <x v="10"/>
    <x v="287"/>
    <x v="324"/>
    <x v="125"/>
    <x v="62"/>
    <x v="324"/>
    <x v="0"/>
    <x v="0"/>
    <x v="8"/>
  </r>
  <r>
    <x v="325"/>
    <x v="3"/>
    <x v="7"/>
    <x v="183"/>
    <x v="325"/>
    <x v="79"/>
    <x v="26"/>
    <x v="325"/>
    <x v="0"/>
    <x v="0"/>
    <x v="2"/>
  </r>
  <r>
    <x v="326"/>
    <x v="0"/>
    <x v="12"/>
    <x v="288"/>
    <x v="326"/>
    <x v="232"/>
    <x v="54"/>
    <x v="326"/>
    <x v="1"/>
    <x v="25"/>
    <x v="4"/>
  </r>
  <r>
    <x v="327"/>
    <x v="2"/>
    <x v="15"/>
    <x v="57"/>
    <x v="327"/>
    <x v="181"/>
    <x v="24"/>
    <x v="327"/>
    <x v="0"/>
    <x v="0"/>
    <x v="2"/>
  </r>
  <r>
    <x v="328"/>
    <x v="4"/>
    <x v="4"/>
    <x v="289"/>
    <x v="328"/>
    <x v="10"/>
    <x v="23"/>
    <x v="328"/>
    <x v="1"/>
    <x v="26"/>
    <x v="5"/>
  </r>
  <r>
    <x v="329"/>
    <x v="4"/>
    <x v="7"/>
    <x v="290"/>
    <x v="329"/>
    <x v="11"/>
    <x v="4"/>
    <x v="329"/>
    <x v="0"/>
    <x v="0"/>
    <x v="2"/>
  </r>
  <r>
    <x v="330"/>
    <x v="1"/>
    <x v="3"/>
    <x v="66"/>
    <x v="330"/>
    <x v="64"/>
    <x v="7"/>
    <x v="330"/>
    <x v="0"/>
    <x v="0"/>
    <x v="6"/>
  </r>
  <r>
    <x v="331"/>
    <x v="4"/>
    <x v="17"/>
    <x v="291"/>
    <x v="331"/>
    <x v="233"/>
    <x v="34"/>
    <x v="331"/>
    <x v="0"/>
    <x v="0"/>
    <x v="8"/>
  </r>
  <r>
    <x v="332"/>
    <x v="0"/>
    <x v="4"/>
    <x v="292"/>
    <x v="332"/>
    <x v="232"/>
    <x v="5"/>
    <x v="332"/>
    <x v="0"/>
    <x v="0"/>
    <x v="5"/>
  </r>
  <r>
    <x v="333"/>
    <x v="3"/>
    <x v="9"/>
    <x v="172"/>
    <x v="333"/>
    <x v="74"/>
    <x v="66"/>
    <x v="333"/>
    <x v="0"/>
    <x v="0"/>
    <x v="1"/>
  </r>
  <r>
    <x v="334"/>
    <x v="0"/>
    <x v="2"/>
    <x v="293"/>
    <x v="334"/>
    <x v="29"/>
    <x v="54"/>
    <x v="334"/>
    <x v="0"/>
    <x v="0"/>
    <x v="8"/>
  </r>
  <r>
    <x v="335"/>
    <x v="1"/>
    <x v="1"/>
    <x v="294"/>
    <x v="335"/>
    <x v="234"/>
    <x v="67"/>
    <x v="335"/>
    <x v="0"/>
    <x v="0"/>
    <x v="3"/>
  </r>
  <r>
    <x v="336"/>
    <x v="0"/>
    <x v="13"/>
    <x v="67"/>
    <x v="336"/>
    <x v="11"/>
    <x v="8"/>
    <x v="336"/>
    <x v="0"/>
    <x v="0"/>
    <x v="1"/>
  </r>
  <r>
    <x v="337"/>
    <x v="4"/>
    <x v="20"/>
    <x v="295"/>
    <x v="337"/>
    <x v="198"/>
    <x v="17"/>
    <x v="337"/>
    <x v="0"/>
    <x v="0"/>
    <x v="0"/>
  </r>
  <r>
    <x v="338"/>
    <x v="1"/>
    <x v="5"/>
    <x v="296"/>
    <x v="338"/>
    <x v="90"/>
    <x v="0"/>
    <x v="338"/>
    <x v="0"/>
    <x v="0"/>
    <x v="1"/>
  </r>
  <r>
    <x v="339"/>
    <x v="0"/>
    <x v="9"/>
    <x v="297"/>
    <x v="339"/>
    <x v="235"/>
    <x v="67"/>
    <x v="339"/>
    <x v="0"/>
    <x v="0"/>
    <x v="1"/>
  </r>
  <r>
    <x v="340"/>
    <x v="1"/>
    <x v="5"/>
    <x v="233"/>
    <x v="340"/>
    <x v="105"/>
    <x v="23"/>
    <x v="340"/>
    <x v="0"/>
    <x v="0"/>
    <x v="1"/>
  </r>
  <r>
    <x v="341"/>
    <x v="4"/>
    <x v="3"/>
    <x v="298"/>
    <x v="341"/>
    <x v="164"/>
    <x v="13"/>
    <x v="341"/>
    <x v="0"/>
    <x v="0"/>
    <x v="6"/>
  </r>
  <r>
    <x v="342"/>
    <x v="4"/>
    <x v="20"/>
    <x v="299"/>
    <x v="342"/>
    <x v="236"/>
    <x v="58"/>
    <x v="342"/>
    <x v="0"/>
    <x v="0"/>
    <x v="0"/>
  </r>
  <r>
    <x v="343"/>
    <x v="3"/>
    <x v="3"/>
    <x v="300"/>
    <x v="343"/>
    <x v="92"/>
    <x v="15"/>
    <x v="343"/>
    <x v="0"/>
    <x v="0"/>
    <x v="6"/>
  </r>
  <r>
    <x v="344"/>
    <x v="0"/>
    <x v="6"/>
    <x v="301"/>
    <x v="344"/>
    <x v="235"/>
    <x v="7"/>
    <x v="344"/>
    <x v="0"/>
    <x v="0"/>
    <x v="8"/>
  </r>
  <r>
    <x v="345"/>
    <x v="4"/>
    <x v="6"/>
    <x v="302"/>
    <x v="345"/>
    <x v="61"/>
    <x v="22"/>
    <x v="345"/>
    <x v="0"/>
    <x v="0"/>
    <x v="8"/>
  </r>
  <r>
    <x v="346"/>
    <x v="0"/>
    <x v="17"/>
    <x v="303"/>
    <x v="346"/>
    <x v="237"/>
    <x v="52"/>
    <x v="346"/>
    <x v="0"/>
    <x v="0"/>
    <x v="8"/>
  </r>
  <r>
    <x v="347"/>
    <x v="1"/>
    <x v="3"/>
    <x v="304"/>
    <x v="347"/>
    <x v="238"/>
    <x v="72"/>
    <x v="347"/>
    <x v="0"/>
    <x v="0"/>
    <x v="6"/>
  </r>
  <r>
    <x v="348"/>
    <x v="2"/>
    <x v="11"/>
    <x v="305"/>
    <x v="348"/>
    <x v="239"/>
    <x v="72"/>
    <x v="348"/>
    <x v="0"/>
    <x v="0"/>
    <x v="2"/>
  </r>
  <r>
    <x v="349"/>
    <x v="0"/>
    <x v="15"/>
    <x v="306"/>
    <x v="349"/>
    <x v="240"/>
    <x v="0"/>
    <x v="349"/>
    <x v="0"/>
    <x v="0"/>
    <x v="2"/>
  </r>
  <r>
    <x v="350"/>
    <x v="0"/>
    <x v="9"/>
    <x v="307"/>
    <x v="350"/>
    <x v="241"/>
    <x v="69"/>
    <x v="350"/>
    <x v="0"/>
    <x v="0"/>
    <x v="1"/>
  </r>
  <r>
    <x v="351"/>
    <x v="2"/>
    <x v="17"/>
    <x v="308"/>
    <x v="351"/>
    <x v="242"/>
    <x v="11"/>
    <x v="351"/>
    <x v="0"/>
    <x v="0"/>
    <x v="8"/>
  </r>
  <r>
    <x v="352"/>
    <x v="3"/>
    <x v="9"/>
    <x v="307"/>
    <x v="352"/>
    <x v="243"/>
    <x v="69"/>
    <x v="352"/>
    <x v="0"/>
    <x v="0"/>
    <x v="1"/>
  </r>
  <r>
    <x v="353"/>
    <x v="4"/>
    <x v="3"/>
    <x v="309"/>
    <x v="353"/>
    <x v="244"/>
    <x v="49"/>
    <x v="353"/>
    <x v="0"/>
    <x v="0"/>
    <x v="6"/>
  </r>
  <r>
    <x v="354"/>
    <x v="2"/>
    <x v="18"/>
    <x v="310"/>
    <x v="354"/>
    <x v="37"/>
    <x v="74"/>
    <x v="354"/>
    <x v="0"/>
    <x v="0"/>
    <x v="9"/>
  </r>
  <r>
    <x v="355"/>
    <x v="1"/>
    <x v="2"/>
    <x v="170"/>
    <x v="355"/>
    <x v="40"/>
    <x v="60"/>
    <x v="355"/>
    <x v="0"/>
    <x v="0"/>
    <x v="8"/>
  </r>
  <r>
    <x v="356"/>
    <x v="0"/>
    <x v="17"/>
    <x v="311"/>
    <x v="356"/>
    <x v="175"/>
    <x v="11"/>
    <x v="356"/>
    <x v="0"/>
    <x v="0"/>
    <x v="8"/>
  </r>
  <r>
    <x v="357"/>
    <x v="4"/>
    <x v="18"/>
    <x v="312"/>
    <x v="357"/>
    <x v="187"/>
    <x v="24"/>
    <x v="357"/>
    <x v="0"/>
    <x v="0"/>
    <x v="9"/>
  </r>
  <r>
    <x v="358"/>
    <x v="4"/>
    <x v="4"/>
    <x v="313"/>
    <x v="358"/>
    <x v="113"/>
    <x v="63"/>
    <x v="358"/>
    <x v="0"/>
    <x v="0"/>
    <x v="5"/>
  </r>
  <r>
    <x v="359"/>
    <x v="0"/>
    <x v="10"/>
    <x v="314"/>
    <x v="359"/>
    <x v="245"/>
    <x v="62"/>
    <x v="359"/>
    <x v="1"/>
    <x v="27"/>
    <x v="8"/>
  </r>
  <r>
    <x v="360"/>
    <x v="4"/>
    <x v="6"/>
    <x v="315"/>
    <x v="360"/>
    <x v="138"/>
    <x v="66"/>
    <x v="360"/>
    <x v="0"/>
    <x v="0"/>
    <x v="8"/>
  </r>
  <r>
    <x v="361"/>
    <x v="1"/>
    <x v="14"/>
    <x v="316"/>
    <x v="361"/>
    <x v="2"/>
    <x v="34"/>
    <x v="361"/>
    <x v="0"/>
    <x v="0"/>
    <x v="1"/>
  </r>
  <r>
    <x v="362"/>
    <x v="1"/>
    <x v="15"/>
    <x v="317"/>
    <x v="362"/>
    <x v="90"/>
    <x v="56"/>
    <x v="362"/>
    <x v="0"/>
    <x v="0"/>
    <x v="2"/>
  </r>
  <r>
    <x v="363"/>
    <x v="0"/>
    <x v="16"/>
    <x v="318"/>
    <x v="363"/>
    <x v="246"/>
    <x v="40"/>
    <x v="363"/>
    <x v="0"/>
    <x v="0"/>
    <x v="1"/>
  </r>
  <r>
    <x v="364"/>
    <x v="3"/>
    <x v="6"/>
    <x v="319"/>
    <x v="364"/>
    <x v="247"/>
    <x v="46"/>
    <x v="364"/>
    <x v="0"/>
    <x v="0"/>
    <x v="8"/>
  </r>
  <r>
    <x v="365"/>
    <x v="2"/>
    <x v="13"/>
    <x v="320"/>
    <x v="365"/>
    <x v="248"/>
    <x v="47"/>
    <x v="365"/>
    <x v="0"/>
    <x v="0"/>
    <x v="1"/>
  </r>
  <r>
    <x v="366"/>
    <x v="3"/>
    <x v="10"/>
    <x v="321"/>
    <x v="366"/>
    <x v="249"/>
    <x v="13"/>
    <x v="366"/>
    <x v="0"/>
    <x v="0"/>
    <x v="8"/>
  </r>
  <r>
    <x v="367"/>
    <x v="4"/>
    <x v="10"/>
    <x v="322"/>
    <x v="367"/>
    <x v="154"/>
    <x v="59"/>
    <x v="367"/>
    <x v="0"/>
    <x v="0"/>
    <x v="8"/>
  </r>
  <r>
    <x v="368"/>
    <x v="0"/>
    <x v="3"/>
    <x v="323"/>
    <x v="368"/>
    <x v="250"/>
    <x v="12"/>
    <x v="368"/>
    <x v="0"/>
    <x v="0"/>
    <x v="6"/>
  </r>
  <r>
    <x v="369"/>
    <x v="2"/>
    <x v="10"/>
    <x v="324"/>
    <x v="369"/>
    <x v="251"/>
    <x v="45"/>
    <x v="369"/>
    <x v="0"/>
    <x v="0"/>
    <x v="8"/>
  </r>
  <r>
    <x v="370"/>
    <x v="0"/>
    <x v="7"/>
    <x v="325"/>
    <x v="370"/>
    <x v="175"/>
    <x v="16"/>
    <x v="370"/>
    <x v="0"/>
    <x v="0"/>
    <x v="2"/>
  </r>
  <r>
    <x v="371"/>
    <x v="4"/>
    <x v="16"/>
    <x v="326"/>
    <x v="371"/>
    <x v="231"/>
    <x v="75"/>
    <x v="371"/>
    <x v="0"/>
    <x v="0"/>
    <x v="1"/>
  </r>
  <r>
    <x v="372"/>
    <x v="2"/>
    <x v="6"/>
    <x v="327"/>
    <x v="372"/>
    <x v="123"/>
    <x v="8"/>
    <x v="372"/>
    <x v="1"/>
    <x v="28"/>
    <x v="8"/>
  </r>
  <r>
    <x v="373"/>
    <x v="3"/>
    <x v="18"/>
    <x v="328"/>
    <x v="373"/>
    <x v="4"/>
    <x v="11"/>
    <x v="373"/>
    <x v="0"/>
    <x v="0"/>
    <x v="9"/>
  </r>
  <r>
    <x v="374"/>
    <x v="1"/>
    <x v="17"/>
    <x v="329"/>
    <x v="374"/>
    <x v="159"/>
    <x v="16"/>
    <x v="374"/>
    <x v="0"/>
    <x v="0"/>
    <x v="8"/>
  </r>
  <r>
    <x v="375"/>
    <x v="4"/>
    <x v="15"/>
    <x v="330"/>
    <x v="375"/>
    <x v="252"/>
    <x v="52"/>
    <x v="375"/>
    <x v="0"/>
    <x v="0"/>
    <x v="2"/>
  </r>
  <r>
    <x v="376"/>
    <x v="1"/>
    <x v="15"/>
    <x v="331"/>
    <x v="376"/>
    <x v="253"/>
    <x v="22"/>
    <x v="376"/>
    <x v="0"/>
    <x v="0"/>
    <x v="2"/>
  </r>
  <r>
    <x v="377"/>
    <x v="4"/>
    <x v="20"/>
    <x v="332"/>
    <x v="377"/>
    <x v="254"/>
    <x v="56"/>
    <x v="377"/>
    <x v="0"/>
    <x v="0"/>
    <x v="0"/>
  </r>
  <r>
    <x v="378"/>
    <x v="1"/>
    <x v="18"/>
    <x v="333"/>
    <x v="378"/>
    <x v="113"/>
    <x v="51"/>
    <x v="378"/>
    <x v="0"/>
    <x v="0"/>
    <x v="9"/>
  </r>
  <r>
    <x v="379"/>
    <x v="1"/>
    <x v="1"/>
    <x v="286"/>
    <x v="379"/>
    <x v="255"/>
    <x v="47"/>
    <x v="379"/>
    <x v="0"/>
    <x v="0"/>
    <x v="3"/>
  </r>
  <r>
    <x v="380"/>
    <x v="2"/>
    <x v="14"/>
    <x v="334"/>
    <x v="380"/>
    <x v="256"/>
    <x v="33"/>
    <x v="380"/>
    <x v="0"/>
    <x v="0"/>
    <x v="1"/>
  </r>
  <r>
    <x v="381"/>
    <x v="0"/>
    <x v="14"/>
    <x v="335"/>
    <x v="381"/>
    <x v="241"/>
    <x v="1"/>
    <x v="381"/>
    <x v="0"/>
    <x v="0"/>
    <x v="1"/>
  </r>
  <r>
    <x v="382"/>
    <x v="0"/>
    <x v="20"/>
    <x v="336"/>
    <x v="382"/>
    <x v="7"/>
    <x v="41"/>
    <x v="382"/>
    <x v="0"/>
    <x v="0"/>
    <x v="0"/>
  </r>
  <r>
    <x v="383"/>
    <x v="2"/>
    <x v="2"/>
    <x v="337"/>
    <x v="383"/>
    <x v="74"/>
    <x v="11"/>
    <x v="383"/>
    <x v="0"/>
    <x v="0"/>
    <x v="8"/>
  </r>
  <r>
    <x v="384"/>
    <x v="1"/>
    <x v="10"/>
    <x v="252"/>
    <x v="384"/>
    <x v="121"/>
    <x v="45"/>
    <x v="384"/>
    <x v="0"/>
    <x v="0"/>
    <x v="8"/>
  </r>
  <r>
    <x v="385"/>
    <x v="2"/>
    <x v="6"/>
    <x v="338"/>
    <x v="385"/>
    <x v="257"/>
    <x v="27"/>
    <x v="385"/>
    <x v="0"/>
    <x v="0"/>
    <x v="8"/>
  </r>
  <r>
    <x v="386"/>
    <x v="4"/>
    <x v="19"/>
    <x v="339"/>
    <x v="386"/>
    <x v="110"/>
    <x v="18"/>
    <x v="386"/>
    <x v="0"/>
    <x v="0"/>
    <x v="3"/>
  </r>
  <r>
    <x v="387"/>
    <x v="3"/>
    <x v="1"/>
    <x v="134"/>
    <x v="387"/>
    <x v="248"/>
    <x v="48"/>
    <x v="387"/>
    <x v="1"/>
    <x v="29"/>
    <x v="3"/>
  </r>
  <r>
    <x v="388"/>
    <x v="0"/>
    <x v="16"/>
    <x v="340"/>
    <x v="388"/>
    <x v="258"/>
    <x v="23"/>
    <x v="388"/>
    <x v="0"/>
    <x v="0"/>
    <x v="1"/>
  </r>
  <r>
    <x v="389"/>
    <x v="1"/>
    <x v="14"/>
    <x v="341"/>
    <x v="389"/>
    <x v="85"/>
    <x v="50"/>
    <x v="389"/>
    <x v="0"/>
    <x v="0"/>
    <x v="1"/>
  </r>
  <r>
    <x v="390"/>
    <x v="0"/>
    <x v="2"/>
    <x v="342"/>
    <x v="390"/>
    <x v="27"/>
    <x v="12"/>
    <x v="390"/>
    <x v="0"/>
    <x v="0"/>
    <x v="8"/>
  </r>
  <r>
    <x v="391"/>
    <x v="2"/>
    <x v="18"/>
    <x v="343"/>
    <x v="391"/>
    <x v="259"/>
    <x v="18"/>
    <x v="391"/>
    <x v="0"/>
    <x v="0"/>
    <x v="9"/>
  </r>
  <r>
    <x v="392"/>
    <x v="0"/>
    <x v="13"/>
    <x v="344"/>
    <x v="392"/>
    <x v="260"/>
    <x v="51"/>
    <x v="392"/>
    <x v="0"/>
    <x v="0"/>
    <x v="1"/>
  </r>
  <r>
    <x v="393"/>
    <x v="4"/>
    <x v="2"/>
    <x v="345"/>
    <x v="393"/>
    <x v="90"/>
    <x v="12"/>
    <x v="393"/>
    <x v="0"/>
    <x v="0"/>
    <x v="8"/>
  </r>
  <r>
    <x v="394"/>
    <x v="2"/>
    <x v="12"/>
    <x v="346"/>
    <x v="394"/>
    <x v="261"/>
    <x v="23"/>
    <x v="394"/>
    <x v="0"/>
    <x v="0"/>
    <x v="4"/>
  </r>
  <r>
    <x v="395"/>
    <x v="2"/>
    <x v="20"/>
    <x v="347"/>
    <x v="395"/>
    <x v="262"/>
    <x v="57"/>
    <x v="395"/>
    <x v="1"/>
    <x v="30"/>
    <x v="0"/>
  </r>
  <r>
    <x v="396"/>
    <x v="3"/>
    <x v="1"/>
    <x v="348"/>
    <x v="396"/>
    <x v="129"/>
    <x v="76"/>
    <x v="396"/>
    <x v="1"/>
    <x v="31"/>
    <x v="3"/>
  </r>
  <r>
    <x v="397"/>
    <x v="0"/>
    <x v="12"/>
    <x v="349"/>
    <x v="397"/>
    <x v="263"/>
    <x v="24"/>
    <x v="397"/>
    <x v="0"/>
    <x v="0"/>
    <x v="4"/>
  </r>
  <r>
    <x v="398"/>
    <x v="0"/>
    <x v="19"/>
    <x v="350"/>
    <x v="398"/>
    <x v="264"/>
    <x v="29"/>
    <x v="398"/>
    <x v="0"/>
    <x v="0"/>
    <x v="3"/>
  </r>
  <r>
    <x v="399"/>
    <x v="3"/>
    <x v="13"/>
    <x v="351"/>
    <x v="399"/>
    <x v="265"/>
    <x v="17"/>
    <x v="399"/>
    <x v="0"/>
    <x v="0"/>
    <x v="1"/>
  </r>
  <r>
    <x v="400"/>
    <x v="2"/>
    <x v="11"/>
    <x v="352"/>
    <x v="400"/>
    <x v="186"/>
    <x v="15"/>
    <x v="400"/>
    <x v="0"/>
    <x v="0"/>
    <x v="2"/>
  </r>
  <r>
    <x v="401"/>
    <x v="3"/>
    <x v="6"/>
    <x v="353"/>
    <x v="401"/>
    <x v="266"/>
    <x v="11"/>
    <x v="401"/>
    <x v="0"/>
    <x v="0"/>
    <x v="8"/>
  </r>
  <r>
    <x v="402"/>
    <x v="4"/>
    <x v="1"/>
    <x v="354"/>
    <x v="402"/>
    <x v="82"/>
    <x v="0"/>
    <x v="402"/>
    <x v="0"/>
    <x v="0"/>
    <x v="3"/>
  </r>
  <r>
    <x v="403"/>
    <x v="1"/>
    <x v="17"/>
    <x v="355"/>
    <x v="403"/>
    <x v="267"/>
    <x v="56"/>
    <x v="403"/>
    <x v="0"/>
    <x v="0"/>
    <x v="8"/>
  </r>
  <r>
    <x v="404"/>
    <x v="3"/>
    <x v="20"/>
    <x v="270"/>
    <x v="404"/>
    <x v="188"/>
    <x v="61"/>
    <x v="404"/>
    <x v="0"/>
    <x v="0"/>
    <x v="0"/>
  </r>
  <r>
    <x v="405"/>
    <x v="4"/>
    <x v="16"/>
    <x v="356"/>
    <x v="405"/>
    <x v="158"/>
    <x v="52"/>
    <x v="405"/>
    <x v="0"/>
    <x v="0"/>
    <x v="1"/>
  </r>
  <r>
    <x v="406"/>
    <x v="1"/>
    <x v="15"/>
    <x v="357"/>
    <x v="406"/>
    <x v="268"/>
    <x v="14"/>
    <x v="406"/>
    <x v="0"/>
    <x v="0"/>
    <x v="2"/>
  </r>
  <r>
    <x v="407"/>
    <x v="0"/>
    <x v="5"/>
    <x v="358"/>
    <x v="407"/>
    <x v="269"/>
    <x v="39"/>
    <x v="407"/>
    <x v="0"/>
    <x v="0"/>
    <x v="1"/>
  </r>
  <r>
    <x v="408"/>
    <x v="4"/>
    <x v="11"/>
    <x v="305"/>
    <x v="408"/>
    <x v="270"/>
    <x v="55"/>
    <x v="408"/>
    <x v="0"/>
    <x v="0"/>
    <x v="2"/>
  </r>
  <r>
    <x v="409"/>
    <x v="1"/>
    <x v="5"/>
    <x v="175"/>
    <x v="409"/>
    <x v="246"/>
    <x v="67"/>
    <x v="409"/>
    <x v="0"/>
    <x v="0"/>
    <x v="1"/>
  </r>
  <r>
    <x v="410"/>
    <x v="3"/>
    <x v="18"/>
    <x v="359"/>
    <x v="410"/>
    <x v="271"/>
    <x v="69"/>
    <x v="410"/>
    <x v="0"/>
    <x v="0"/>
    <x v="9"/>
  </r>
  <r>
    <x v="411"/>
    <x v="0"/>
    <x v="5"/>
    <x v="360"/>
    <x v="411"/>
    <x v="3"/>
    <x v="21"/>
    <x v="411"/>
    <x v="0"/>
    <x v="0"/>
    <x v="1"/>
  </r>
  <r>
    <x v="412"/>
    <x v="0"/>
    <x v="17"/>
    <x v="355"/>
    <x v="412"/>
    <x v="174"/>
    <x v="26"/>
    <x v="412"/>
    <x v="0"/>
    <x v="0"/>
    <x v="8"/>
  </r>
  <r>
    <x v="413"/>
    <x v="3"/>
    <x v="13"/>
    <x v="361"/>
    <x v="413"/>
    <x v="131"/>
    <x v="11"/>
    <x v="413"/>
    <x v="0"/>
    <x v="0"/>
    <x v="1"/>
  </r>
  <r>
    <x v="414"/>
    <x v="1"/>
    <x v="10"/>
    <x v="362"/>
    <x v="414"/>
    <x v="42"/>
    <x v="28"/>
    <x v="414"/>
    <x v="0"/>
    <x v="0"/>
    <x v="8"/>
  </r>
  <r>
    <x v="415"/>
    <x v="2"/>
    <x v="9"/>
    <x v="363"/>
    <x v="415"/>
    <x v="272"/>
    <x v="56"/>
    <x v="415"/>
    <x v="0"/>
    <x v="0"/>
    <x v="1"/>
  </r>
  <r>
    <x v="416"/>
    <x v="0"/>
    <x v="15"/>
    <x v="106"/>
    <x v="416"/>
    <x v="273"/>
    <x v="67"/>
    <x v="416"/>
    <x v="0"/>
    <x v="0"/>
    <x v="2"/>
  </r>
  <r>
    <x v="417"/>
    <x v="4"/>
    <x v="1"/>
    <x v="101"/>
    <x v="417"/>
    <x v="125"/>
    <x v="43"/>
    <x v="417"/>
    <x v="0"/>
    <x v="0"/>
    <x v="3"/>
  </r>
  <r>
    <x v="418"/>
    <x v="0"/>
    <x v="5"/>
    <x v="364"/>
    <x v="418"/>
    <x v="0"/>
    <x v="20"/>
    <x v="418"/>
    <x v="1"/>
    <x v="32"/>
    <x v="1"/>
  </r>
  <r>
    <x v="419"/>
    <x v="2"/>
    <x v="5"/>
    <x v="365"/>
    <x v="419"/>
    <x v="274"/>
    <x v="14"/>
    <x v="419"/>
    <x v="0"/>
    <x v="0"/>
    <x v="1"/>
  </r>
  <r>
    <x v="420"/>
    <x v="4"/>
    <x v="9"/>
    <x v="366"/>
    <x v="420"/>
    <x v="76"/>
    <x v="70"/>
    <x v="420"/>
    <x v="0"/>
    <x v="0"/>
    <x v="1"/>
  </r>
  <r>
    <x v="421"/>
    <x v="2"/>
    <x v="10"/>
    <x v="367"/>
    <x v="421"/>
    <x v="157"/>
    <x v="61"/>
    <x v="421"/>
    <x v="0"/>
    <x v="0"/>
    <x v="8"/>
  </r>
  <r>
    <x v="422"/>
    <x v="0"/>
    <x v="17"/>
    <x v="368"/>
    <x v="422"/>
    <x v="24"/>
    <x v="60"/>
    <x v="422"/>
    <x v="0"/>
    <x v="0"/>
    <x v="8"/>
  </r>
  <r>
    <x v="423"/>
    <x v="0"/>
    <x v="2"/>
    <x v="369"/>
    <x v="423"/>
    <x v="36"/>
    <x v="32"/>
    <x v="423"/>
    <x v="0"/>
    <x v="0"/>
    <x v="8"/>
  </r>
  <r>
    <x v="424"/>
    <x v="1"/>
    <x v="2"/>
    <x v="370"/>
    <x v="424"/>
    <x v="158"/>
    <x v="9"/>
    <x v="424"/>
    <x v="0"/>
    <x v="0"/>
    <x v="8"/>
  </r>
  <r>
    <x v="425"/>
    <x v="3"/>
    <x v="13"/>
    <x v="371"/>
    <x v="425"/>
    <x v="196"/>
    <x v="22"/>
    <x v="425"/>
    <x v="0"/>
    <x v="0"/>
    <x v="1"/>
  </r>
  <r>
    <x v="426"/>
    <x v="0"/>
    <x v="17"/>
    <x v="372"/>
    <x v="426"/>
    <x v="275"/>
    <x v="5"/>
    <x v="426"/>
    <x v="0"/>
    <x v="0"/>
    <x v="8"/>
  </r>
  <r>
    <x v="427"/>
    <x v="3"/>
    <x v="1"/>
    <x v="373"/>
    <x v="427"/>
    <x v="121"/>
    <x v="77"/>
    <x v="427"/>
    <x v="1"/>
    <x v="33"/>
    <x v="3"/>
  </r>
  <r>
    <x v="428"/>
    <x v="1"/>
    <x v="14"/>
    <x v="374"/>
    <x v="428"/>
    <x v="276"/>
    <x v="32"/>
    <x v="428"/>
    <x v="0"/>
    <x v="0"/>
    <x v="1"/>
  </r>
  <r>
    <x v="429"/>
    <x v="0"/>
    <x v="12"/>
    <x v="375"/>
    <x v="429"/>
    <x v="277"/>
    <x v="69"/>
    <x v="429"/>
    <x v="1"/>
    <x v="34"/>
    <x v="4"/>
  </r>
  <r>
    <x v="430"/>
    <x v="3"/>
    <x v="3"/>
    <x v="376"/>
    <x v="430"/>
    <x v="278"/>
    <x v="8"/>
    <x v="430"/>
    <x v="0"/>
    <x v="0"/>
    <x v="6"/>
  </r>
  <r>
    <x v="431"/>
    <x v="2"/>
    <x v="2"/>
    <x v="377"/>
    <x v="431"/>
    <x v="279"/>
    <x v="67"/>
    <x v="431"/>
    <x v="0"/>
    <x v="0"/>
    <x v="8"/>
  </r>
  <r>
    <x v="432"/>
    <x v="0"/>
    <x v="14"/>
    <x v="341"/>
    <x v="432"/>
    <x v="217"/>
    <x v="19"/>
    <x v="432"/>
    <x v="0"/>
    <x v="0"/>
    <x v="1"/>
  </r>
  <r>
    <x v="433"/>
    <x v="2"/>
    <x v="1"/>
    <x v="378"/>
    <x v="433"/>
    <x v="70"/>
    <x v="60"/>
    <x v="433"/>
    <x v="1"/>
    <x v="35"/>
    <x v="3"/>
  </r>
  <r>
    <x v="434"/>
    <x v="2"/>
    <x v="19"/>
    <x v="379"/>
    <x v="434"/>
    <x v="25"/>
    <x v="49"/>
    <x v="434"/>
    <x v="0"/>
    <x v="0"/>
    <x v="3"/>
  </r>
  <r>
    <x v="435"/>
    <x v="2"/>
    <x v="1"/>
    <x v="380"/>
    <x v="435"/>
    <x v="280"/>
    <x v="29"/>
    <x v="435"/>
    <x v="0"/>
    <x v="0"/>
    <x v="3"/>
  </r>
  <r>
    <x v="436"/>
    <x v="4"/>
    <x v="20"/>
    <x v="381"/>
    <x v="436"/>
    <x v="61"/>
    <x v="13"/>
    <x v="436"/>
    <x v="0"/>
    <x v="0"/>
    <x v="0"/>
  </r>
  <r>
    <x v="437"/>
    <x v="3"/>
    <x v="19"/>
    <x v="382"/>
    <x v="437"/>
    <x v="216"/>
    <x v="34"/>
    <x v="437"/>
    <x v="0"/>
    <x v="0"/>
    <x v="3"/>
  </r>
  <r>
    <x v="438"/>
    <x v="0"/>
    <x v="13"/>
    <x v="383"/>
    <x v="438"/>
    <x v="281"/>
    <x v="67"/>
    <x v="438"/>
    <x v="0"/>
    <x v="0"/>
    <x v="1"/>
  </r>
  <r>
    <x v="439"/>
    <x v="4"/>
    <x v="6"/>
    <x v="384"/>
    <x v="439"/>
    <x v="151"/>
    <x v="37"/>
    <x v="439"/>
    <x v="0"/>
    <x v="0"/>
    <x v="8"/>
  </r>
  <r>
    <x v="440"/>
    <x v="3"/>
    <x v="15"/>
    <x v="385"/>
    <x v="440"/>
    <x v="114"/>
    <x v="69"/>
    <x v="440"/>
    <x v="0"/>
    <x v="0"/>
    <x v="2"/>
  </r>
  <r>
    <x v="441"/>
    <x v="3"/>
    <x v="1"/>
    <x v="386"/>
    <x v="441"/>
    <x v="22"/>
    <x v="59"/>
    <x v="441"/>
    <x v="0"/>
    <x v="0"/>
    <x v="3"/>
  </r>
  <r>
    <x v="442"/>
    <x v="0"/>
    <x v="11"/>
    <x v="387"/>
    <x v="442"/>
    <x v="194"/>
    <x v="9"/>
    <x v="442"/>
    <x v="0"/>
    <x v="0"/>
    <x v="2"/>
  </r>
  <r>
    <x v="443"/>
    <x v="0"/>
    <x v="2"/>
    <x v="388"/>
    <x v="443"/>
    <x v="155"/>
    <x v="70"/>
    <x v="443"/>
    <x v="0"/>
    <x v="0"/>
    <x v="8"/>
  </r>
  <r>
    <x v="444"/>
    <x v="3"/>
    <x v="16"/>
    <x v="260"/>
    <x v="444"/>
    <x v="179"/>
    <x v="5"/>
    <x v="444"/>
    <x v="0"/>
    <x v="0"/>
    <x v="1"/>
  </r>
  <r>
    <x v="445"/>
    <x v="2"/>
    <x v="1"/>
    <x v="389"/>
    <x v="445"/>
    <x v="157"/>
    <x v="25"/>
    <x v="445"/>
    <x v="0"/>
    <x v="0"/>
    <x v="3"/>
  </r>
  <r>
    <x v="446"/>
    <x v="3"/>
    <x v="5"/>
    <x v="390"/>
    <x v="446"/>
    <x v="266"/>
    <x v="23"/>
    <x v="446"/>
    <x v="0"/>
    <x v="0"/>
    <x v="1"/>
  </r>
  <r>
    <x v="447"/>
    <x v="2"/>
    <x v="6"/>
    <x v="391"/>
    <x v="447"/>
    <x v="107"/>
    <x v="43"/>
    <x v="447"/>
    <x v="0"/>
    <x v="0"/>
    <x v="8"/>
  </r>
  <r>
    <x v="448"/>
    <x v="1"/>
    <x v="18"/>
    <x v="392"/>
    <x v="448"/>
    <x v="131"/>
    <x v="34"/>
    <x v="448"/>
    <x v="0"/>
    <x v="0"/>
    <x v="9"/>
  </r>
  <r>
    <x v="449"/>
    <x v="2"/>
    <x v="16"/>
    <x v="393"/>
    <x v="449"/>
    <x v="249"/>
    <x v="8"/>
    <x v="449"/>
    <x v="1"/>
    <x v="36"/>
    <x v="1"/>
  </r>
  <r>
    <x v="450"/>
    <x v="1"/>
    <x v="15"/>
    <x v="394"/>
    <x v="450"/>
    <x v="44"/>
    <x v="35"/>
    <x v="450"/>
    <x v="0"/>
    <x v="0"/>
    <x v="2"/>
  </r>
  <r>
    <x v="451"/>
    <x v="0"/>
    <x v="13"/>
    <x v="395"/>
    <x v="451"/>
    <x v="282"/>
    <x v="34"/>
    <x v="451"/>
    <x v="1"/>
    <x v="37"/>
    <x v="1"/>
  </r>
  <r>
    <x v="452"/>
    <x v="3"/>
    <x v="9"/>
    <x v="283"/>
    <x v="452"/>
    <x v="161"/>
    <x v="14"/>
    <x v="452"/>
    <x v="0"/>
    <x v="0"/>
    <x v="1"/>
  </r>
  <r>
    <x v="453"/>
    <x v="3"/>
    <x v="12"/>
    <x v="396"/>
    <x v="453"/>
    <x v="128"/>
    <x v="63"/>
    <x v="453"/>
    <x v="0"/>
    <x v="0"/>
    <x v="4"/>
  </r>
  <r>
    <x v="454"/>
    <x v="4"/>
    <x v="19"/>
    <x v="397"/>
    <x v="454"/>
    <x v="84"/>
    <x v="49"/>
    <x v="454"/>
    <x v="0"/>
    <x v="0"/>
    <x v="3"/>
  </r>
  <r>
    <x v="455"/>
    <x v="4"/>
    <x v="4"/>
    <x v="398"/>
    <x v="455"/>
    <x v="99"/>
    <x v="14"/>
    <x v="455"/>
    <x v="0"/>
    <x v="0"/>
    <x v="5"/>
  </r>
  <r>
    <x v="456"/>
    <x v="2"/>
    <x v="3"/>
    <x v="399"/>
    <x v="456"/>
    <x v="283"/>
    <x v="14"/>
    <x v="456"/>
    <x v="0"/>
    <x v="0"/>
    <x v="6"/>
  </r>
  <r>
    <x v="457"/>
    <x v="3"/>
    <x v="18"/>
    <x v="400"/>
    <x v="457"/>
    <x v="284"/>
    <x v="69"/>
    <x v="457"/>
    <x v="0"/>
    <x v="0"/>
    <x v="9"/>
  </r>
  <r>
    <x v="458"/>
    <x v="1"/>
    <x v="15"/>
    <x v="317"/>
    <x v="458"/>
    <x v="285"/>
    <x v="31"/>
    <x v="458"/>
    <x v="0"/>
    <x v="0"/>
    <x v="2"/>
  </r>
  <r>
    <x v="459"/>
    <x v="3"/>
    <x v="12"/>
    <x v="401"/>
    <x v="459"/>
    <x v="67"/>
    <x v="72"/>
    <x v="459"/>
    <x v="0"/>
    <x v="0"/>
    <x v="4"/>
  </r>
  <r>
    <x v="460"/>
    <x v="2"/>
    <x v="20"/>
    <x v="402"/>
    <x v="460"/>
    <x v="286"/>
    <x v="38"/>
    <x v="460"/>
    <x v="0"/>
    <x v="0"/>
    <x v="0"/>
  </r>
  <r>
    <x v="461"/>
    <x v="0"/>
    <x v="11"/>
    <x v="403"/>
    <x v="461"/>
    <x v="287"/>
    <x v="42"/>
    <x v="461"/>
    <x v="0"/>
    <x v="0"/>
    <x v="2"/>
  </r>
  <r>
    <x v="462"/>
    <x v="4"/>
    <x v="6"/>
    <x v="404"/>
    <x v="462"/>
    <x v="13"/>
    <x v="5"/>
    <x v="462"/>
    <x v="0"/>
    <x v="0"/>
    <x v="8"/>
  </r>
  <r>
    <x v="463"/>
    <x v="1"/>
    <x v="5"/>
    <x v="405"/>
    <x v="463"/>
    <x v="288"/>
    <x v="23"/>
    <x v="463"/>
    <x v="0"/>
    <x v="0"/>
    <x v="1"/>
  </r>
  <r>
    <x v="464"/>
    <x v="0"/>
    <x v="10"/>
    <x v="314"/>
    <x v="464"/>
    <x v="289"/>
    <x v="5"/>
    <x v="464"/>
    <x v="0"/>
    <x v="0"/>
    <x v="8"/>
  </r>
  <r>
    <x v="465"/>
    <x v="0"/>
    <x v="13"/>
    <x v="406"/>
    <x v="465"/>
    <x v="281"/>
    <x v="24"/>
    <x v="465"/>
    <x v="0"/>
    <x v="0"/>
    <x v="1"/>
  </r>
  <r>
    <x v="466"/>
    <x v="1"/>
    <x v="9"/>
    <x v="407"/>
    <x v="466"/>
    <x v="33"/>
    <x v="4"/>
    <x v="466"/>
    <x v="0"/>
    <x v="0"/>
    <x v="1"/>
  </r>
  <r>
    <x v="467"/>
    <x v="1"/>
    <x v="17"/>
    <x v="329"/>
    <x v="467"/>
    <x v="290"/>
    <x v="68"/>
    <x v="467"/>
    <x v="1"/>
    <x v="38"/>
    <x v="8"/>
  </r>
  <r>
    <x v="468"/>
    <x v="4"/>
    <x v="11"/>
    <x v="408"/>
    <x v="468"/>
    <x v="7"/>
    <x v="20"/>
    <x v="468"/>
    <x v="0"/>
    <x v="0"/>
    <x v="2"/>
  </r>
  <r>
    <x v="469"/>
    <x v="1"/>
    <x v="2"/>
    <x v="409"/>
    <x v="469"/>
    <x v="254"/>
    <x v="56"/>
    <x v="469"/>
    <x v="0"/>
    <x v="0"/>
    <x v="8"/>
  </r>
  <r>
    <x v="470"/>
    <x v="0"/>
    <x v="3"/>
    <x v="410"/>
    <x v="470"/>
    <x v="113"/>
    <x v="57"/>
    <x v="470"/>
    <x v="0"/>
    <x v="0"/>
    <x v="6"/>
  </r>
  <r>
    <x v="471"/>
    <x v="2"/>
    <x v="10"/>
    <x v="223"/>
    <x v="471"/>
    <x v="291"/>
    <x v="25"/>
    <x v="471"/>
    <x v="0"/>
    <x v="0"/>
    <x v="8"/>
  </r>
  <r>
    <x v="472"/>
    <x v="3"/>
    <x v="14"/>
    <x v="411"/>
    <x v="472"/>
    <x v="292"/>
    <x v="42"/>
    <x v="472"/>
    <x v="0"/>
    <x v="0"/>
    <x v="1"/>
  </r>
  <r>
    <x v="473"/>
    <x v="1"/>
    <x v="5"/>
    <x v="412"/>
    <x v="473"/>
    <x v="293"/>
    <x v="23"/>
    <x v="473"/>
    <x v="0"/>
    <x v="0"/>
    <x v="1"/>
  </r>
  <r>
    <x v="474"/>
    <x v="4"/>
    <x v="7"/>
    <x v="413"/>
    <x v="474"/>
    <x v="228"/>
    <x v="25"/>
    <x v="474"/>
    <x v="0"/>
    <x v="0"/>
    <x v="2"/>
  </r>
  <r>
    <x v="475"/>
    <x v="4"/>
    <x v="17"/>
    <x v="414"/>
    <x v="475"/>
    <x v="294"/>
    <x v="46"/>
    <x v="475"/>
    <x v="0"/>
    <x v="0"/>
    <x v="8"/>
  </r>
  <r>
    <x v="476"/>
    <x v="0"/>
    <x v="18"/>
    <x v="415"/>
    <x v="476"/>
    <x v="295"/>
    <x v="48"/>
    <x v="476"/>
    <x v="0"/>
    <x v="0"/>
    <x v="9"/>
  </r>
  <r>
    <x v="477"/>
    <x v="0"/>
    <x v="2"/>
    <x v="138"/>
    <x v="477"/>
    <x v="296"/>
    <x v="72"/>
    <x v="477"/>
    <x v="0"/>
    <x v="0"/>
    <x v="8"/>
  </r>
  <r>
    <x v="478"/>
    <x v="4"/>
    <x v="2"/>
    <x v="377"/>
    <x v="478"/>
    <x v="110"/>
    <x v="66"/>
    <x v="478"/>
    <x v="0"/>
    <x v="0"/>
    <x v="8"/>
  </r>
  <r>
    <x v="479"/>
    <x v="1"/>
    <x v="5"/>
    <x v="416"/>
    <x v="479"/>
    <x v="297"/>
    <x v="78"/>
    <x v="479"/>
    <x v="1"/>
    <x v="39"/>
    <x v="1"/>
  </r>
  <r>
    <x v="480"/>
    <x v="2"/>
    <x v="8"/>
    <x v="417"/>
    <x v="480"/>
    <x v="298"/>
    <x v="52"/>
    <x v="480"/>
    <x v="0"/>
    <x v="0"/>
    <x v="7"/>
  </r>
  <r>
    <x v="481"/>
    <x v="0"/>
    <x v="18"/>
    <x v="418"/>
    <x v="481"/>
    <x v="184"/>
    <x v="17"/>
    <x v="481"/>
    <x v="0"/>
    <x v="0"/>
    <x v="9"/>
  </r>
  <r>
    <x v="482"/>
    <x v="0"/>
    <x v="17"/>
    <x v="419"/>
    <x v="482"/>
    <x v="299"/>
    <x v="4"/>
    <x v="482"/>
    <x v="0"/>
    <x v="0"/>
    <x v="8"/>
  </r>
  <r>
    <x v="483"/>
    <x v="4"/>
    <x v="18"/>
    <x v="420"/>
    <x v="483"/>
    <x v="300"/>
    <x v="16"/>
    <x v="483"/>
    <x v="0"/>
    <x v="0"/>
    <x v="9"/>
  </r>
  <r>
    <x v="484"/>
    <x v="2"/>
    <x v="5"/>
    <x v="421"/>
    <x v="484"/>
    <x v="301"/>
    <x v="36"/>
    <x v="484"/>
    <x v="0"/>
    <x v="0"/>
    <x v="1"/>
  </r>
  <r>
    <x v="485"/>
    <x v="3"/>
    <x v="16"/>
    <x v="422"/>
    <x v="485"/>
    <x v="227"/>
    <x v="7"/>
    <x v="485"/>
    <x v="0"/>
    <x v="0"/>
    <x v="1"/>
  </r>
  <r>
    <x v="486"/>
    <x v="2"/>
    <x v="6"/>
    <x v="423"/>
    <x v="486"/>
    <x v="80"/>
    <x v="16"/>
    <x v="486"/>
    <x v="0"/>
    <x v="0"/>
    <x v="8"/>
  </r>
  <r>
    <x v="487"/>
    <x v="2"/>
    <x v="1"/>
    <x v="424"/>
    <x v="487"/>
    <x v="302"/>
    <x v="49"/>
    <x v="487"/>
    <x v="0"/>
    <x v="0"/>
    <x v="3"/>
  </r>
  <r>
    <x v="488"/>
    <x v="0"/>
    <x v="15"/>
    <x v="425"/>
    <x v="488"/>
    <x v="235"/>
    <x v="22"/>
    <x v="488"/>
    <x v="0"/>
    <x v="0"/>
    <x v="2"/>
  </r>
  <r>
    <x v="489"/>
    <x v="0"/>
    <x v="17"/>
    <x v="426"/>
    <x v="489"/>
    <x v="210"/>
    <x v="6"/>
    <x v="489"/>
    <x v="0"/>
    <x v="0"/>
    <x v="8"/>
  </r>
  <r>
    <x v="490"/>
    <x v="1"/>
    <x v="2"/>
    <x v="190"/>
    <x v="490"/>
    <x v="299"/>
    <x v="35"/>
    <x v="490"/>
    <x v="0"/>
    <x v="0"/>
    <x v="8"/>
  </r>
  <r>
    <x v="491"/>
    <x v="4"/>
    <x v="1"/>
    <x v="192"/>
    <x v="491"/>
    <x v="276"/>
    <x v="74"/>
    <x v="491"/>
    <x v="0"/>
    <x v="0"/>
    <x v="3"/>
  </r>
  <r>
    <x v="492"/>
    <x v="4"/>
    <x v="16"/>
    <x v="318"/>
    <x v="492"/>
    <x v="2"/>
    <x v="21"/>
    <x v="492"/>
    <x v="0"/>
    <x v="0"/>
    <x v="1"/>
  </r>
  <r>
    <x v="493"/>
    <x v="4"/>
    <x v="1"/>
    <x v="427"/>
    <x v="493"/>
    <x v="13"/>
    <x v="43"/>
    <x v="493"/>
    <x v="0"/>
    <x v="0"/>
    <x v="3"/>
  </r>
  <r>
    <x v="494"/>
    <x v="2"/>
    <x v="18"/>
    <x v="428"/>
    <x v="494"/>
    <x v="303"/>
    <x v="43"/>
    <x v="494"/>
    <x v="0"/>
    <x v="0"/>
    <x v="9"/>
  </r>
  <r>
    <x v="495"/>
    <x v="3"/>
    <x v="11"/>
    <x v="429"/>
    <x v="495"/>
    <x v="304"/>
    <x v="7"/>
    <x v="495"/>
    <x v="0"/>
    <x v="0"/>
    <x v="2"/>
  </r>
  <r>
    <x v="496"/>
    <x v="0"/>
    <x v="8"/>
    <x v="430"/>
    <x v="496"/>
    <x v="151"/>
    <x v="14"/>
    <x v="496"/>
    <x v="0"/>
    <x v="0"/>
    <x v="7"/>
  </r>
  <r>
    <x v="497"/>
    <x v="1"/>
    <x v="11"/>
    <x v="431"/>
    <x v="497"/>
    <x v="305"/>
    <x v="23"/>
    <x v="497"/>
    <x v="0"/>
    <x v="0"/>
    <x v="2"/>
  </r>
  <r>
    <x v="498"/>
    <x v="4"/>
    <x v="7"/>
    <x v="432"/>
    <x v="498"/>
    <x v="306"/>
    <x v="29"/>
    <x v="498"/>
    <x v="0"/>
    <x v="0"/>
    <x v="2"/>
  </r>
  <r>
    <x v="499"/>
    <x v="0"/>
    <x v="4"/>
    <x v="433"/>
    <x v="499"/>
    <x v="307"/>
    <x v="32"/>
    <x v="499"/>
    <x v="0"/>
    <x v="0"/>
    <x v="5"/>
  </r>
  <r>
    <x v="500"/>
    <x v="0"/>
    <x v="9"/>
    <x v="434"/>
    <x v="500"/>
    <x v="308"/>
    <x v="78"/>
    <x v="500"/>
    <x v="0"/>
    <x v="0"/>
    <x v="1"/>
  </r>
  <r>
    <x v="501"/>
    <x v="3"/>
    <x v="6"/>
    <x v="435"/>
    <x v="501"/>
    <x v="60"/>
    <x v="78"/>
    <x v="501"/>
    <x v="0"/>
    <x v="0"/>
    <x v="8"/>
  </r>
  <r>
    <x v="502"/>
    <x v="4"/>
    <x v="11"/>
    <x v="436"/>
    <x v="502"/>
    <x v="209"/>
    <x v="79"/>
    <x v="502"/>
    <x v="0"/>
    <x v="0"/>
    <x v="2"/>
  </r>
  <r>
    <x v="503"/>
    <x v="2"/>
    <x v="14"/>
    <x v="437"/>
    <x v="503"/>
    <x v="309"/>
    <x v="52"/>
    <x v="503"/>
    <x v="0"/>
    <x v="0"/>
    <x v="1"/>
  </r>
  <r>
    <x v="504"/>
    <x v="4"/>
    <x v="7"/>
    <x v="438"/>
    <x v="504"/>
    <x v="310"/>
    <x v="80"/>
    <x v="504"/>
    <x v="0"/>
    <x v="0"/>
    <x v="2"/>
  </r>
  <r>
    <x v="505"/>
    <x v="0"/>
    <x v="5"/>
    <x v="439"/>
    <x v="505"/>
    <x v="194"/>
    <x v="59"/>
    <x v="505"/>
    <x v="0"/>
    <x v="0"/>
    <x v="1"/>
  </r>
  <r>
    <x v="506"/>
    <x v="2"/>
    <x v="10"/>
    <x v="440"/>
    <x v="506"/>
    <x v="311"/>
    <x v="4"/>
    <x v="506"/>
    <x v="0"/>
    <x v="0"/>
    <x v="8"/>
  </r>
  <r>
    <x v="507"/>
    <x v="3"/>
    <x v="19"/>
    <x v="441"/>
    <x v="507"/>
    <x v="243"/>
    <x v="6"/>
    <x v="507"/>
    <x v="0"/>
    <x v="0"/>
    <x v="3"/>
  </r>
  <r>
    <x v="508"/>
    <x v="2"/>
    <x v="20"/>
    <x v="442"/>
    <x v="508"/>
    <x v="178"/>
    <x v="58"/>
    <x v="508"/>
    <x v="0"/>
    <x v="0"/>
    <x v="0"/>
  </r>
  <r>
    <x v="509"/>
    <x v="3"/>
    <x v="1"/>
    <x v="443"/>
    <x v="509"/>
    <x v="162"/>
    <x v="81"/>
    <x v="509"/>
    <x v="1"/>
    <x v="40"/>
    <x v="3"/>
  </r>
  <r>
    <x v="510"/>
    <x v="0"/>
    <x v="5"/>
    <x v="141"/>
    <x v="510"/>
    <x v="221"/>
    <x v="82"/>
    <x v="510"/>
    <x v="1"/>
    <x v="41"/>
    <x v="1"/>
  </r>
  <r>
    <x v="511"/>
    <x v="2"/>
    <x v="9"/>
    <x v="444"/>
    <x v="511"/>
    <x v="286"/>
    <x v="72"/>
    <x v="511"/>
    <x v="1"/>
    <x v="42"/>
    <x v="1"/>
  </r>
  <r>
    <x v="512"/>
    <x v="0"/>
    <x v="11"/>
    <x v="445"/>
    <x v="512"/>
    <x v="312"/>
    <x v="26"/>
    <x v="512"/>
    <x v="0"/>
    <x v="0"/>
    <x v="2"/>
  </r>
  <r>
    <x v="513"/>
    <x v="3"/>
    <x v="1"/>
    <x v="378"/>
    <x v="513"/>
    <x v="63"/>
    <x v="78"/>
    <x v="513"/>
    <x v="1"/>
    <x v="43"/>
    <x v="3"/>
  </r>
  <r>
    <x v="514"/>
    <x v="3"/>
    <x v="20"/>
    <x v="446"/>
    <x v="514"/>
    <x v="313"/>
    <x v="77"/>
    <x v="514"/>
    <x v="0"/>
    <x v="0"/>
    <x v="0"/>
  </r>
  <r>
    <x v="515"/>
    <x v="3"/>
    <x v="10"/>
    <x v="447"/>
    <x v="515"/>
    <x v="314"/>
    <x v="70"/>
    <x v="515"/>
    <x v="0"/>
    <x v="0"/>
    <x v="8"/>
  </r>
  <r>
    <x v="516"/>
    <x v="3"/>
    <x v="3"/>
    <x v="448"/>
    <x v="516"/>
    <x v="315"/>
    <x v="69"/>
    <x v="516"/>
    <x v="0"/>
    <x v="0"/>
    <x v="6"/>
  </r>
  <r>
    <x v="517"/>
    <x v="3"/>
    <x v="1"/>
    <x v="94"/>
    <x v="517"/>
    <x v="93"/>
    <x v="8"/>
    <x v="517"/>
    <x v="1"/>
    <x v="44"/>
    <x v="3"/>
  </r>
  <r>
    <x v="518"/>
    <x v="0"/>
    <x v="13"/>
    <x v="449"/>
    <x v="518"/>
    <x v="316"/>
    <x v="53"/>
    <x v="518"/>
    <x v="1"/>
    <x v="45"/>
    <x v="1"/>
  </r>
  <r>
    <x v="519"/>
    <x v="4"/>
    <x v="3"/>
    <x v="450"/>
    <x v="519"/>
    <x v="152"/>
    <x v="17"/>
    <x v="519"/>
    <x v="1"/>
    <x v="46"/>
    <x v="6"/>
  </r>
  <r>
    <x v="520"/>
    <x v="2"/>
    <x v="20"/>
    <x v="451"/>
    <x v="520"/>
    <x v="317"/>
    <x v="67"/>
    <x v="520"/>
    <x v="1"/>
    <x v="47"/>
    <x v="0"/>
  </r>
  <r>
    <x v="521"/>
    <x v="3"/>
    <x v="1"/>
    <x v="452"/>
    <x v="521"/>
    <x v="318"/>
    <x v="65"/>
    <x v="521"/>
    <x v="1"/>
    <x v="48"/>
    <x v="3"/>
  </r>
  <r>
    <x v="522"/>
    <x v="2"/>
    <x v="16"/>
    <x v="453"/>
    <x v="522"/>
    <x v="112"/>
    <x v="47"/>
    <x v="522"/>
    <x v="1"/>
    <x v="49"/>
    <x v="1"/>
  </r>
  <r>
    <x v="523"/>
    <x v="0"/>
    <x v="1"/>
    <x v="389"/>
    <x v="523"/>
    <x v="39"/>
    <x v="59"/>
    <x v="523"/>
    <x v="0"/>
    <x v="0"/>
    <x v="3"/>
  </r>
  <r>
    <x v="524"/>
    <x v="4"/>
    <x v="5"/>
    <x v="439"/>
    <x v="524"/>
    <x v="282"/>
    <x v="83"/>
    <x v="524"/>
    <x v="0"/>
    <x v="0"/>
    <x v="1"/>
  </r>
  <r>
    <x v="525"/>
    <x v="4"/>
    <x v="9"/>
    <x v="454"/>
    <x v="525"/>
    <x v="258"/>
    <x v="84"/>
    <x v="525"/>
    <x v="0"/>
    <x v="0"/>
    <x v="1"/>
  </r>
  <r>
    <x v="526"/>
    <x v="2"/>
    <x v="18"/>
    <x v="455"/>
    <x v="526"/>
    <x v="319"/>
    <x v="41"/>
    <x v="526"/>
    <x v="0"/>
    <x v="0"/>
    <x v="9"/>
  </r>
  <r>
    <x v="527"/>
    <x v="1"/>
    <x v="5"/>
    <x v="456"/>
    <x v="527"/>
    <x v="284"/>
    <x v="81"/>
    <x v="527"/>
    <x v="0"/>
    <x v="0"/>
    <x v="1"/>
  </r>
  <r>
    <x v="528"/>
    <x v="4"/>
    <x v="5"/>
    <x v="457"/>
    <x v="528"/>
    <x v="147"/>
    <x v="85"/>
    <x v="528"/>
    <x v="0"/>
    <x v="0"/>
    <x v="1"/>
  </r>
  <r>
    <x v="529"/>
    <x v="1"/>
    <x v="20"/>
    <x v="458"/>
    <x v="529"/>
    <x v="320"/>
    <x v="7"/>
    <x v="529"/>
    <x v="1"/>
    <x v="50"/>
    <x v="0"/>
  </r>
  <r>
    <x v="530"/>
    <x v="2"/>
    <x v="19"/>
    <x v="459"/>
    <x v="530"/>
    <x v="93"/>
    <x v="78"/>
    <x v="530"/>
    <x v="0"/>
    <x v="0"/>
    <x v="3"/>
  </r>
  <r>
    <x v="531"/>
    <x v="3"/>
    <x v="12"/>
    <x v="460"/>
    <x v="531"/>
    <x v="321"/>
    <x v="19"/>
    <x v="531"/>
    <x v="0"/>
    <x v="0"/>
    <x v="4"/>
  </r>
  <r>
    <x v="532"/>
    <x v="3"/>
    <x v="18"/>
    <x v="461"/>
    <x v="532"/>
    <x v="322"/>
    <x v="58"/>
    <x v="532"/>
    <x v="0"/>
    <x v="0"/>
    <x v="9"/>
  </r>
  <r>
    <x v="533"/>
    <x v="4"/>
    <x v="15"/>
    <x v="462"/>
    <x v="533"/>
    <x v="26"/>
    <x v="86"/>
    <x v="533"/>
    <x v="0"/>
    <x v="0"/>
    <x v="2"/>
  </r>
  <r>
    <x v="534"/>
    <x v="0"/>
    <x v="7"/>
    <x v="463"/>
    <x v="534"/>
    <x v="323"/>
    <x v="26"/>
    <x v="534"/>
    <x v="0"/>
    <x v="0"/>
    <x v="2"/>
  </r>
  <r>
    <x v="535"/>
    <x v="1"/>
    <x v="5"/>
    <x v="464"/>
    <x v="535"/>
    <x v="324"/>
    <x v="77"/>
    <x v="535"/>
    <x v="0"/>
    <x v="0"/>
    <x v="1"/>
  </r>
  <r>
    <x v="536"/>
    <x v="3"/>
    <x v="17"/>
    <x v="465"/>
    <x v="536"/>
    <x v="15"/>
    <x v="78"/>
    <x v="536"/>
    <x v="0"/>
    <x v="0"/>
    <x v="8"/>
  </r>
  <r>
    <x v="537"/>
    <x v="1"/>
    <x v="20"/>
    <x v="466"/>
    <x v="537"/>
    <x v="325"/>
    <x v="87"/>
    <x v="537"/>
    <x v="0"/>
    <x v="0"/>
    <x v="0"/>
  </r>
  <r>
    <x v="538"/>
    <x v="4"/>
    <x v="6"/>
    <x v="467"/>
    <x v="538"/>
    <x v="316"/>
    <x v="88"/>
    <x v="538"/>
    <x v="0"/>
    <x v="0"/>
    <x v="8"/>
  </r>
  <r>
    <x v="539"/>
    <x v="2"/>
    <x v="19"/>
    <x v="468"/>
    <x v="539"/>
    <x v="326"/>
    <x v="41"/>
    <x v="539"/>
    <x v="0"/>
    <x v="0"/>
    <x v="3"/>
  </r>
  <r>
    <x v="540"/>
    <x v="0"/>
    <x v="9"/>
    <x v="366"/>
    <x v="540"/>
    <x v="327"/>
    <x v="87"/>
    <x v="540"/>
    <x v="1"/>
    <x v="51"/>
    <x v="1"/>
  </r>
  <r>
    <x v="541"/>
    <x v="4"/>
    <x v="4"/>
    <x v="469"/>
    <x v="541"/>
    <x v="328"/>
    <x v="89"/>
    <x v="541"/>
    <x v="0"/>
    <x v="0"/>
    <x v="5"/>
  </r>
  <r>
    <x v="542"/>
    <x v="1"/>
    <x v="17"/>
    <x v="227"/>
    <x v="542"/>
    <x v="329"/>
    <x v="28"/>
    <x v="542"/>
    <x v="1"/>
    <x v="52"/>
    <x v="8"/>
  </r>
  <r>
    <x v="543"/>
    <x v="2"/>
    <x v="18"/>
    <x v="470"/>
    <x v="543"/>
    <x v="330"/>
    <x v="78"/>
    <x v="543"/>
    <x v="0"/>
    <x v="0"/>
    <x v="9"/>
  </r>
  <r>
    <x v="544"/>
    <x v="3"/>
    <x v="1"/>
    <x v="471"/>
    <x v="544"/>
    <x v="331"/>
    <x v="78"/>
    <x v="544"/>
    <x v="0"/>
    <x v="0"/>
    <x v="3"/>
  </r>
  <r>
    <x v="545"/>
    <x v="2"/>
    <x v="19"/>
    <x v="472"/>
    <x v="545"/>
    <x v="332"/>
    <x v="78"/>
    <x v="545"/>
    <x v="0"/>
    <x v="0"/>
    <x v="3"/>
  </r>
  <r>
    <x v="546"/>
    <x v="0"/>
    <x v="6"/>
    <x v="473"/>
    <x v="546"/>
    <x v="333"/>
    <x v="77"/>
    <x v="546"/>
    <x v="1"/>
    <x v="53"/>
    <x v="8"/>
  </r>
  <r>
    <x v="547"/>
    <x v="3"/>
    <x v="3"/>
    <x v="474"/>
    <x v="547"/>
    <x v="314"/>
    <x v="9"/>
    <x v="547"/>
    <x v="0"/>
    <x v="0"/>
    <x v="6"/>
  </r>
  <r>
    <x v="548"/>
    <x v="3"/>
    <x v="14"/>
    <x v="475"/>
    <x v="548"/>
    <x v="1"/>
    <x v="78"/>
    <x v="548"/>
    <x v="0"/>
    <x v="0"/>
    <x v="1"/>
  </r>
  <r>
    <x v="549"/>
    <x v="0"/>
    <x v="1"/>
    <x v="476"/>
    <x v="549"/>
    <x v="334"/>
    <x v="87"/>
    <x v="549"/>
    <x v="0"/>
    <x v="0"/>
    <x v="3"/>
  </r>
  <r>
    <x v="550"/>
    <x v="1"/>
    <x v="9"/>
    <x v="179"/>
    <x v="550"/>
    <x v="335"/>
    <x v="29"/>
    <x v="550"/>
    <x v="0"/>
    <x v="0"/>
    <x v="1"/>
  </r>
  <r>
    <x v="551"/>
    <x v="1"/>
    <x v="3"/>
    <x v="282"/>
    <x v="551"/>
    <x v="336"/>
    <x v="41"/>
    <x v="551"/>
    <x v="0"/>
    <x v="0"/>
    <x v="6"/>
  </r>
  <r>
    <x v="552"/>
    <x v="2"/>
    <x v="4"/>
    <x v="477"/>
    <x v="552"/>
    <x v="337"/>
    <x v="57"/>
    <x v="552"/>
    <x v="0"/>
    <x v="0"/>
    <x v="5"/>
  </r>
  <r>
    <x v="553"/>
    <x v="3"/>
    <x v="3"/>
    <x v="478"/>
    <x v="553"/>
    <x v="142"/>
    <x v="21"/>
    <x v="553"/>
    <x v="1"/>
    <x v="54"/>
    <x v="6"/>
  </r>
  <r>
    <x v="554"/>
    <x v="0"/>
    <x v="13"/>
    <x v="479"/>
    <x v="554"/>
    <x v="29"/>
    <x v="15"/>
    <x v="554"/>
    <x v="0"/>
    <x v="0"/>
    <x v="1"/>
  </r>
  <r>
    <x v="555"/>
    <x v="0"/>
    <x v="1"/>
    <x v="75"/>
    <x v="555"/>
    <x v="338"/>
    <x v="43"/>
    <x v="555"/>
    <x v="0"/>
    <x v="0"/>
    <x v="3"/>
  </r>
  <r>
    <x v="556"/>
    <x v="3"/>
    <x v="3"/>
    <x v="480"/>
    <x v="556"/>
    <x v="339"/>
    <x v="56"/>
    <x v="556"/>
    <x v="1"/>
    <x v="55"/>
    <x v="6"/>
  </r>
  <r>
    <x v="557"/>
    <x v="4"/>
    <x v="8"/>
    <x v="481"/>
    <x v="557"/>
    <x v="78"/>
    <x v="90"/>
    <x v="557"/>
    <x v="0"/>
    <x v="0"/>
    <x v="7"/>
  </r>
  <r>
    <x v="558"/>
    <x v="0"/>
    <x v="11"/>
    <x v="482"/>
    <x v="558"/>
    <x v="151"/>
    <x v="72"/>
    <x v="558"/>
    <x v="0"/>
    <x v="0"/>
    <x v="2"/>
  </r>
  <r>
    <x v="559"/>
    <x v="0"/>
    <x v="19"/>
    <x v="483"/>
    <x v="559"/>
    <x v="150"/>
    <x v="67"/>
    <x v="559"/>
    <x v="0"/>
    <x v="0"/>
    <x v="3"/>
  </r>
  <r>
    <x v="560"/>
    <x v="3"/>
    <x v="3"/>
    <x v="71"/>
    <x v="560"/>
    <x v="276"/>
    <x v="82"/>
    <x v="560"/>
    <x v="1"/>
    <x v="56"/>
    <x v="6"/>
  </r>
  <r>
    <x v="561"/>
    <x v="3"/>
    <x v="3"/>
    <x v="484"/>
    <x v="561"/>
    <x v="196"/>
    <x v="18"/>
    <x v="561"/>
    <x v="1"/>
    <x v="57"/>
    <x v="6"/>
  </r>
  <r>
    <x v="562"/>
    <x v="1"/>
    <x v="7"/>
    <x v="485"/>
    <x v="562"/>
    <x v="325"/>
    <x v="77"/>
    <x v="562"/>
    <x v="0"/>
    <x v="0"/>
    <x v="2"/>
  </r>
  <r>
    <x v="563"/>
    <x v="1"/>
    <x v="20"/>
    <x v="218"/>
    <x v="563"/>
    <x v="340"/>
    <x v="33"/>
    <x v="563"/>
    <x v="1"/>
    <x v="58"/>
    <x v="0"/>
  </r>
  <r>
    <x v="564"/>
    <x v="4"/>
    <x v="17"/>
    <x v="486"/>
    <x v="564"/>
    <x v="14"/>
    <x v="91"/>
    <x v="564"/>
    <x v="0"/>
    <x v="0"/>
    <x v="8"/>
  </r>
  <r>
    <x v="565"/>
    <x v="4"/>
    <x v="9"/>
    <x v="487"/>
    <x v="565"/>
    <x v="307"/>
    <x v="92"/>
    <x v="565"/>
    <x v="0"/>
    <x v="0"/>
    <x v="1"/>
  </r>
  <r>
    <x v="566"/>
    <x v="1"/>
    <x v="5"/>
    <x v="488"/>
    <x v="566"/>
    <x v="51"/>
    <x v="58"/>
    <x v="566"/>
    <x v="0"/>
    <x v="0"/>
    <x v="1"/>
  </r>
  <r>
    <x v="567"/>
    <x v="0"/>
    <x v="2"/>
    <x v="85"/>
    <x v="567"/>
    <x v="341"/>
    <x v="59"/>
    <x v="567"/>
    <x v="1"/>
    <x v="59"/>
    <x v="8"/>
  </r>
  <r>
    <x v="568"/>
    <x v="3"/>
    <x v="3"/>
    <x v="489"/>
    <x v="568"/>
    <x v="284"/>
    <x v="19"/>
    <x v="568"/>
    <x v="1"/>
    <x v="60"/>
    <x v="6"/>
  </r>
  <r>
    <x v="569"/>
    <x v="4"/>
    <x v="8"/>
    <x v="490"/>
    <x v="569"/>
    <x v="200"/>
    <x v="93"/>
    <x v="569"/>
    <x v="1"/>
    <x v="61"/>
    <x v="7"/>
  </r>
  <r>
    <x v="570"/>
    <x v="3"/>
    <x v="7"/>
    <x v="229"/>
    <x v="570"/>
    <x v="342"/>
    <x v="34"/>
    <x v="570"/>
    <x v="1"/>
    <x v="62"/>
    <x v="2"/>
  </r>
  <r>
    <x v="571"/>
    <x v="0"/>
    <x v="8"/>
    <x v="146"/>
    <x v="571"/>
    <x v="343"/>
    <x v="94"/>
    <x v="571"/>
    <x v="1"/>
    <x v="63"/>
    <x v="7"/>
  </r>
  <r>
    <x v="572"/>
    <x v="4"/>
    <x v="11"/>
    <x v="305"/>
    <x v="572"/>
    <x v="152"/>
    <x v="44"/>
    <x v="572"/>
    <x v="0"/>
    <x v="0"/>
    <x v="2"/>
  </r>
  <r>
    <x v="573"/>
    <x v="0"/>
    <x v="6"/>
    <x v="44"/>
    <x v="573"/>
    <x v="344"/>
    <x v="81"/>
    <x v="573"/>
    <x v="0"/>
    <x v="0"/>
    <x v="8"/>
  </r>
  <r>
    <x v="574"/>
    <x v="3"/>
    <x v="17"/>
    <x v="491"/>
    <x v="574"/>
    <x v="345"/>
    <x v="72"/>
    <x v="574"/>
    <x v="0"/>
    <x v="0"/>
    <x v="8"/>
  </r>
  <r>
    <x v="575"/>
    <x v="1"/>
    <x v="15"/>
    <x v="492"/>
    <x v="575"/>
    <x v="156"/>
    <x v="87"/>
    <x v="575"/>
    <x v="1"/>
    <x v="64"/>
    <x v="2"/>
  </r>
  <r>
    <x v="576"/>
    <x v="1"/>
    <x v="20"/>
    <x v="125"/>
    <x v="576"/>
    <x v="346"/>
    <x v="81"/>
    <x v="576"/>
    <x v="0"/>
    <x v="0"/>
    <x v="0"/>
  </r>
  <r>
    <x v="577"/>
    <x v="0"/>
    <x v="2"/>
    <x v="370"/>
    <x v="577"/>
    <x v="183"/>
    <x v="67"/>
    <x v="577"/>
    <x v="0"/>
    <x v="0"/>
    <x v="8"/>
  </r>
  <r>
    <x v="578"/>
    <x v="2"/>
    <x v="19"/>
    <x v="493"/>
    <x v="578"/>
    <x v="191"/>
    <x v="61"/>
    <x v="578"/>
    <x v="1"/>
    <x v="65"/>
    <x v="3"/>
  </r>
  <r>
    <x v="579"/>
    <x v="3"/>
    <x v="1"/>
    <x v="494"/>
    <x v="579"/>
    <x v="101"/>
    <x v="71"/>
    <x v="579"/>
    <x v="0"/>
    <x v="0"/>
    <x v="3"/>
  </r>
  <r>
    <x v="580"/>
    <x v="3"/>
    <x v="7"/>
    <x v="262"/>
    <x v="580"/>
    <x v="98"/>
    <x v="95"/>
    <x v="580"/>
    <x v="1"/>
    <x v="66"/>
    <x v="2"/>
  </r>
  <r>
    <x v="581"/>
    <x v="3"/>
    <x v="7"/>
    <x v="495"/>
    <x v="581"/>
    <x v="318"/>
    <x v="36"/>
    <x v="581"/>
    <x v="1"/>
    <x v="67"/>
    <x v="2"/>
  </r>
  <r>
    <x v="582"/>
    <x v="3"/>
    <x v="7"/>
    <x v="496"/>
    <x v="582"/>
    <x v="35"/>
    <x v="12"/>
    <x v="582"/>
    <x v="1"/>
    <x v="68"/>
    <x v="2"/>
  </r>
  <r>
    <x v="583"/>
    <x v="0"/>
    <x v="11"/>
    <x v="497"/>
    <x v="583"/>
    <x v="43"/>
    <x v="21"/>
    <x v="583"/>
    <x v="0"/>
    <x v="0"/>
    <x v="2"/>
  </r>
  <r>
    <x v="584"/>
    <x v="0"/>
    <x v="15"/>
    <x v="317"/>
    <x v="584"/>
    <x v="150"/>
    <x v="47"/>
    <x v="584"/>
    <x v="0"/>
    <x v="0"/>
    <x v="2"/>
  </r>
  <r>
    <x v="585"/>
    <x v="4"/>
    <x v="9"/>
    <x v="498"/>
    <x v="585"/>
    <x v="5"/>
    <x v="96"/>
    <x v="585"/>
    <x v="0"/>
    <x v="0"/>
    <x v="1"/>
  </r>
  <r>
    <x v="586"/>
    <x v="3"/>
    <x v="15"/>
    <x v="317"/>
    <x v="586"/>
    <x v="347"/>
    <x v="30"/>
    <x v="586"/>
    <x v="0"/>
    <x v="0"/>
    <x v="2"/>
  </r>
  <r>
    <x v="587"/>
    <x v="4"/>
    <x v="4"/>
    <x v="499"/>
    <x v="587"/>
    <x v="299"/>
    <x v="97"/>
    <x v="587"/>
    <x v="0"/>
    <x v="0"/>
    <x v="5"/>
  </r>
  <r>
    <x v="588"/>
    <x v="3"/>
    <x v="7"/>
    <x v="500"/>
    <x v="588"/>
    <x v="176"/>
    <x v="4"/>
    <x v="588"/>
    <x v="1"/>
    <x v="69"/>
    <x v="2"/>
  </r>
  <r>
    <x v="589"/>
    <x v="4"/>
    <x v="8"/>
    <x v="62"/>
    <x v="589"/>
    <x v="200"/>
    <x v="98"/>
    <x v="589"/>
    <x v="1"/>
    <x v="70"/>
    <x v="7"/>
  </r>
  <r>
    <x v="590"/>
    <x v="0"/>
    <x v="20"/>
    <x v="501"/>
    <x v="590"/>
    <x v="289"/>
    <x v="77"/>
    <x v="590"/>
    <x v="0"/>
    <x v="0"/>
    <x v="0"/>
  </r>
  <r>
    <x v="591"/>
    <x v="3"/>
    <x v="7"/>
    <x v="502"/>
    <x v="591"/>
    <x v="348"/>
    <x v="38"/>
    <x v="591"/>
    <x v="1"/>
    <x v="71"/>
    <x v="2"/>
  </r>
  <r>
    <x v="592"/>
    <x v="4"/>
    <x v="13"/>
    <x v="503"/>
    <x v="592"/>
    <x v="29"/>
    <x v="99"/>
    <x v="592"/>
    <x v="0"/>
    <x v="0"/>
    <x v="1"/>
  </r>
  <r>
    <x v="593"/>
    <x v="4"/>
    <x v="16"/>
    <x v="504"/>
    <x v="593"/>
    <x v="24"/>
    <x v="100"/>
    <x v="593"/>
    <x v="0"/>
    <x v="0"/>
    <x v="1"/>
  </r>
  <r>
    <x v="594"/>
    <x v="4"/>
    <x v="5"/>
    <x v="390"/>
    <x v="594"/>
    <x v="316"/>
    <x v="2"/>
    <x v="594"/>
    <x v="0"/>
    <x v="0"/>
    <x v="1"/>
  </r>
  <r>
    <x v="595"/>
    <x v="2"/>
    <x v="8"/>
    <x v="505"/>
    <x v="595"/>
    <x v="349"/>
    <x v="52"/>
    <x v="595"/>
    <x v="1"/>
    <x v="72"/>
    <x v="7"/>
  </r>
  <r>
    <x v="596"/>
    <x v="1"/>
    <x v="19"/>
    <x v="506"/>
    <x v="596"/>
    <x v="350"/>
    <x v="82"/>
    <x v="596"/>
    <x v="0"/>
    <x v="0"/>
    <x v="3"/>
  </r>
  <r>
    <x v="597"/>
    <x v="4"/>
    <x v="13"/>
    <x v="507"/>
    <x v="597"/>
    <x v="184"/>
    <x v="66"/>
    <x v="597"/>
    <x v="0"/>
    <x v="0"/>
    <x v="1"/>
  </r>
  <r>
    <x v="598"/>
    <x v="3"/>
    <x v="5"/>
    <x v="508"/>
    <x v="598"/>
    <x v="351"/>
    <x v="34"/>
    <x v="598"/>
    <x v="1"/>
    <x v="73"/>
    <x v="1"/>
  </r>
  <r>
    <x v="599"/>
    <x v="0"/>
    <x v="17"/>
    <x v="509"/>
    <x v="599"/>
    <x v="78"/>
    <x v="72"/>
    <x v="599"/>
    <x v="1"/>
    <x v="74"/>
    <x v="8"/>
  </r>
  <r>
    <x v="600"/>
    <x v="0"/>
    <x v="5"/>
    <x v="421"/>
    <x v="600"/>
    <x v="132"/>
    <x v="54"/>
    <x v="600"/>
    <x v="0"/>
    <x v="0"/>
    <x v="1"/>
  </r>
  <r>
    <x v="601"/>
    <x v="2"/>
    <x v="10"/>
    <x v="510"/>
    <x v="601"/>
    <x v="148"/>
    <x v="20"/>
    <x v="601"/>
    <x v="0"/>
    <x v="0"/>
    <x v="8"/>
  </r>
  <r>
    <x v="602"/>
    <x v="1"/>
    <x v="12"/>
    <x v="511"/>
    <x v="602"/>
    <x v="38"/>
    <x v="50"/>
    <x v="602"/>
    <x v="1"/>
    <x v="75"/>
    <x v="4"/>
  </r>
  <r>
    <x v="603"/>
    <x v="0"/>
    <x v="20"/>
    <x v="125"/>
    <x v="603"/>
    <x v="352"/>
    <x v="81"/>
    <x v="603"/>
    <x v="0"/>
    <x v="0"/>
    <x v="0"/>
  </r>
  <r>
    <x v="604"/>
    <x v="3"/>
    <x v="13"/>
    <x v="512"/>
    <x v="604"/>
    <x v="265"/>
    <x v="0"/>
    <x v="604"/>
    <x v="0"/>
    <x v="0"/>
    <x v="1"/>
  </r>
  <r>
    <x v="605"/>
    <x v="0"/>
    <x v="20"/>
    <x v="513"/>
    <x v="605"/>
    <x v="334"/>
    <x v="82"/>
    <x v="605"/>
    <x v="0"/>
    <x v="0"/>
    <x v="0"/>
  </r>
  <r>
    <x v="606"/>
    <x v="3"/>
    <x v="5"/>
    <x v="514"/>
    <x v="606"/>
    <x v="34"/>
    <x v="82"/>
    <x v="606"/>
    <x v="1"/>
    <x v="76"/>
    <x v="1"/>
  </r>
  <r>
    <x v="607"/>
    <x v="4"/>
    <x v="3"/>
    <x v="515"/>
    <x v="607"/>
    <x v="226"/>
    <x v="101"/>
    <x v="607"/>
    <x v="0"/>
    <x v="0"/>
    <x v="6"/>
  </r>
  <r>
    <x v="608"/>
    <x v="4"/>
    <x v="7"/>
    <x v="516"/>
    <x v="608"/>
    <x v="194"/>
    <x v="102"/>
    <x v="608"/>
    <x v="0"/>
    <x v="0"/>
    <x v="2"/>
  </r>
  <r>
    <x v="609"/>
    <x v="3"/>
    <x v="11"/>
    <x v="49"/>
    <x v="609"/>
    <x v="353"/>
    <x v="103"/>
    <x v="609"/>
    <x v="0"/>
    <x v="0"/>
    <x v="2"/>
  </r>
  <r>
    <x v="610"/>
    <x v="3"/>
    <x v="4"/>
    <x v="517"/>
    <x v="610"/>
    <x v="354"/>
    <x v="104"/>
    <x v="610"/>
    <x v="0"/>
    <x v="0"/>
    <x v="5"/>
  </r>
  <r>
    <x v="611"/>
    <x v="3"/>
    <x v="14"/>
    <x v="518"/>
    <x v="611"/>
    <x v="128"/>
    <x v="105"/>
    <x v="611"/>
    <x v="0"/>
    <x v="0"/>
    <x v="1"/>
  </r>
  <r>
    <x v="612"/>
    <x v="2"/>
    <x v="15"/>
    <x v="519"/>
    <x v="612"/>
    <x v="355"/>
    <x v="56"/>
    <x v="612"/>
    <x v="0"/>
    <x v="0"/>
    <x v="2"/>
  </r>
  <r>
    <x v="613"/>
    <x v="4"/>
    <x v="10"/>
    <x v="520"/>
    <x v="613"/>
    <x v="26"/>
    <x v="10"/>
    <x v="613"/>
    <x v="0"/>
    <x v="0"/>
    <x v="8"/>
  </r>
  <r>
    <x v="614"/>
    <x v="3"/>
    <x v="9"/>
    <x v="487"/>
    <x v="614"/>
    <x v="172"/>
    <x v="19"/>
    <x v="614"/>
    <x v="0"/>
    <x v="0"/>
    <x v="1"/>
  </r>
  <r>
    <x v="615"/>
    <x v="0"/>
    <x v="2"/>
    <x v="521"/>
    <x v="615"/>
    <x v="356"/>
    <x v="82"/>
    <x v="615"/>
    <x v="1"/>
    <x v="77"/>
    <x v="8"/>
  </r>
  <r>
    <x v="616"/>
    <x v="3"/>
    <x v="14"/>
    <x v="518"/>
    <x v="616"/>
    <x v="268"/>
    <x v="78"/>
    <x v="616"/>
    <x v="0"/>
    <x v="0"/>
    <x v="1"/>
  </r>
  <r>
    <x v="617"/>
    <x v="3"/>
    <x v="5"/>
    <x v="522"/>
    <x v="617"/>
    <x v="191"/>
    <x v="63"/>
    <x v="617"/>
    <x v="1"/>
    <x v="78"/>
    <x v="1"/>
  </r>
  <r>
    <x v="618"/>
    <x v="2"/>
    <x v="7"/>
    <x v="523"/>
    <x v="618"/>
    <x v="227"/>
    <x v="53"/>
    <x v="618"/>
    <x v="0"/>
    <x v="0"/>
    <x v="2"/>
  </r>
  <r>
    <x v="619"/>
    <x v="2"/>
    <x v="20"/>
    <x v="524"/>
    <x v="619"/>
    <x v="357"/>
    <x v="33"/>
    <x v="619"/>
    <x v="0"/>
    <x v="0"/>
    <x v="0"/>
  </r>
  <r>
    <x v="620"/>
    <x v="2"/>
    <x v="14"/>
    <x v="230"/>
    <x v="620"/>
    <x v="358"/>
    <x v="73"/>
    <x v="620"/>
    <x v="0"/>
    <x v="0"/>
    <x v="1"/>
  </r>
  <r>
    <x v="621"/>
    <x v="2"/>
    <x v="3"/>
    <x v="525"/>
    <x v="621"/>
    <x v="130"/>
    <x v="47"/>
    <x v="621"/>
    <x v="0"/>
    <x v="0"/>
    <x v="6"/>
  </r>
  <r>
    <x v="622"/>
    <x v="0"/>
    <x v="2"/>
    <x v="337"/>
    <x v="622"/>
    <x v="359"/>
    <x v="77"/>
    <x v="622"/>
    <x v="0"/>
    <x v="0"/>
    <x v="8"/>
  </r>
  <r>
    <x v="623"/>
    <x v="4"/>
    <x v="13"/>
    <x v="526"/>
    <x v="623"/>
    <x v="117"/>
    <x v="60"/>
    <x v="623"/>
    <x v="0"/>
    <x v="0"/>
    <x v="1"/>
  </r>
  <r>
    <x v="624"/>
    <x v="1"/>
    <x v="4"/>
    <x v="527"/>
    <x v="624"/>
    <x v="160"/>
    <x v="94"/>
    <x v="624"/>
    <x v="0"/>
    <x v="0"/>
    <x v="5"/>
  </r>
  <r>
    <x v="625"/>
    <x v="4"/>
    <x v="10"/>
    <x v="70"/>
    <x v="625"/>
    <x v="264"/>
    <x v="106"/>
    <x v="625"/>
    <x v="0"/>
    <x v="0"/>
    <x v="8"/>
  </r>
  <r>
    <x v="626"/>
    <x v="1"/>
    <x v="3"/>
    <x v="528"/>
    <x v="626"/>
    <x v="360"/>
    <x v="1"/>
    <x v="626"/>
    <x v="0"/>
    <x v="0"/>
    <x v="6"/>
  </r>
  <r>
    <x v="627"/>
    <x v="4"/>
    <x v="12"/>
    <x v="529"/>
    <x v="627"/>
    <x v="117"/>
    <x v="107"/>
    <x v="627"/>
    <x v="0"/>
    <x v="0"/>
    <x v="4"/>
  </r>
  <r>
    <x v="628"/>
    <x v="3"/>
    <x v="5"/>
    <x v="390"/>
    <x v="628"/>
    <x v="314"/>
    <x v="108"/>
    <x v="628"/>
    <x v="1"/>
    <x v="79"/>
    <x v="1"/>
  </r>
  <r>
    <x v="629"/>
    <x v="0"/>
    <x v="9"/>
    <x v="530"/>
    <x v="629"/>
    <x v="289"/>
    <x v="81"/>
    <x v="629"/>
    <x v="0"/>
    <x v="0"/>
    <x v="1"/>
  </r>
  <r>
    <x v="630"/>
    <x v="3"/>
    <x v="20"/>
    <x v="249"/>
    <x v="630"/>
    <x v="301"/>
    <x v="109"/>
    <x v="630"/>
    <x v="0"/>
    <x v="0"/>
    <x v="0"/>
  </r>
  <r>
    <x v="631"/>
    <x v="2"/>
    <x v="16"/>
    <x v="531"/>
    <x v="631"/>
    <x v="153"/>
    <x v="82"/>
    <x v="631"/>
    <x v="1"/>
    <x v="80"/>
    <x v="1"/>
  </r>
  <r>
    <x v="632"/>
    <x v="4"/>
    <x v="17"/>
    <x v="89"/>
    <x v="632"/>
    <x v="310"/>
    <x v="110"/>
    <x v="632"/>
    <x v="0"/>
    <x v="0"/>
    <x v="8"/>
  </r>
  <r>
    <x v="633"/>
    <x v="4"/>
    <x v="12"/>
    <x v="532"/>
    <x v="633"/>
    <x v="308"/>
    <x v="71"/>
    <x v="633"/>
    <x v="0"/>
    <x v="0"/>
    <x v="4"/>
  </r>
  <r>
    <x v="634"/>
    <x v="2"/>
    <x v="4"/>
    <x v="533"/>
    <x v="634"/>
    <x v="112"/>
    <x v="73"/>
    <x v="634"/>
    <x v="0"/>
    <x v="0"/>
    <x v="5"/>
  </r>
  <r>
    <x v="635"/>
    <x v="1"/>
    <x v="10"/>
    <x v="534"/>
    <x v="635"/>
    <x v="360"/>
    <x v="0"/>
    <x v="635"/>
    <x v="1"/>
    <x v="81"/>
    <x v="8"/>
  </r>
  <r>
    <x v="636"/>
    <x v="0"/>
    <x v="4"/>
    <x v="535"/>
    <x v="636"/>
    <x v="254"/>
    <x v="47"/>
    <x v="636"/>
    <x v="0"/>
    <x v="0"/>
    <x v="5"/>
  </r>
  <r>
    <x v="637"/>
    <x v="2"/>
    <x v="5"/>
    <x v="536"/>
    <x v="637"/>
    <x v="144"/>
    <x v="23"/>
    <x v="637"/>
    <x v="1"/>
    <x v="82"/>
    <x v="1"/>
  </r>
  <r>
    <x v="638"/>
    <x v="0"/>
    <x v="1"/>
    <x v="537"/>
    <x v="638"/>
    <x v="352"/>
    <x v="94"/>
    <x v="638"/>
    <x v="1"/>
    <x v="83"/>
    <x v="3"/>
  </r>
  <r>
    <x v="639"/>
    <x v="1"/>
    <x v="7"/>
    <x v="538"/>
    <x v="639"/>
    <x v="361"/>
    <x v="21"/>
    <x v="639"/>
    <x v="1"/>
    <x v="84"/>
    <x v="2"/>
  </r>
  <r>
    <x v="640"/>
    <x v="2"/>
    <x v="19"/>
    <x v="539"/>
    <x v="640"/>
    <x v="362"/>
    <x v="81"/>
    <x v="640"/>
    <x v="0"/>
    <x v="0"/>
    <x v="3"/>
  </r>
  <r>
    <x v="641"/>
    <x v="2"/>
    <x v="20"/>
    <x v="540"/>
    <x v="641"/>
    <x v="311"/>
    <x v="54"/>
    <x v="641"/>
    <x v="0"/>
    <x v="0"/>
    <x v="0"/>
  </r>
  <r>
    <x v="642"/>
    <x v="3"/>
    <x v="14"/>
    <x v="541"/>
    <x v="642"/>
    <x v="122"/>
    <x v="91"/>
    <x v="642"/>
    <x v="0"/>
    <x v="0"/>
    <x v="1"/>
  </r>
  <r>
    <x v="643"/>
    <x v="3"/>
    <x v="9"/>
    <x v="542"/>
    <x v="643"/>
    <x v="129"/>
    <x v="9"/>
    <x v="643"/>
    <x v="0"/>
    <x v="0"/>
    <x v="1"/>
  </r>
  <r>
    <x v="644"/>
    <x v="2"/>
    <x v="2"/>
    <x v="543"/>
    <x v="644"/>
    <x v="363"/>
    <x v="74"/>
    <x v="644"/>
    <x v="1"/>
    <x v="85"/>
    <x v="8"/>
  </r>
  <r>
    <x v="645"/>
    <x v="3"/>
    <x v="5"/>
    <x v="544"/>
    <x v="645"/>
    <x v="351"/>
    <x v="0"/>
    <x v="645"/>
    <x v="1"/>
    <x v="86"/>
    <x v="1"/>
  </r>
  <r>
    <x v="646"/>
    <x v="1"/>
    <x v="17"/>
    <x v="545"/>
    <x v="646"/>
    <x v="364"/>
    <x v="50"/>
    <x v="646"/>
    <x v="0"/>
    <x v="0"/>
    <x v="8"/>
  </r>
  <r>
    <x v="647"/>
    <x v="4"/>
    <x v="1"/>
    <x v="546"/>
    <x v="647"/>
    <x v="365"/>
    <x v="111"/>
    <x v="647"/>
    <x v="0"/>
    <x v="0"/>
    <x v="3"/>
  </r>
  <r>
    <x v="648"/>
    <x v="4"/>
    <x v="19"/>
    <x v="547"/>
    <x v="648"/>
    <x v="152"/>
    <x v="112"/>
    <x v="648"/>
    <x v="1"/>
    <x v="87"/>
    <x v="3"/>
  </r>
  <r>
    <x v="649"/>
    <x v="4"/>
    <x v="5"/>
    <x v="548"/>
    <x v="649"/>
    <x v="73"/>
    <x v="113"/>
    <x v="649"/>
    <x v="0"/>
    <x v="0"/>
    <x v="1"/>
  </r>
  <r>
    <x v="650"/>
    <x v="1"/>
    <x v="16"/>
    <x v="549"/>
    <x v="650"/>
    <x v="366"/>
    <x v="14"/>
    <x v="650"/>
    <x v="0"/>
    <x v="0"/>
    <x v="1"/>
  </r>
  <r>
    <x v="651"/>
    <x v="2"/>
    <x v="8"/>
    <x v="550"/>
    <x v="651"/>
    <x v="367"/>
    <x v="73"/>
    <x v="651"/>
    <x v="1"/>
    <x v="88"/>
    <x v="7"/>
  </r>
  <r>
    <x v="652"/>
    <x v="2"/>
    <x v="19"/>
    <x v="551"/>
    <x v="652"/>
    <x v="271"/>
    <x v="3"/>
    <x v="652"/>
    <x v="1"/>
    <x v="89"/>
    <x v="3"/>
  </r>
  <r>
    <x v="653"/>
    <x v="2"/>
    <x v="4"/>
    <x v="552"/>
    <x v="653"/>
    <x v="79"/>
    <x v="50"/>
    <x v="653"/>
    <x v="1"/>
    <x v="90"/>
    <x v="5"/>
  </r>
  <r>
    <x v="654"/>
    <x v="0"/>
    <x v="19"/>
    <x v="277"/>
    <x v="654"/>
    <x v="368"/>
    <x v="77"/>
    <x v="654"/>
    <x v="0"/>
    <x v="0"/>
    <x v="3"/>
  </r>
  <r>
    <x v="655"/>
    <x v="3"/>
    <x v="5"/>
    <x v="553"/>
    <x v="655"/>
    <x v="369"/>
    <x v="74"/>
    <x v="655"/>
    <x v="1"/>
    <x v="91"/>
    <x v="1"/>
  </r>
  <r>
    <x v="656"/>
    <x v="3"/>
    <x v="8"/>
    <x v="186"/>
    <x v="656"/>
    <x v="370"/>
    <x v="10"/>
    <x v="656"/>
    <x v="0"/>
    <x v="0"/>
    <x v="7"/>
  </r>
  <r>
    <x v="657"/>
    <x v="4"/>
    <x v="15"/>
    <x v="554"/>
    <x v="657"/>
    <x v="200"/>
    <x v="71"/>
    <x v="657"/>
    <x v="0"/>
    <x v="0"/>
    <x v="2"/>
  </r>
  <r>
    <x v="658"/>
    <x v="4"/>
    <x v="17"/>
    <x v="355"/>
    <x v="658"/>
    <x v="217"/>
    <x v="114"/>
    <x v="658"/>
    <x v="0"/>
    <x v="0"/>
    <x v="8"/>
  </r>
  <r>
    <x v="659"/>
    <x v="3"/>
    <x v="3"/>
    <x v="555"/>
    <x v="659"/>
    <x v="371"/>
    <x v="23"/>
    <x v="659"/>
    <x v="0"/>
    <x v="0"/>
    <x v="6"/>
  </r>
  <r>
    <x v="660"/>
    <x v="0"/>
    <x v="19"/>
    <x v="556"/>
    <x v="660"/>
    <x v="115"/>
    <x v="28"/>
    <x v="660"/>
    <x v="0"/>
    <x v="0"/>
    <x v="3"/>
  </r>
  <r>
    <x v="661"/>
    <x v="2"/>
    <x v="11"/>
    <x v="557"/>
    <x v="661"/>
    <x v="372"/>
    <x v="94"/>
    <x v="661"/>
    <x v="0"/>
    <x v="0"/>
    <x v="2"/>
  </r>
  <r>
    <x v="662"/>
    <x v="4"/>
    <x v="4"/>
    <x v="469"/>
    <x v="662"/>
    <x v="282"/>
    <x v="86"/>
    <x v="662"/>
    <x v="0"/>
    <x v="0"/>
    <x v="5"/>
  </r>
  <r>
    <x v="663"/>
    <x v="1"/>
    <x v="15"/>
    <x v="558"/>
    <x v="663"/>
    <x v="206"/>
    <x v="77"/>
    <x v="663"/>
    <x v="0"/>
    <x v="0"/>
    <x v="2"/>
  </r>
  <r>
    <x v="664"/>
    <x v="2"/>
    <x v="10"/>
    <x v="559"/>
    <x v="664"/>
    <x v="207"/>
    <x v="57"/>
    <x v="664"/>
    <x v="1"/>
    <x v="92"/>
    <x v="8"/>
  </r>
  <r>
    <x v="665"/>
    <x v="3"/>
    <x v="10"/>
    <x v="560"/>
    <x v="665"/>
    <x v="67"/>
    <x v="24"/>
    <x v="665"/>
    <x v="1"/>
    <x v="93"/>
    <x v="8"/>
  </r>
  <r>
    <x v="666"/>
    <x v="3"/>
    <x v="8"/>
    <x v="561"/>
    <x v="666"/>
    <x v="367"/>
    <x v="65"/>
    <x v="666"/>
    <x v="0"/>
    <x v="0"/>
    <x v="7"/>
  </r>
  <r>
    <x v="667"/>
    <x v="0"/>
    <x v="16"/>
    <x v="562"/>
    <x v="667"/>
    <x v="328"/>
    <x v="56"/>
    <x v="667"/>
    <x v="0"/>
    <x v="0"/>
    <x v="1"/>
  </r>
  <r>
    <x v="668"/>
    <x v="4"/>
    <x v="13"/>
    <x v="563"/>
    <x v="668"/>
    <x v="217"/>
    <x v="30"/>
    <x v="668"/>
    <x v="0"/>
    <x v="0"/>
    <x v="1"/>
  </r>
  <r>
    <x v="669"/>
    <x v="4"/>
    <x v="4"/>
    <x v="564"/>
    <x v="669"/>
    <x v="90"/>
    <x v="115"/>
    <x v="669"/>
    <x v="0"/>
    <x v="0"/>
    <x v="5"/>
  </r>
  <r>
    <x v="670"/>
    <x v="4"/>
    <x v="7"/>
    <x v="565"/>
    <x v="670"/>
    <x v="197"/>
    <x v="91"/>
    <x v="670"/>
    <x v="0"/>
    <x v="0"/>
    <x v="2"/>
  </r>
  <r>
    <x v="671"/>
    <x v="2"/>
    <x v="19"/>
    <x v="242"/>
    <x v="671"/>
    <x v="373"/>
    <x v="7"/>
    <x v="671"/>
    <x v="0"/>
    <x v="0"/>
    <x v="3"/>
  </r>
  <r>
    <x v="672"/>
    <x v="3"/>
    <x v="10"/>
    <x v="560"/>
    <x v="672"/>
    <x v="374"/>
    <x v="78"/>
    <x v="672"/>
    <x v="1"/>
    <x v="94"/>
    <x v="8"/>
  </r>
  <r>
    <x v="673"/>
    <x v="0"/>
    <x v="17"/>
    <x v="566"/>
    <x v="673"/>
    <x v="375"/>
    <x v="77"/>
    <x v="673"/>
    <x v="0"/>
    <x v="0"/>
    <x v="8"/>
  </r>
  <r>
    <x v="674"/>
    <x v="1"/>
    <x v="20"/>
    <x v="451"/>
    <x v="674"/>
    <x v="129"/>
    <x v="94"/>
    <x v="674"/>
    <x v="0"/>
    <x v="0"/>
    <x v="0"/>
  </r>
  <r>
    <x v="675"/>
    <x v="0"/>
    <x v="16"/>
    <x v="567"/>
    <x v="675"/>
    <x v="376"/>
    <x v="81"/>
    <x v="675"/>
    <x v="0"/>
    <x v="0"/>
    <x v="1"/>
  </r>
  <r>
    <x v="676"/>
    <x v="4"/>
    <x v="17"/>
    <x v="568"/>
    <x v="676"/>
    <x v="341"/>
    <x v="112"/>
    <x v="676"/>
    <x v="0"/>
    <x v="0"/>
    <x v="8"/>
  </r>
  <r>
    <x v="677"/>
    <x v="0"/>
    <x v="16"/>
    <x v="569"/>
    <x v="677"/>
    <x v="246"/>
    <x v="21"/>
    <x v="677"/>
    <x v="0"/>
    <x v="0"/>
    <x v="1"/>
  </r>
  <r>
    <x v="678"/>
    <x v="2"/>
    <x v="13"/>
    <x v="570"/>
    <x v="678"/>
    <x v="351"/>
    <x v="20"/>
    <x v="678"/>
    <x v="0"/>
    <x v="0"/>
    <x v="1"/>
  </r>
  <r>
    <x v="679"/>
    <x v="2"/>
    <x v="16"/>
    <x v="571"/>
    <x v="679"/>
    <x v="377"/>
    <x v="37"/>
    <x v="679"/>
    <x v="0"/>
    <x v="0"/>
    <x v="1"/>
  </r>
  <r>
    <x v="680"/>
    <x v="0"/>
    <x v="1"/>
    <x v="380"/>
    <x v="680"/>
    <x v="241"/>
    <x v="87"/>
    <x v="680"/>
    <x v="0"/>
    <x v="0"/>
    <x v="3"/>
  </r>
  <r>
    <x v="681"/>
    <x v="4"/>
    <x v="13"/>
    <x v="572"/>
    <x v="681"/>
    <x v="220"/>
    <x v="116"/>
    <x v="681"/>
    <x v="0"/>
    <x v="0"/>
    <x v="1"/>
  </r>
  <r>
    <x v="682"/>
    <x v="4"/>
    <x v="9"/>
    <x v="573"/>
    <x v="682"/>
    <x v="168"/>
    <x v="117"/>
    <x v="682"/>
    <x v="0"/>
    <x v="0"/>
    <x v="1"/>
  </r>
  <r>
    <x v="683"/>
    <x v="1"/>
    <x v="7"/>
    <x v="574"/>
    <x v="683"/>
    <x v="204"/>
    <x v="68"/>
    <x v="683"/>
    <x v="0"/>
    <x v="0"/>
    <x v="2"/>
  </r>
  <r>
    <x v="684"/>
    <x v="4"/>
    <x v="13"/>
    <x v="67"/>
    <x v="684"/>
    <x v="73"/>
    <x v="118"/>
    <x v="684"/>
    <x v="1"/>
    <x v="95"/>
    <x v="1"/>
  </r>
  <r>
    <x v="685"/>
    <x v="0"/>
    <x v="1"/>
    <x v="575"/>
    <x v="685"/>
    <x v="232"/>
    <x v="1"/>
    <x v="685"/>
    <x v="1"/>
    <x v="96"/>
    <x v="3"/>
  </r>
  <r>
    <x v="686"/>
    <x v="4"/>
    <x v="7"/>
    <x v="576"/>
    <x v="686"/>
    <x v="299"/>
    <x v="119"/>
    <x v="686"/>
    <x v="0"/>
    <x v="0"/>
    <x v="2"/>
  </r>
  <r>
    <x v="687"/>
    <x v="4"/>
    <x v="10"/>
    <x v="577"/>
    <x v="687"/>
    <x v="296"/>
    <x v="120"/>
    <x v="687"/>
    <x v="0"/>
    <x v="0"/>
    <x v="8"/>
  </r>
  <r>
    <x v="688"/>
    <x v="2"/>
    <x v="5"/>
    <x v="578"/>
    <x v="688"/>
    <x v="378"/>
    <x v="26"/>
    <x v="688"/>
    <x v="0"/>
    <x v="0"/>
    <x v="1"/>
  </r>
  <r>
    <x v="689"/>
    <x v="2"/>
    <x v="10"/>
    <x v="579"/>
    <x v="689"/>
    <x v="286"/>
    <x v="23"/>
    <x v="689"/>
    <x v="0"/>
    <x v="0"/>
    <x v="8"/>
  </r>
  <r>
    <x v="690"/>
    <x v="2"/>
    <x v="9"/>
    <x v="206"/>
    <x v="690"/>
    <x v="247"/>
    <x v="38"/>
    <x v="690"/>
    <x v="0"/>
    <x v="0"/>
    <x v="1"/>
  </r>
  <r>
    <x v="691"/>
    <x v="4"/>
    <x v="16"/>
    <x v="580"/>
    <x v="691"/>
    <x v="220"/>
    <x v="121"/>
    <x v="691"/>
    <x v="0"/>
    <x v="0"/>
    <x v="1"/>
  </r>
  <r>
    <x v="692"/>
    <x v="0"/>
    <x v="16"/>
    <x v="178"/>
    <x v="692"/>
    <x v="375"/>
    <x v="77"/>
    <x v="692"/>
    <x v="0"/>
    <x v="0"/>
    <x v="1"/>
  </r>
  <r>
    <x v="693"/>
    <x v="0"/>
    <x v="12"/>
    <x v="581"/>
    <x v="693"/>
    <x v="197"/>
    <x v="20"/>
    <x v="693"/>
    <x v="0"/>
    <x v="0"/>
    <x v="4"/>
  </r>
  <r>
    <x v="694"/>
    <x v="2"/>
    <x v="2"/>
    <x v="582"/>
    <x v="694"/>
    <x v="339"/>
    <x v="43"/>
    <x v="694"/>
    <x v="0"/>
    <x v="0"/>
    <x v="8"/>
  </r>
  <r>
    <x v="695"/>
    <x v="3"/>
    <x v="13"/>
    <x v="583"/>
    <x v="695"/>
    <x v="28"/>
    <x v="94"/>
    <x v="695"/>
    <x v="0"/>
    <x v="0"/>
    <x v="1"/>
  </r>
  <r>
    <x v="696"/>
    <x v="0"/>
    <x v="13"/>
    <x v="584"/>
    <x v="696"/>
    <x v="81"/>
    <x v="50"/>
    <x v="696"/>
    <x v="0"/>
    <x v="0"/>
    <x v="1"/>
  </r>
  <r>
    <x v="697"/>
    <x v="1"/>
    <x v="12"/>
    <x v="585"/>
    <x v="697"/>
    <x v="331"/>
    <x v="11"/>
    <x v="697"/>
    <x v="1"/>
    <x v="97"/>
    <x v="4"/>
  </r>
  <r>
    <x v="698"/>
    <x v="3"/>
    <x v="10"/>
    <x v="586"/>
    <x v="698"/>
    <x v="276"/>
    <x v="78"/>
    <x v="698"/>
    <x v="1"/>
    <x v="98"/>
    <x v="8"/>
  </r>
  <r>
    <x v="699"/>
    <x v="4"/>
    <x v="10"/>
    <x v="587"/>
    <x v="699"/>
    <x v="241"/>
    <x v="97"/>
    <x v="699"/>
    <x v="0"/>
    <x v="0"/>
    <x v="8"/>
  </r>
  <r>
    <x v="700"/>
    <x v="3"/>
    <x v="10"/>
    <x v="577"/>
    <x v="700"/>
    <x v="56"/>
    <x v="87"/>
    <x v="700"/>
    <x v="1"/>
    <x v="99"/>
    <x v="8"/>
  </r>
  <r>
    <x v="701"/>
    <x v="0"/>
    <x v="4"/>
    <x v="588"/>
    <x v="701"/>
    <x v="209"/>
    <x v="87"/>
    <x v="701"/>
    <x v="0"/>
    <x v="0"/>
    <x v="5"/>
  </r>
  <r>
    <x v="702"/>
    <x v="2"/>
    <x v="15"/>
    <x v="558"/>
    <x v="702"/>
    <x v="109"/>
    <x v="35"/>
    <x v="702"/>
    <x v="0"/>
    <x v="0"/>
    <x v="2"/>
  </r>
  <r>
    <x v="703"/>
    <x v="0"/>
    <x v="19"/>
    <x v="589"/>
    <x v="703"/>
    <x v="379"/>
    <x v="77"/>
    <x v="703"/>
    <x v="1"/>
    <x v="100"/>
    <x v="3"/>
  </r>
  <r>
    <x v="704"/>
    <x v="2"/>
    <x v="2"/>
    <x v="590"/>
    <x v="704"/>
    <x v="380"/>
    <x v="67"/>
    <x v="704"/>
    <x v="1"/>
    <x v="101"/>
    <x v="8"/>
  </r>
  <r>
    <x v="705"/>
    <x v="0"/>
    <x v="7"/>
    <x v="591"/>
    <x v="705"/>
    <x v="381"/>
    <x v="81"/>
    <x v="705"/>
    <x v="0"/>
    <x v="0"/>
    <x v="2"/>
  </r>
  <r>
    <x v="706"/>
    <x v="3"/>
    <x v="6"/>
    <x v="592"/>
    <x v="706"/>
    <x v="370"/>
    <x v="38"/>
    <x v="706"/>
    <x v="0"/>
    <x v="0"/>
    <x v="8"/>
  </r>
  <r>
    <x v="707"/>
    <x v="3"/>
    <x v="10"/>
    <x v="119"/>
    <x v="707"/>
    <x v="47"/>
    <x v="20"/>
    <x v="707"/>
    <x v="1"/>
    <x v="102"/>
    <x v="8"/>
  </r>
  <r>
    <x v="708"/>
    <x v="4"/>
    <x v="15"/>
    <x v="593"/>
    <x v="708"/>
    <x v="29"/>
    <x v="122"/>
    <x v="708"/>
    <x v="0"/>
    <x v="0"/>
    <x v="2"/>
  </r>
  <r>
    <x v="709"/>
    <x v="3"/>
    <x v="10"/>
    <x v="594"/>
    <x v="709"/>
    <x v="1"/>
    <x v="94"/>
    <x v="709"/>
    <x v="1"/>
    <x v="103"/>
    <x v="8"/>
  </r>
  <r>
    <x v="710"/>
    <x v="3"/>
    <x v="7"/>
    <x v="595"/>
    <x v="710"/>
    <x v="172"/>
    <x v="123"/>
    <x v="710"/>
    <x v="0"/>
    <x v="0"/>
    <x v="2"/>
  </r>
  <r>
    <x v="711"/>
    <x v="0"/>
    <x v="15"/>
    <x v="596"/>
    <x v="711"/>
    <x v="382"/>
    <x v="23"/>
    <x v="711"/>
    <x v="0"/>
    <x v="0"/>
    <x v="2"/>
  </r>
  <r>
    <x v="712"/>
    <x v="2"/>
    <x v="20"/>
    <x v="597"/>
    <x v="712"/>
    <x v="157"/>
    <x v="21"/>
    <x v="712"/>
    <x v="0"/>
    <x v="0"/>
    <x v="0"/>
  </r>
  <r>
    <x v="713"/>
    <x v="4"/>
    <x v="8"/>
    <x v="417"/>
    <x v="713"/>
    <x v="147"/>
    <x v="124"/>
    <x v="713"/>
    <x v="0"/>
    <x v="0"/>
    <x v="7"/>
  </r>
  <r>
    <x v="714"/>
    <x v="4"/>
    <x v="12"/>
    <x v="288"/>
    <x v="714"/>
    <x v="237"/>
    <x v="125"/>
    <x v="714"/>
    <x v="0"/>
    <x v="0"/>
    <x v="4"/>
  </r>
  <r>
    <x v="715"/>
    <x v="2"/>
    <x v="1"/>
    <x v="211"/>
    <x v="715"/>
    <x v="70"/>
    <x v="73"/>
    <x v="715"/>
    <x v="0"/>
    <x v="0"/>
    <x v="3"/>
  </r>
  <r>
    <x v="716"/>
    <x v="3"/>
    <x v="19"/>
    <x v="269"/>
    <x v="716"/>
    <x v="77"/>
    <x v="87"/>
    <x v="716"/>
    <x v="0"/>
    <x v="0"/>
    <x v="3"/>
  </r>
  <r>
    <x v="717"/>
    <x v="3"/>
    <x v="5"/>
    <x v="598"/>
    <x v="717"/>
    <x v="383"/>
    <x v="1"/>
    <x v="717"/>
    <x v="0"/>
    <x v="0"/>
    <x v="1"/>
  </r>
  <r>
    <x v="718"/>
    <x v="4"/>
    <x v="18"/>
    <x v="599"/>
    <x v="718"/>
    <x v="255"/>
    <x v="91"/>
    <x v="718"/>
    <x v="0"/>
    <x v="0"/>
    <x v="9"/>
  </r>
  <r>
    <x v="719"/>
    <x v="3"/>
    <x v="8"/>
    <x v="600"/>
    <x v="719"/>
    <x v="353"/>
    <x v="27"/>
    <x v="719"/>
    <x v="0"/>
    <x v="0"/>
    <x v="7"/>
  </r>
  <r>
    <x v="720"/>
    <x v="3"/>
    <x v="10"/>
    <x v="601"/>
    <x v="720"/>
    <x v="30"/>
    <x v="65"/>
    <x v="720"/>
    <x v="1"/>
    <x v="104"/>
    <x v="8"/>
  </r>
  <r>
    <x v="721"/>
    <x v="3"/>
    <x v="7"/>
    <x v="602"/>
    <x v="721"/>
    <x v="384"/>
    <x v="126"/>
    <x v="721"/>
    <x v="0"/>
    <x v="0"/>
    <x v="2"/>
  </r>
  <r>
    <x v="722"/>
    <x v="3"/>
    <x v="20"/>
    <x v="603"/>
    <x v="722"/>
    <x v="158"/>
    <x v="20"/>
    <x v="722"/>
    <x v="0"/>
    <x v="0"/>
    <x v="0"/>
  </r>
  <r>
    <x v="723"/>
    <x v="2"/>
    <x v="7"/>
    <x v="604"/>
    <x v="723"/>
    <x v="385"/>
    <x v="77"/>
    <x v="723"/>
    <x v="0"/>
    <x v="0"/>
    <x v="2"/>
  </r>
  <r>
    <x v="724"/>
    <x v="4"/>
    <x v="7"/>
    <x v="604"/>
    <x v="724"/>
    <x v="11"/>
    <x v="127"/>
    <x v="724"/>
    <x v="0"/>
    <x v="0"/>
    <x v="2"/>
  </r>
  <r>
    <x v="725"/>
    <x v="3"/>
    <x v="17"/>
    <x v="605"/>
    <x v="725"/>
    <x v="386"/>
    <x v="33"/>
    <x v="725"/>
    <x v="1"/>
    <x v="105"/>
    <x v="8"/>
  </r>
  <r>
    <x v="726"/>
    <x v="2"/>
    <x v="17"/>
    <x v="606"/>
    <x v="726"/>
    <x v="243"/>
    <x v="49"/>
    <x v="726"/>
    <x v="1"/>
    <x v="106"/>
    <x v="8"/>
  </r>
  <r>
    <x v="727"/>
    <x v="2"/>
    <x v="12"/>
    <x v="607"/>
    <x v="727"/>
    <x v="262"/>
    <x v="82"/>
    <x v="727"/>
    <x v="0"/>
    <x v="0"/>
    <x v="4"/>
  </r>
  <r>
    <x v="728"/>
    <x v="0"/>
    <x v="1"/>
    <x v="608"/>
    <x v="728"/>
    <x v="134"/>
    <x v="18"/>
    <x v="728"/>
    <x v="0"/>
    <x v="0"/>
    <x v="3"/>
  </r>
  <r>
    <x v="729"/>
    <x v="3"/>
    <x v="4"/>
    <x v="533"/>
    <x v="729"/>
    <x v="205"/>
    <x v="128"/>
    <x v="729"/>
    <x v="0"/>
    <x v="0"/>
    <x v="5"/>
  </r>
  <r>
    <x v="730"/>
    <x v="2"/>
    <x v="11"/>
    <x v="49"/>
    <x v="730"/>
    <x v="266"/>
    <x v="11"/>
    <x v="730"/>
    <x v="1"/>
    <x v="107"/>
    <x v="2"/>
  </r>
  <r>
    <x v="731"/>
    <x v="2"/>
    <x v="19"/>
    <x v="379"/>
    <x v="731"/>
    <x v="65"/>
    <x v="32"/>
    <x v="731"/>
    <x v="1"/>
    <x v="108"/>
    <x v="3"/>
  </r>
  <r>
    <x v="732"/>
    <x v="3"/>
    <x v="17"/>
    <x v="92"/>
    <x v="732"/>
    <x v="171"/>
    <x v="48"/>
    <x v="732"/>
    <x v="1"/>
    <x v="109"/>
    <x v="8"/>
  </r>
  <r>
    <x v="733"/>
    <x v="3"/>
    <x v="17"/>
    <x v="609"/>
    <x v="733"/>
    <x v="58"/>
    <x v="47"/>
    <x v="733"/>
    <x v="1"/>
    <x v="110"/>
    <x v="8"/>
  </r>
  <r>
    <x v="734"/>
    <x v="3"/>
    <x v="5"/>
    <x v="275"/>
    <x v="734"/>
    <x v="387"/>
    <x v="56"/>
    <x v="734"/>
    <x v="0"/>
    <x v="0"/>
    <x v="1"/>
  </r>
  <r>
    <x v="735"/>
    <x v="3"/>
    <x v="5"/>
    <x v="610"/>
    <x v="735"/>
    <x v="119"/>
    <x v="52"/>
    <x v="735"/>
    <x v="0"/>
    <x v="0"/>
    <x v="1"/>
  </r>
  <r>
    <x v="736"/>
    <x v="4"/>
    <x v="16"/>
    <x v="571"/>
    <x v="736"/>
    <x v="281"/>
    <x v="129"/>
    <x v="736"/>
    <x v="0"/>
    <x v="0"/>
    <x v="1"/>
  </r>
  <r>
    <x v="737"/>
    <x v="0"/>
    <x v="18"/>
    <x v="333"/>
    <x v="737"/>
    <x v="295"/>
    <x v="35"/>
    <x v="737"/>
    <x v="0"/>
    <x v="0"/>
    <x v="9"/>
  </r>
  <r>
    <x v="738"/>
    <x v="3"/>
    <x v="17"/>
    <x v="611"/>
    <x v="738"/>
    <x v="355"/>
    <x v="130"/>
    <x v="738"/>
    <x v="0"/>
    <x v="0"/>
    <x v="8"/>
  </r>
  <r>
    <x v="739"/>
    <x v="3"/>
    <x v="9"/>
    <x v="612"/>
    <x v="739"/>
    <x v="388"/>
    <x v="34"/>
    <x v="739"/>
    <x v="0"/>
    <x v="0"/>
    <x v="1"/>
  </r>
  <r>
    <x v="740"/>
    <x v="1"/>
    <x v="15"/>
    <x v="613"/>
    <x v="740"/>
    <x v="347"/>
    <x v="20"/>
    <x v="740"/>
    <x v="1"/>
    <x v="111"/>
    <x v="2"/>
  </r>
  <r>
    <x v="741"/>
    <x v="2"/>
    <x v="1"/>
    <x v="614"/>
    <x v="741"/>
    <x v="324"/>
    <x v="74"/>
    <x v="741"/>
    <x v="1"/>
    <x v="112"/>
    <x v="3"/>
  </r>
  <r>
    <x v="742"/>
    <x v="0"/>
    <x v="12"/>
    <x v="615"/>
    <x v="742"/>
    <x v="232"/>
    <x v="68"/>
    <x v="742"/>
    <x v="0"/>
    <x v="0"/>
    <x v="4"/>
  </r>
  <r>
    <x v="743"/>
    <x v="3"/>
    <x v="3"/>
    <x v="616"/>
    <x v="743"/>
    <x v="15"/>
    <x v="20"/>
    <x v="743"/>
    <x v="0"/>
    <x v="0"/>
    <x v="6"/>
  </r>
  <r>
    <x v="744"/>
    <x v="0"/>
    <x v="5"/>
    <x v="617"/>
    <x v="744"/>
    <x v="195"/>
    <x v="68"/>
    <x v="744"/>
    <x v="0"/>
    <x v="0"/>
    <x v="1"/>
  </r>
  <r>
    <x v="745"/>
    <x v="1"/>
    <x v="2"/>
    <x v="618"/>
    <x v="745"/>
    <x v="199"/>
    <x v="28"/>
    <x v="745"/>
    <x v="1"/>
    <x v="113"/>
    <x v="8"/>
  </r>
  <r>
    <x v="746"/>
    <x v="2"/>
    <x v="10"/>
    <x v="619"/>
    <x v="746"/>
    <x v="121"/>
    <x v="20"/>
    <x v="746"/>
    <x v="0"/>
    <x v="0"/>
    <x v="8"/>
  </r>
  <r>
    <x v="747"/>
    <x v="3"/>
    <x v="17"/>
    <x v="620"/>
    <x v="747"/>
    <x v="348"/>
    <x v="33"/>
    <x v="747"/>
    <x v="0"/>
    <x v="0"/>
    <x v="8"/>
  </r>
  <r>
    <x v="748"/>
    <x v="4"/>
    <x v="12"/>
    <x v="621"/>
    <x v="748"/>
    <x v="90"/>
    <x v="13"/>
    <x v="748"/>
    <x v="0"/>
    <x v="0"/>
    <x v="4"/>
  </r>
  <r>
    <x v="749"/>
    <x v="3"/>
    <x v="17"/>
    <x v="622"/>
    <x v="749"/>
    <x v="162"/>
    <x v="94"/>
    <x v="749"/>
    <x v="1"/>
    <x v="114"/>
    <x v="8"/>
  </r>
  <r>
    <x v="750"/>
    <x v="0"/>
    <x v="14"/>
    <x v="623"/>
    <x v="750"/>
    <x v="389"/>
    <x v="81"/>
    <x v="750"/>
    <x v="1"/>
    <x v="115"/>
    <x v="1"/>
  </r>
  <r>
    <x v="751"/>
    <x v="0"/>
    <x v="14"/>
    <x v="624"/>
    <x v="751"/>
    <x v="7"/>
    <x v="7"/>
    <x v="751"/>
    <x v="0"/>
    <x v="0"/>
    <x v="1"/>
  </r>
  <r>
    <x v="752"/>
    <x v="4"/>
    <x v="6"/>
    <x v="625"/>
    <x v="752"/>
    <x v="195"/>
    <x v="105"/>
    <x v="752"/>
    <x v="0"/>
    <x v="0"/>
    <x v="8"/>
  </r>
  <r>
    <x v="753"/>
    <x v="1"/>
    <x v="3"/>
    <x v="626"/>
    <x v="753"/>
    <x v="49"/>
    <x v="15"/>
    <x v="753"/>
    <x v="0"/>
    <x v="0"/>
    <x v="6"/>
  </r>
  <r>
    <x v="754"/>
    <x v="2"/>
    <x v="4"/>
    <x v="627"/>
    <x v="754"/>
    <x v="390"/>
    <x v="31"/>
    <x v="754"/>
    <x v="0"/>
    <x v="0"/>
    <x v="5"/>
  </r>
  <r>
    <x v="755"/>
    <x v="2"/>
    <x v="12"/>
    <x v="628"/>
    <x v="755"/>
    <x v="358"/>
    <x v="53"/>
    <x v="755"/>
    <x v="0"/>
    <x v="0"/>
    <x v="4"/>
  </r>
  <r>
    <x v="756"/>
    <x v="2"/>
    <x v="12"/>
    <x v="629"/>
    <x v="756"/>
    <x v="114"/>
    <x v="75"/>
    <x v="756"/>
    <x v="1"/>
    <x v="116"/>
    <x v="4"/>
  </r>
  <r>
    <x v="757"/>
    <x v="1"/>
    <x v="19"/>
    <x v="630"/>
    <x v="757"/>
    <x v="67"/>
    <x v="82"/>
    <x v="757"/>
    <x v="0"/>
    <x v="0"/>
    <x v="3"/>
  </r>
  <r>
    <x v="758"/>
    <x v="2"/>
    <x v="3"/>
    <x v="631"/>
    <x v="758"/>
    <x v="322"/>
    <x v="49"/>
    <x v="758"/>
    <x v="0"/>
    <x v="0"/>
    <x v="6"/>
  </r>
  <r>
    <x v="759"/>
    <x v="2"/>
    <x v="8"/>
    <x v="632"/>
    <x v="759"/>
    <x v="291"/>
    <x v="68"/>
    <x v="759"/>
    <x v="1"/>
    <x v="117"/>
    <x v="7"/>
  </r>
  <r>
    <x v="760"/>
    <x v="2"/>
    <x v="12"/>
    <x v="633"/>
    <x v="760"/>
    <x v="55"/>
    <x v="49"/>
    <x v="760"/>
    <x v="0"/>
    <x v="0"/>
    <x v="4"/>
  </r>
  <r>
    <x v="761"/>
    <x v="4"/>
    <x v="4"/>
    <x v="104"/>
    <x v="761"/>
    <x v="223"/>
    <x v="131"/>
    <x v="761"/>
    <x v="1"/>
    <x v="118"/>
    <x v="5"/>
  </r>
  <r>
    <x v="762"/>
    <x v="0"/>
    <x v="12"/>
    <x v="396"/>
    <x v="762"/>
    <x v="173"/>
    <x v="50"/>
    <x v="762"/>
    <x v="0"/>
    <x v="0"/>
    <x v="4"/>
  </r>
  <r>
    <x v="763"/>
    <x v="4"/>
    <x v="19"/>
    <x v="539"/>
    <x v="763"/>
    <x v="10"/>
    <x v="132"/>
    <x v="763"/>
    <x v="0"/>
    <x v="0"/>
    <x v="3"/>
  </r>
  <r>
    <x v="764"/>
    <x v="3"/>
    <x v="13"/>
    <x v="507"/>
    <x v="764"/>
    <x v="391"/>
    <x v="59"/>
    <x v="764"/>
    <x v="0"/>
    <x v="0"/>
    <x v="1"/>
  </r>
  <r>
    <x v="765"/>
    <x v="4"/>
    <x v="16"/>
    <x v="634"/>
    <x v="765"/>
    <x v="210"/>
    <x v="115"/>
    <x v="765"/>
    <x v="0"/>
    <x v="0"/>
    <x v="1"/>
  </r>
  <r>
    <x v="766"/>
    <x v="3"/>
    <x v="14"/>
    <x v="635"/>
    <x v="766"/>
    <x v="79"/>
    <x v="108"/>
    <x v="766"/>
    <x v="0"/>
    <x v="0"/>
    <x v="1"/>
  </r>
  <r>
    <x v="767"/>
    <x v="2"/>
    <x v="7"/>
    <x v="636"/>
    <x v="767"/>
    <x v="74"/>
    <x v="8"/>
    <x v="767"/>
    <x v="1"/>
    <x v="119"/>
    <x v="2"/>
  </r>
  <r>
    <x v="768"/>
    <x v="1"/>
    <x v="16"/>
    <x v="637"/>
    <x v="768"/>
    <x v="160"/>
    <x v="20"/>
    <x v="768"/>
    <x v="0"/>
    <x v="0"/>
    <x v="1"/>
  </r>
  <r>
    <x v="769"/>
    <x v="3"/>
    <x v="17"/>
    <x v="143"/>
    <x v="769"/>
    <x v="380"/>
    <x v="133"/>
    <x v="769"/>
    <x v="1"/>
    <x v="120"/>
    <x v="8"/>
  </r>
  <r>
    <x v="770"/>
    <x v="3"/>
    <x v="3"/>
    <x v="638"/>
    <x v="770"/>
    <x v="129"/>
    <x v="25"/>
    <x v="770"/>
    <x v="0"/>
    <x v="0"/>
    <x v="6"/>
  </r>
  <r>
    <x v="771"/>
    <x v="3"/>
    <x v="16"/>
    <x v="639"/>
    <x v="771"/>
    <x v="53"/>
    <x v="11"/>
    <x v="771"/>
    <x v="0"/>
    <x v="0"/>
    <x v="1"/>
  </r>
  <r>
    <x v="772"/>
    <x v="0"/>
    <x v="7"/>
    <x v="516"/>
    <x v="772"/>
    <x v="209"/>
    <x v="82"/>
    <x v="772"/>
    <x v="1"/>
    <x v="121"/>
    <x v="2"/>
  </r>
  <r>
    <x v="773"/>
    <x v="0"/>
    <x v="1"/>
    <x v="94"/>
    <x v="773"/>
    <x v="223"/>
    <x v="81"/>
    <x v="773"/>
    <x v="0"/>
    <x v="0"/>
    <x v="3"/>
  </r>
  <r>
    <x v="774"/>
    <x v="3"/>
    <x v="9"/>
    <x v="542"/>
    <x v="774"/>
    <x v="392"/>
    <x v="9"/>
    <x v="774"/>
    <x v="0"/>
    <x v="0"/>
    <x v="1"/>
  </r>
  <r>
    <x v="775"/>
    <x v="4"/>
    <x v="7"/>
    <x v="640"/>
    <x v="775"/>
    <x v="241"/>
    <x v="134"/>
    <x v="775"/>
    <x v="0"/>
    <x v="0"/>
    <x v="2"/>
  </r>
  <r>
    <x v="776"/>
    <x v="0"/>
    <x v="5"/>
    <x v="358"/>
    <x v="776"/>
    <x v="36"/>
    <x v="20"/>
    <x v="776"/>
    <x v="0"/>
    <x v="0"/>
    <x v="1"/>
  </r>
  <r>
    <x v="777"/>
    <x v="0"/>
    <x v="1"/>
    <x v="130"/>
    <x v="777"/>
    <x v="376"/>
    <x v="77"/>
    <x v="777"/>
    <x v="1"/>
    <x v="122"/>
    <x v="3"/>
  </r>
  <r>
    <x v="778"/>
    <x v="0"/>
    <x v="10"/>
    <x v="641"/>
    <x v="778"/>
    <x v="323"/>
    <x v="20"/>
    <x v="778"/>
    <x v="0"/>
    <x v="0"/>
    <x v="8"/>
  </r>
  <r>
    <x v="779"/>
    <x v="4"/>
    <x v="12"/>
    <x v="642"/>
    <x v="779"/>
    <x v="295"/>
    <x v="135"/>
    <x v="779"/>
    <x v="0"/>
    <x v="0"/>
    <x v="4"/>
  </r>
  <r>
    <x v="780"/>
    <x v="3"/>
    <x v="15"/>
    <x v="643"/>
    <x v="780"/>
    <x v="177"/>
    <x v="46"/>
    <x v="780"/>
    <x v="0"/>
    <x v="0"/>
    <x v="2"/>
  </r>
  <r>
    <x v="781"/>
    <x v="2"/>
    <x v="7"/>
    <x v="644"/>
    <x v="781"/>
    <x v="124"/>
    <x v="58"/>
    <x v="781"/>
    <x v="0"/>
    <x v="0"/>
    <x v="2"/>
  </r>
  <r>
    <x v="782"/>
    <x v="3"/>
    <x v="20"/>
    <x v="116"/>
    <x v="782"/>
    <x v="285"/>
    <x v="82"/>
    <x v="782"/>
    <x v="0"/>
    <x v="0"/>
    <x v="0"/>
  </r>
  <r>
    <x v="783"/>
    <x v="3"/>
    <x v="5"/>
    <x v="645"/>
    <x v="783"/>
    <x v="393"/>
    <x v="81"/>
    <x v="783"/>
    <x v="0"/>
    <x v="0"/>
    <x v="1"/>
  </r>
  <r>
    <x v="784"/>
    <x v="4"/>
    <x v="16"/>
    <x v="646"/>
    <x v="784"/>
    <x v="277"/>
    <x v="136"/>
    <x v="784"/>
    <x v="0"/>
    <x v="0"/>
    <x v="1"/>
  </r>
  <r>
    <x v="785"/>
    <x v="2"/>
    <x v="7"/>
    <x v="647"/>
    <x v="785"/>
    <x v="4"/>
    <x v="64"/>
    <x v="785"/>
    <x v="1"/>
    <x v="123"/>
    <x v="2"/>
  </r>
  <r>
    <x v="786"/>
    <x v="2"/>
    <x v="1"/>
    <x v="648"/>
    <x v="786"/>
    <x v="70"/>
    <x v="74"/>
    <x v="786"/>
    <x v="0"/>
    <x v="0"/>
    <x v="3"/>
  </r>
  <r>
    <x v="787"/>
    <x v="4"/>
    <x v="10"/>
    <x v="520"/>
    <x v="787"/>
    <x v="78"/>
    <x v="89"/>
    <x v="787"/>
    <x v="0"/>
    <x v="0"/>
    <x v="8"/>
  </r>
  <r>
    <x v="788"/>
    <x v="0"/>
    <x v="14"/>
    <x v="649"/>
    <x v="788"/>
    <x v="323"/>
    <x v="20"/>
    <x v="788"/>
    <x v="0"/>
    <x v="0"/>
    <x v="1"/>
  </r>
  <r>
    <x v="789"/>
    <x v="0"/>
    <x v="14"/>
    <x v="55"/>
    <x v="789"/>
    <x v="338"/>
    <x v="50"/>
    <x v="789"/>
    <x v="1"/>
    <x v="124"/>
    <x v="1"/>
  </r>
  <r>
    <x v="790"/>
    <x v="0"/>
    <x v="9"/>
    <x v="650"/>
    <x v="790"/>
    <x v="217"/>
    <x v="56"/>
    <x v="790"/>
    <x v="0"/>
    <x v="0"/>
    <x v="1"/>
  </r>
  <r>
    <x v="791"/>
    <x v="4"/>
    <x v="3"/>
    <x v="448"/>
    <x v="791"/>
    <x v="299"/>
    <x v="30"/>
    <x v="791"/>
    <x v="0"/>
    <x v="0"/>
    <x v="6"/>
  </r>
  <r>
    <x v="792"/>
    <x v="3"/>
    <x v="4"/>
    <x v="651"/>
    <x v="792"/>
    <x v="48"/>
    <x v="55"/>
    <x v="792"/>
    <x v="0"/>
    <x v="0"/>
    <x v="5"/>
  </r>
  <r>
    <x v="793"/>
    <x v="4"/>
    <x v="18"/>
    <x v="599"/>
    <x v="793"/>
    <x v="273"/>
    <x v="95"/>
    <x v="793"/>
    <x v="0"/>
    <x v="0"/>
    <x v="9"/>
  </r>
  <r>
    <x v="794"/>
    <x v="0"/>
    <x v="5"/>
    <x v="360"/>
    <x v="794"/>
    <x v="394"/>
    <x v="87"/>
    <x v="794"/>
    <x v="0"/>
    <x v="0"/>
    <x v="1"/>
  </r>
  <r>
    <x v="795"/>
    <x v="2"/>
    <x v="13"/>
    <x v="652"/>
    <x v="795"/>
    <x v="395"/>
    <x v="73"/>
    <x v="795"/>
    <x v="0"/>
    <x v="0"/>
    <x v="1"/>
  </r>
  <r>
    <x v="796"/>
    <x v="4"/>
    <x v="12"/>
    <x v="653"/>
    <x v="796"/>
    <x v="396"/>
    <x v="137"/>
    <x v="796"/>
    <x v="1"/>
    <x v="125"/>
    <x v="4"/>
  </r>
  <r>
    <x v="797"/>
    <x v="3"/>
    <x v="11"/>
    <x v="654"/>
    <x v="797"/>
    <x v="93"/>
    <x v="7"/>
    <x v="797"/>
    <x v="1"/>
    <x v="126"/>
    <x v="2"/>
  </r>
  <r>
    <x v="798"/>
    <x v="4"/>
    <x v="1"/>
    <x v="471"/>
    <x v="798"/>
    <x v="175"/>
    <x v="138"/>
    <x v="798"/>
    <x v="1"/>
    <x v="127"/>
    <x v="3"/>
  </r>
  <r>
    <x v="799"/>
    <x v="4"/>
    <x v="19"/>
    <x v="655"/>
    <x v="799"/>
    <x v="334"/>
    <x v="30"/>
    <x v="799"/>
    <x v="0"/>
    <x v="0"/>
    <x v="3"/>
  </r>
  <r>
    <x v="800"/>
    <x v="4"/>
    <x v="19"/>
    <x v="655"/>
    <x v="800"/>
    <x v="258"/>
    <x v="139"/>
    <x v="800"/>
    <x v="0"/>
    <x v="0"/>
    <x v="3"/>
  </r>
  <r>
    <x v="801"/>
    <x v="2"/>
    <x v="5"/>
    <x v="656"/>
    <x v="801"/>
    <x v="130"/>
    <x v="6"/>
    <x v="801"/>
    <x v="1"/>
    <x v="128"/>
    <x v="1"/>
  </r>
  <r>
    <x v="802"/>
    <x v="2"/>
    <x v="8"/>
    <x v="146"/>
    <x v="802"/>
    <x v="4"/>
    <x v="78"/>
    <x v="802"/>
    <x v="0"/>
    <x v="0"/>
    <x v="7"/>
  </r>
  <r>
    <x v="803"/>
    <x v="1"/>
    <x v="11"/>
    <x v="482"/>
    <x v="803"/>
    <x v="68"/>
    <x v="20"/>
    <x v="803"/>
    <x v="0"/>
    <x v="0"/>
    <x v="2"/>
  </r>
  <r>
    <x v="804"/>
    <x v="3"/>
    <x v="11"/>
    <x v="657"/>
    <x v="804"/>
    <x v="262"/>
    <x v="49"/>
    <x v="804"/>
    <x v="1"/>
    <x v="129"/>
    <x v="2"/>
  </r>
  <r>
    <x v="805"/>
    <x v="2"/>
    <x v="18"/>
    <x v="658"/>
    <x v="805"/>
    <x v="397"/>
    <x v="1"/>
    <x v="805"/>
    <x v="0"/>
    <x v="0"/>
    <x v="9"/>
  </r>
  <r>
    <x v="806"/>
    <x v="1"/>
    <x v="19"/>
    <x v="202"/>
    <x v="806"/>
    <x v="179"/>
    <x v="78"/>
    <x v="806"/>
    <x v="1"/>
    <x v="130"/>
    <x v="3"/>
  </r>
  <r>
    <x v="807"/>
    <x v="3"/>
    <x v="11"/>
    <x v="659"/>
    <x v="807"/>
    <x v="370"/>
    <x v="31"/>
    <x v="807"/>
    <x v="0"/>
    <x v="0"/>
    <x v="2"/>
  </r>
  <r>
    <x v="808"/>
    <x v="2"/>
    <x v="1"/>
    <x v="660"/>
    <x v="808"/>
    <x v="398"/>
    <x v="40"/>
    <x v="808"/>
    <x v="0"/>
    <x v="0"/>
    <x v="3"/>
  </r>
  <r>
    <x v="809"/>
    <x v="3"/>
    <x v="6"/>
    <x v="661"/>
    <x v="809"/>
    <x v="399"/>
    <x v="20"/>
    <x v="809"/>
    <x v="0"/>
    <x v="0"/>
    <x v="8"/>
  </r>
  <r>
    <x v="810"/>
    <x v="4"/>
    <x v="15"/>
    <x v="662"/>
    <x v="810"/>
    <x v="400"/>
    <x v="55"/>
    <x v="810"/>
    <x v="0"/>
    <x v="0"/>
    <x v="2"/>
  </r>
  <r>
    <x v="811"/>
    <x v="2"/>
    <x v="1"/>
    <x v="663"/>
    <x v="811"/>
    <x v="318"/>
    <x v="37"/>
    <x v="811"/>
    <x v="0"/>
    <x v="0"/>
    <x v="3"/>
  </r>
  <r>
    <x v="812"/>
    <x v="3"/>
    <x v="18"/>
    <x v="415"/>
    <x v="812"/>
    <x v="156"/>
    <x v="91"/>
    <x v="812"/>
    <x v="0"/>
    <x v="0"/>
    <x v="9"/>
  </r>
  <r>
    <x v="813"/>
    <x v="4"/>
    <x v="10"/>
    <x v="84"/>
    <x v="813"/>
    <x v="115"/>
    <x v="125"/>
    <x v="813"/>
    <x v="0"/>
    <x v="0"/>
    <x v="8"/>
  </r>
  <r>
    <x v="814"/>
    <x v="4"/>
    <x v="13"/>
    <x v="664"/>
    <x v="814"/>
    <x v="187"/>
    <x v="140"/>
    <x v="814"/>
    <x v="0"/>
    <x v="0"/>
    <x v="1"/>
  </r>
  <r>
    <x v="815"/>
    <x v="0"/>
    <x v="14"/>
    <x v="411"/>
    <x v="815"/>
    <x v="299"/>
    <x v="18"/>
    <x v="815"/>
    <x v="0"/>
    <x v="0"/>
    <x v="1"/>
  </r>
  <r>
    <x v="816"/>
    <x v="1"/>
    <x v="11"/>
    <x v="665"/>
    <x v="816"/>
    <x v="401"/>
    <x v="37"/>
    <x v="816"/>
    <x v="0"/>
    <x v="0"/>
    <x v="2"/>
  </r>
  <r>
    <x v="817"/>
    <x v="2"/>
    <x v="12"/>
    <x v="629"/>
    <x v="817"/>
    <x v="25"/>
    <x v="4"/>
    <x v="817"/>
    <x v="1"/>
    <x v="131"/>
    <x v="4"/>
  </r>
  <r>
    <x v="818"/>
    <x v="2"/>
    <x v="9"/>
    <x v="666"/>
    <x v="818"/>
    <x v="144"/>
    <x v="73"/>
    <x v="818"/>
    <x v="0"/>
    <x v="0"/>
    <x v="1"/>
  </r>
  <r>
    <x v="819"/>
    <x v="2"/>
    <x v="14"/>
    <x v="667"/>
    <x v="819"/>
    <x v="402"/>
    <x v="56"/>
    <x v="819"/>
    <x v="0"/>
    <x v="0"/>
    <x v="1"/>
  </r>
  <r>
    <x v="820"/>
    <x v="2"/>
    <x v="16"/>
    <x v="668"/>
    <x v="820"/>
    <x v="403"/>
    <x v="78"/>
    <x v="820"/>
    <x v="1"/>
    <x v="132"/>
    <x v="1"/>
  </r>
  <r>
    <x v="821"/>
    <x v="0"/>
    <x v="10"/>
    <x v="669"/>
    <x v="821"/>
    <x v="235"/>
    <x v="81"/>
    <x v="821"/>
    <x v="0"/>
    <x v="0"/>
    <x v="8"/>
  </r>
  <r>
    <x v="822"/>
    <x v="0"/>
    <x v="14"/>
    <x v="279"/>
    <x v="822"/>
    <x v="404"/>
    <x v="82"/>
    <x v="822"/>
    <x v="0"/>
    <x v="0"/>
    <x v="1"/>
  </r>
  <r>
    <x v="823"/>
    <x v="2"/>
    <x v="10"/>
    <x v="669"/>
    <x v="823"/>
    <x v="20"/>
    <x v="37"/>
    <x v="823"/>
    <x v="0"/>
    <x v="0"/>
    <x v="8"/>
  </r>
  <r>
    <x v="824"/>
    <x v="0"/>
    <x v="15"/>
    <x v="425"/>
    <x v="824"/>
    <x v="235"/>
    <x v="14"/>
    <x v="824"/>
    <x v="0"/>
    <x v="0"/>
    <x v="2"/>
  </r>
  <r>
    <x v="825"/>
    <x v="3"/>
    <x v="9"/>
    <x v="670"/>
    <x v="825"/>
    <x v="252"/>
    <x v="81"/>
    <x v="825"/>
    <x v="0"/>
    <x v="0"/>
    <x v="1"/>
  </r>
  <r>
    <x v="826"/>
    <x v="4"/>
    <x v="14"/>
    <x v="671"/>
    <x v="826"/>
    <x v="232"/>
    <x v="141"/>
    <x v="826"/>
    <x v="0"/>
    <x v="0"/>
    <x v="1"/>
  </r>
  <r>
    <x v="827"/>
    <x v="3"/>
    <x v="11"/>
    <x v="672"/>
    <x v="827"/>
    <x v="301"/>
    <x v="76"/>
    <x v="827"/>
    <x v="1"/>
    <x v="133"/>
    <x v="2"/>
  </r>
  <r>
    <x v="828"/>
    <x v="4"/>
    <x v="5"/>
    <x v="111"/>
    <x v="828"/>
    <x v="405"/>
    <x v="115"/>
    <x v="828"/>
    <x v="0"/>
    <x v="0"/>
    <x v="1"/>
  </r>
  <r>
    <x v="829"/>
    <x v="3"/>
    <x v="1"/>
    <x v="673"/>
    <x v="829"/>
    <x v="398"/>
    <x v="114"/>
    <x v="829"/>
    <x v="0"/>
    <x v="0"/>
    <x v="3"/>
  </r>
  <r>
    <x v="830"/>
    <x v="2"/>
    <x v="6"/>
    <x v="674"/>
    <x v="830"/>
    <x v="20"/>
    <x v="50"/>
    <x v="830"/>
    <x v="1"/>
    <x v="134"/>
    <x v="8"/>
  </r>
  <r>
    <x v="831"/>
    <x v="0"/>
    <x v="17"/>
    <x v="675"/>
    <x v="831"/>
    <x v="152"/>
    <x v="34"/>
    <x v="831"/>
    <x v="1"/>
    <x v="135"/>
    <x v="8"/>
  </r>
  <r>
    <x v="832"/>
    <x v="0"/>
    <x v="19"/>
    <x v="676"/>
    <x v="832"/>
    <x v="406"/>
    <x v="20"/>
    <x v="832"/>
    <x v="0"/>
    <x v="0"/>
    <x v="3"/>
  </r>
  <r>
    <x v="833"/>
    <x v="0"/>
    <x v="19"/>
    <x v="91"/>
    <x v="833"/>
    <x v="275"/>
    <x v="77"/>
    <x v="833"/>
    <x v="1"/>
    <x v="136"/>
    <x v="3"/>
  </r>
  <r>
    <x v="834"/>
    <x v="3"/>
    <x v="11"/>
    <x v="677"/>
    <x v="834"/>
    <x v="407"/>
    <x v="142"/>
    <x v="834"/>
    <x v="0"/>
    <x v="0"/>
    <x v="2"/>
  </r>
  <r>
    <x v="835"/>
    <x v="2"/>
    <x v="13"/>
    <x v="678"/>
    <x v="835"/>
    <x v="86"/>
    <x v="14"/>
    <x v="835"/>
    <x v="0"/>
    <x v="0"/>
    <x v="1"/>
  </r>
  <r>
    <x v="836"/>
    <x v="3"/>
    <x v="12"/>
    <x v="679"/>
    <x v="836"/>
    <x v="408"/>
    <x v="37"/>
    <x v="836"/>
    <x v="0"/>
    <x v="0"/>
    <x v="4"/>
  </r>
  <r>
    <x v="837"/>
    <x v="2"/>
    <x v="11"/>
    <x v="680"/>
    <x v="837"/>
    <x v="409"/>
    <x v="18"/>
    <x v="837"/>
    <x v="0"/>
    <x v="0"/>
    <x v="2"/>
  </r>
  <r>
    <x v="838"/>
    <x v="2"/>
    <x v="4"/>
    <x v="681"/>
    <x v="838"/>
    <x v="131"/>
    <x v="81"/>
    <x v="838"/>
    <x v="1"/>
    <x v="137"/>
    <x v="5"/>
  </r>
  <r>
    <x v="839"/>
    <x v="0"/>
    <x v="13"/>
    <x v="512"/>
    <x v="839"/>
    <x v="323"/>
    <x v="81"/>
    <x v="839"/>
    <x v="0"/>
    <x v="0"/>
    <x v="1"/>
  </r>
  <r>
    <x v="840"/>
    <x v="4"/>
    <x v="8"/>
    <x v="682"/>
    <x v="840"/>
    <x v="29"/>
    <x v="143"/>
    <x v="840"/>
    <x v="0"/>
    <x v="0"/>
    <x v="7"/>
  </r>
  <r>
    <x v="841"/>
    <x v="4"/>
    <x v="18"/>
    <x v="683"/>
    <x v="841"/>
    <x v="90"/>
    <x v="131"/>
    <x v="841"/>
    <x v="0"/>
    <x v="0"/>
    <x v="9"/>
  </r>
  <r>
    <x v="842"/>
    <x v="1"/>
    <x v="7"/>
    <x v="684"/>
    <x v="842"/>
    <x v="128"/>
    <x v="87"/>
    <x v="842"/>
    <x v="1"/>
    <x v="138"/>
    <x v="2"/>
  </r>
  <r>
    <x v="843"/>
    <x v="2"/>
    <x v="7"/>
    <x v="685"/>
    <x v="843"/>
    <x v="188"/>
    <x v="57"/>
    <x v="843"/>
    <x v="1"/>
    <x v="139"/>
    <x v="2"/>
  </r>
  <r>
    <x v="844"/>
    <x v="1"/>
    <x v="17"/>
    <x v="686"/>
    <x v="844"/>
    <x v="410"/>
    <x v="0"/>
    <x v="844"/>
    <x v="0"/>
    <x v="0"/>
    <x v="8"/>
  </r>
  <r>
    <x v="845"/>
    <x v="4"/>
    <x v="11"/>
    <x v="687"/>
    <x v="845"/>
    <x v="117"/>
    <x v="144"/>
    <x v="845"/>
    <x v="0"/>
    <x v="0"/>
    <x v="2"/>
  </r>
  <r>
    <x v="846"/>
    <x v="4"/>
    <x v="16"/>
    <x v="260"/>
    <x v="846"/>
    <x v="29"/>
    <x v="19"/>
    <x v="846"/>
    <x v="0"/>
    <x v="0"/>
    <x v="1"/>
  </r>
  <r>
    <x v="847"/>
    <x v="3"/>
    <x v="11"/>
    <x v="659"/>
    <x v="847"/>
    <x v="207"/>
    <x v="130"/>
    <x v="847"/>
    <x v="1"/>
    <x v="140"/>
    <x v="2"/>
  </r>
  <r>
    <x v="848"/>
    <x v="3"/>
    <x v="7"/>
    <x v="82"/>
    <x v="848"/>
    <x v="391"/>
    <x v="5"/>
    <x v="848"/>
    <x v="0"/>
    <x v="0"/>
    <x v="2"/>
  </r>
  <r>
    <x v="849"/>
    <x v="0"/>
    <x v="4"/>
    <x v="102"/>
    <x v="849"/>
    <x v="232"/>
    <x v="20"/>
    <x v="849"/>
    <x v="0"/>
    <x v="0"/>
    <x v="5"/>
  </r>
  <r>
    <x v="850"/>
    <x v="2"/>
    <x v="20"/>
    <x v="513"/>
    <x v="850"/>
    <x v="349"/>
    <x v="94"/>
    <x v="850"/>
    <x v="0"/>
    <x v="0"/>
    <x v="0"/>
  </r>
  <r>
    <x v="851"/>
    <x v="4"/>
    <x v="2"/>
    <x v="409"/>
    <x v="851"/>
    <x v="250"/>
    <x v="117"/>
    <x v="851"/>
    <x v="0"/>
    <x v="0"/>
    <x v="8"/>
  </r>
  <r>
    <x v="852"/>
    <x v="3"/>
    <x v="4"/>
    <x v="688"/>
    <x v="852"/>
    <x v="82"/>
    <x v="94"/>
    <x v="852"/>
    <x v="0"/>
    <x v="0"/>
    <x v="5"/>
  </r>
  <r>
    <x v="853"/>
    <x v="4"/>
    <x v="6"/>
    <x v="301"/>
    <x v="853"/>
    <x v="78"/>
    <x v="145"/>
    <x v="853"/>
    <x v="0"/>
    <x v="0"/>
    <x v="8"/>
  </r>
  <r>
    <x v="854"/>
    <x v="1"/>
    <x v="15"/>
    <x v="689"/>
    <x v="854"/>
    <x v="112"/>
    <x v="20"/>
    <x v="854"/>
    <x v="0"/>
    <x v="0"/>
    <x v="2"/>
  </r>
  <r>
    <x v="855"/>
    <x v="0"/>
    <x v="16"/>
    <x v="690"/>
    <x v="855"/>
    <x v="405"/>
    <x v="78"/>
    <x v="855"/>
    <x v="0"/>
    <x v="0"/>
    <x v="1"/>
  </r>
  <r>
    <x v="856"/>
    <x v="1"/>
    <x v="4"/>
    <x v="691"/>
    <x v="856"/>
    <x v="411"/>
    <x v="47"/>
    <x v="856"/>
    <x v="0"/>
    <x v="0"/>
    <x v="5"/>
  </r>
  <r>
    <x v="857"/>
    <x v="2"/>
    <x v="11"/>
    <x v="431"/>
    <x v="857"/>
    <x v="412"/>
    <x v="15"/>
    <x v="857"/>
    <x v="0"/>
    <x v="0"/>
    <x v="2"/>
  </r>
  <r>
    <x v="858"/>
    <x v="0"/>
    <x v="19"/>
    <x v="692"/>
    <x v="858"/>
    <x v="147"/>
    <x v="34"/>
    <x v="858"/>
    <x v="0"/>
    <x v="0"/>
    <x v="3"/>
  </r>
  <r>
    <x v="859"/>
    <x v="0"/>
    <x v="12"/>
    <x v="693"/>
    <x v="859"/>
    <x v="194"/>
    <x v="52"/>
    <x v="859"/>
    <x v="0"/>
    <x v="0"/>
    <x v="4"/>
  </r>
  <r>
    <x v="860"/>
    <x v="0"/>
    <x v="6"/>
    <x v="263"/>
    <x v="860"/>
    <x v="308"/>
    <x v="87"/>
    <x v="860"/>
    <x v="0"/>
    <x v="0"/>
    <x v="8"/>
  </r>
  <r>
    <x v="861"/>
    <x v="3"/>
    <x v="11"/>
    <x v="133"/>
    <x v="861"/>
    <x v="413"/>
    <x v="39"/>
    <x v="861"/>
    <x v="1"/>
    <x v="141"/>
    <x v="2"/>
  </r>
  <r>
    <x v="862"/>
    <x v="3"/>
    <x v="19"/>
    <x v="655"/>
    <x v="862"/>
    <x v="63"/>
    <x v="81"/>
    <x v="862"/>
    <x v="0"/>
    <x v="0"/>
    <x v="3"/>
  </r>
  <r>
    <x v="863"/>
    <x v="3"/>
    <x v="14"/>
    <x v="694"/>
    <x v="863"/>
    <x v="244"/>
    <x v="20"/>
    <x v="863"/>
    <x v="0"/>
    <x v="0"/>
    <x v="1"/>
  </r>
  <r>
    <x v="864"/>
    <x v="1"/>
    <x v="12"/>
    <x v="695"/>
    <x v="864"/>
    <x v="236"/>
    <x v="23"/>
    <x v="864"/>
    <x v="0"/>
    <x v="0"/>
    <x v="4"/>
  </r>
  <r>
    <x v="865"/>
    <x v="1"/>
    <x v="16"/>
    <x v="696"/>
    <x v="865"/>
    <x v="414"/>
    <x v="50"/>
    <x v="865"/>
    <x v="0"/>
    <x v="0"/>
    <x v="1"/>
  </r>
  <r>
    <x v="866"/>
    <x v="3"/>
    <x v="11"/>
    <x v="697"/>
    <x v="866"/>
    <x v="383"/>
    <x v="34"/>
    <x v="866"/>
    <x v="1"/>
    <x v="142"/>
    <x v="2"/>
  </r>
  <r>
    <x v="867"/>
    <x v="0"/>
    <x v="4"/>
    <x v="398"/>
    <x v="867"/>
    <x v="415"/>
    <x v="77"/>
    <x v="867"/>
    <x v="0"/>
    <x v="0"/>
    <x v="5"/>
  </r>
  <r>
    <x v="868"/>
    <x v="2"/>
    <x v="14"/>
    <x v="698"/>
    <x v="868"/>
    <x v="288"/>
    <x v="43"/>
    <x v="868"/>
    <x v="0"/>
    <x v="0"/>
    <x v="1"/>
  </r>
  <r>
    <x v="869"/>
    <x v="0"/>
    <x v="17"/>
    <x v="686"/>
    <x v="869"/>
    <x v="73"/>
    <x v="94"/>
    <x v="869"/>
    <x v="0"/>
    <x v="0"/>
    <x v="8"/>
  </r>
  <r>
    <x v="870"/>
    <x v="2"/>
    <x v="17"/>
    <x v="699"/>
    <x v="870"/>
    <x v="305"/>
    <x v="87"/>
    <x v="870"/>
    <x v="0"/>
    <x v="0"/>
    <x v="8"/>
  </r>
  <r>
    <x v="871"/>
    <x v="0"/>
    <x v="10"/>
    <x v="700"/>
    <x v="871"/>
    <x v="396"/>
    <x v="94"/>
    <x v="871"/>
    <x v="0"/>
    <x v="0"/>
    <x v="8"/>
  </r>
  <r>
    <x v="872"/>
    <x v="1"/>
    <x v="12"/>
    <x v="529"/>
    <x v="872"/>
    <x v="90"/>
    <x v="4"/>
    <x v="872"/>
    <x v="1"/>
    <x v="143"/>
    <x v="4"/>
  </r>
  <r>
    <x v="873"/>
    <x v="0"/>
    <x v="4"/>
    <x v="701"/>
    <x v="873"/>
    <x v="376"/>
    <x v="87"/>
    <x v="873"/>
    <x v="0"/>
    <x v="0"/>
    <x v="5"/>
  </r>
  <r>
    <x v="874"/>
    <x v="4"/>
    <x v="13"/>
    <x v="678"/>
    <x v="874"/>
    <x v="240"/>
    <x v="146"/>
    <x v="874"/>
    <x v="1"/>
    <x v="144"/>
    <x v="1"/>
  </r>
  <r>
    <x v="875"/>
    <x v="4"/>
    <x v="2"/>
    <x v="702"/>
    <x v="875"/>
    <x v="134"/>
    <x v="134"/>
    <x v="875"/>
    <x v="1"/>
    <x v="145"/>
    <x v="8"/>
  </r>
  <r>
    <x v="876"/>
    <x v="1"/>
    <x v="8"/>
    <x v="703"/>
    <x v="876"/>
    <x v="311"/>
    <x v="87"/>
    <x v="876"/>
    <x v="0"/>
    <x v="0"/>
    <x v="7"/>
  </r>
  <r>
    <x v="877"/>
    <x v="4"/>
    <x v="8"/>
    <x v="550"/>
    <x v="877"/>
    <x v="168"/>
    <x v="125"/>
    <x v="877"/>
    <x v="0"/>
    <x v="0"/>
    <x v="7"/>
  </r>
  <r>
    <x v="878"/>
    <x v="4"/>
    <x v="4"/>
    <x v="627"/>
    <x v="878"/>
    <x v="250"/>
    <x v="147"/>
    <x v="878"/>
    <x v="0"/>
    <x v="0"/>
    <x v="5"/>
  </r>
  <r>
    <x v="879"/>
    <x v="0"/>
    <x v="5"/>
    <x v="704"/>
    <x v="879"/>
    <x v="187"/>
    <x v="6"/>
    <x v="879"/>
    <x v="0"/>
    <x v="0"/>
    <x v="1"/>
  </r>
  <r>
    <x v="880"/>
    <x v="3"/>
    <x v="16"/>
    <x v="705"/>
    <x v="880"/>
    <x v="188"/>
    <x v="148"/>
    <x v="880"/>
    <x v="0"/>
    <x v="0"/>
    <x v="1"/>
  </r>
  <r>
    <x v="881"/>
    <x v="2"/>
    <x v="4"/>
    <x v="706"/>
    <x v="881"/>
    <x v="416"/>
    <x v="59"/>
    <x v="881"/>
    <x v="0"/>
    <x v="0"/>
    <x v="5"/>
  </r>
  <r>
    <x v="882"/>
    <x v="4"/>
    <x v="8"/>
    <x v="505"/>
    <x v="882"/>
    <x v="134"/>
    <x v="149"/>
    <x v="882"/>
    <x v="1"/>
    <x v="146"/>
    <x v="7"/>
  </r>
  <r>
    <x v="883"/>
    <x v="2"/>
    <x v="8"/>
    <x v="417"/>
    <x v="883"/>
    <x v="288"/>
    <x v="73"/>
    <x v="883"/>
    <x v="1"/>
    <x v="147"/>
    <x v="7"/>
  </r>
  <r>
    <x v="884"/>
    <x v="0"/>
    <x v="6"/>
    <x v="707"/>
    <x v="884"/>
    <x v="312"/>
    <x v="74"/>
    <x v="884"/>
    <x v="0"/>
    <x v="0"/>
    <x v="8"/>
  </r>
  <r>
    <x v="885"/>
    <x v="1"/>
    <x v="3"/>
    <x v="708"/>
    <x v="885"/>
    <x v="417"/>
    <x v="73"/>
    <x v="885"/>
    <x v="0"/>
    <x v="0"/>
    <x v="6"/>
  </r>
  <r>
    <x v="886"/>
    <x v="3"/>
    <x v="11"/>
    <x v="49"/>
    <x v="886"/>
    <x v="120"/>
    <x v="2"/>
    <x v="886"/>
    <x v="1"/>
    <x v="148"/>
    <x v="2"/>
  </r>
  <r>
    <x v="887"/>
    <x v="3"/>
    <x v="14"/>
    <x v="709"/>
    <x v="887"/>
    <x v="202"/>
    <x v="104"/>
    <x v="887"/>
    <x v="0"/>
    <x v="0"/>
    <x v="1"/>
  </r>
  <r>
    <x v="888"/>
    <x v="0"/>
    <x v="7"/>
    <x v="463"/>
    <x v="888"/>
    <x v="235"/>
    <x v="77"/>
    <x v="888"/>
    <x v="0"/>
    <x v="0"/>
    <x v="2"/>
  </r>
  <r>
    <x v="889"/>
    <x v="3"/>
    <x v="4"/>
    <x v="79"/>
    <x v="889"/>
    <x v="268"/>
    <x v="20"/>
    <x v="889"/>
    <x v="1"/>
    <x v="149"/>
    <x v="5"/>
  </r>
  <r>
    <x v="890"/>
    <x v="4"/>
    <x v="13"/>
    <x v="68"/>
    <x v="890"/>
    <x v="200"/>
    <x v="150"/>
    <x v="890"/>
    <x v="0"/>
    <x v="0"/>
    <x v="1"/>
  </r>
  <r>
    <x v="891"/>
    <x v="3"/>
    <x v="4"/>
    <x v="651"/>
    <x v="891"/>
    <x v="4"/>
    <x v="0"/>
    <x v="891"/>
    <x v="1"/>
    <x v="150"/>
    <x v="5"/>
  </r>
  <r>
    <x v="892"/>
    <x v="0"/>
    <x v="4"/>
    <x v="147"/>
    <x v="892"/>
    <x v="418"/>
    <x v="43"/>
    <x v="892"/>
    <x v="0"/>
    <x v="0"/>
    <x v="5"/>
  </r>
  <r>
    <x v="893"/>
    <x v="0"/>
    <x v="7"/>
    <x v="710"/>
    <x v="893"/>
    <x v="307"/>
    <x v="47"/>
    <x v="893"/>
    <x v="1"/>
    <x v="151"/>
    <x v="2"/>
  </r>
  <r>
    <x v="894"/>
    <x v="4"/>
    <x v="16"/>
    <x v="711"/>
    <x v="894"/>
    <x v="26"/>
    <x v="9"/>
    <x v="894"/>
    <x v="1"/>
    <x v="152"/>
    <x v="1"/>
  </r>
  <r>
    <x v="895"/>
    <x v="2"/>
    <x v="9"/>
    <x v="712"/>
    <x v="895"/>
    <x v="325"/>
    <x v="1"/>
    <x v="895"/>
    <x v="0"/>
    <x v="0"/>
    <x v="1"/>
  </r>
  <r>
    <x v="896"/>
    <x v="1"/>
    <x v="20"/>
    <x v="713"/>
    <x v="896"/>
    <x v="335"/>
    <x v="50"/>
    <x v="896"/>
    <x v="0"/>
    <x v="0"/>
    <x v="0"/>
  </r>
  <r>
    <x v="897"/>
    <x v="2"/>
    <x v="7"/>
    <x v="714"/>
    <x v="897"/>
    <x v="112"/>
    <x v="41"/>
    <x v="897"/>
    <x v="0"/>
    <x v="0"/>
    <x v="2"/>
  </r>
  <r>
    <x v="898"/>
    <x v="3"/>
    <x v="14"/>
    <x v="374"/>
    <x v="898"/>
    <x v="60"/>
    <x v="78"/>
    <x v="898"/>
    <x v="0"/>
    <x v="0"/>
    <x v="1"/>
  </r>
  <r>
    <x v="899"/>
    <x v="4"/>
    <x v="4"/>
    <x v="715"/>
    <x v="899"/>
    <x v="223"/>
    <x v="151"/>
    <x v="899"/>
    <x v="0"/>
    <x v="0"/>
    <x v="5"/>
  </r>
  <r>
    <x v="900"/>
    <x v="4"/>
    <x v="18"/>
    <x v="716"/>
    <x v="900"/>
    <x v="295"/>
    <x v="128"/>
    <x v="900"/>
    <x v="0"/>
    <x v="0"/>
    <x v="9"/>
  </r>
  <r>
    <x v="901"/>
    <x v="0"/>
    <x v="10"/>
    <x v="717"/>
    <x v="901"/>
    <x v="125"/>
    <x v="64"/>
    <x v="901"/>
    <x v="0"/>
    <x v="0"/>
    <x v="8"/>
  </r>
  <r>
    <x v="902"/>
    <x v="0"/>
    <x v="10"/>
    <x v="718"/>
    <x v="902"/>
    <x v="419"/>
    <x v="20"/>
    <x v="902"/>
    <x v="1"/>
    <x v="153"/>
    <x v="8"/>
  </r>
  <r>
    <x v="903"/>
    <x v="0"/>
    <x v="10"/>
    <x v="719"/>
    <x v="903"/>
    <x v="10"/>
    <x v="61"/>
    <x v="903"/>
    <x v="0"/>
    <x v="0"/>
    <x v="8"/>
  </r>
  <r>
    <x v="904"/>
    <x v="0"/>
    <x v="5"/>
    <x v="645"/>
    <x v="904"/>
    <x v="209"/>
    <x v="20"/>
    <x v="904"/>
    <x v="0"/>
    <x v="0"/>
    <x v="1"/>
  </r>
  <r>
    <x v="905"/>
    <x v="1"/>
    <x v="8"/>
    <x v="632"/>
    <x v="905"/>
    <x v="291"/>
    <x v="47"/>
    <x v="905"/>
    <x v="1"/>
    <x v="154"/>
    <x v="7"/>
  </r>
  <r>
    <x v="906"/>
    <x v="4"/>
    <x v="19"/>
    <x v="720"/>
    <x v="906"/>
    <x v="146"/>
    <x v="76"/>
    <x v="906"/>
    <x v="0"/>
    <x v="0"/>
    <x v="3"/>
  </r>
  <r>
    <x v="907"/>
    <x v="1"/>
    <x v="17"/>
    <x v="426"/>
    <x v="907"/>
    <x v="420"/>
    <x v="74"/>
    <x v="907"/>
    <x v="0"/>
    <x v="0"/>
    <x v="8"/>
  </r>
  <r>
    <x v="908"/>
    <x v="3"/>
    <x v="9"/>
    <x v="650"/>
    <x v="908"/>
    <x v="141"/>
    <x v="50"/>
    <x v="908"/>
    <x v="0"/>
    <x v="0"/>
    <x v="1"/>
  </r>
  <r>
    <x v="909"/>
    <x v="3"/>
    <x v="10"/>
    <x v="721"/>
    <x v="909"/>
    <x v="216"/>
    <x v="43"/>
    <x v="909"/>
    <x v="0"/>
    <x v="0"/>
    <x v="8"/>
  </r>
  <r>
    <x v="910"/>
    <x v="1"/>
    <x v="18"/>
    <x v="722"/>
    <x v="910"/>
    <x v="59"/>
    <x v="63"/>
    <x v="910"/>
    <x v="0"/>
    <x v="0"/>
    <x v="9"/>
  </r>
  <r>
    <x v="911"/>
    <x v="4"/>
    <x v="13"/>
    <x v="723"/>
    <x v="911"/>
    <x v="400"/>
    <x v="152"/>
    <x v="911"/>
    <x v="0"/>
    <x v="0"/>
    <x v="1"/>
  </r>
  <r>
    <x v="912"/>
    <x v="4"/>
    <x v="1"/>
    <x v="258"/>
    <x v="912"/>
    <x v="29"/>
    <x v="153"/>
    <x v="912"/>
    <x v="0"/>
    <x v="0"/>
    <x v="3"/>
  </r>
  <r>
    <x v="913"/>
    <x v="1"/>
    <x v="19"/>
    <x v="284"/>
    <x v="913"/>
    <x v="421"/>
    <x v="61"/>
    <x v="913"/>
    <x v="0"/>
    <x v="0"/>
    <x v="3"/>
  </r>
  <r>
    <x v="914"/>
    <x v="4"/>
    <x v="6"/>
    <x v="724"/>
    <x v="914"/>
    <x v="81"/>
    <x v="148"/>
    <x v="914"/>
    <x v="0"/>
    <x v="0"/>
    <x v="8"/>
  </r>
  <r>
    <x v="915"/>
    <x v="2"/>
    <x v="11"/>
    <x v="725"/>
    <x v="915"/>
    <x v="244"/>
    <x v="78"/>
    <x v="915"/>
    <x v="0"/>
    <x v="0"/>
    <x v="2"/>
  </r>
  <r>
    <x v="916"/>
    <x v="0"/>
    <x v="18"/>
    <x v="726"/>
    <x v="916"/>
    <x v="422"/>
    <x v="20"/>
    <x v="916"/>
    <x v="0"/>
    <x v="0"/>
    <x v="9"/>
  </r>
  <r>
    <x v="917"/>
    <x v="4"/>
    <x v="10"/>
    <x v="321"/>
    <x v="917"/>
    <x v="21"/>
    <x v="25"/>
    <x v="917"/>
    <x v="0"/>
    <x v="0"/>
    <x v="8"/>
  </r>
  <r>
    <x v="918"/>
    <x v="0"/>
    <x v="2"/>
    <x v="727"/>
    <x v="918"/>
    <x v="113"/>
    <x v="39"/>
    <x v="918"/>
    <x v="0"/>
    <x v="0"/>
    <x v="8"/>
  </r>
  <r>
    <x v="919"/>
    <x v="0"/>
    <x v="7"/>
    <x v="728"/>
    <x v="919"/>
    <x v="343"/>
    <x v="20"/>
    <x v="919"/>
    <x v="0"/>
    <x v="0"/>
    <x v="2"/>
  </r>
  <r>
    <x v="920"/>
    <x v="1"/>
    <x v="3"/>
    <x v="729"/>
    <x v="920"/>
    <x v="423"/>
    <x v="73"/>
    <x v="920"/>
    <x v="0"/>
    <x v="0"/>
    <x v="6"/>
  </r>
  <r>
    <x v="921"/>
    <x v="3"/>
    <x v="6"/>
    <x v="423"/>
    <x v="921"/>
    <x v="424"/>
    <x v="38"/>
    <x v="921"/>
    <x v="0"/>
    <x v="0"/>
    <x v="8"/>
  </r>
  <r>
    <x v="922"/>
    <x v="4"/>
    <x v="10"/>
    <x v="577"/>
    <x v="922"/>
    <x v="132"/>
    <x v="154"/>
    <x v="922"/>
    <x v="0"/>
    <x v="0"/>
    <x v="8"/>
  </r>
  <r>
    <x v="923"/>
    <x v="0"/>
    <x v="9"/>
    <x v="250"/>
    <x v="923"/>
    <x v="264"/>
    <x v="41"/>
    <x v="923"/>
    <x v="1"/>
    <x v="155"/>
    <x v="1"/>
  </r>
  <r>
    <x v="924"/>
    <x v="3"/>
    <x v="4"/>
    <x v="730"/>
    <x v="924"/>
    <x v="127"/>
    <x v="82"/>
    <x v="924"/>
    <x v="1"/>
    <x v="156"/>
    <x v="5"/>
  </r>
  <r>
    <x v="925"/>
    <x v="3"/>
    <x v="12"/>
    <x v="731"/>
    <x v="925"/>
    <x v="345"/>
    <x v="1"/>
    <x v="925"/>
    <x v="1"/>
    <x v="157"/>
    <x v="4"/>
  </r>
  <r>
    <x v="926"/>
    <x v="4"/>
    <x v="13"/>
    <x v="732"/>
    <x v="926"/>
    <x v="255"/>
    <x v="85"/>
    <x v="926"/>
    <x v="0"/>
    <x v="0"/>
    <x v="1"/>
  </r>
  <r>
    <x v="927"/>
    <x v="0"/>
    <x v="14"/>
    <x v="733"/>
    <x v="927"/>
    <x v="328"/>
    <x v="31"/>
    <x v="927"/>
    <x v="0"/>
    <x v="0"/>
    <x v="1"/>
  </r>
  <r>
    <x v="928"/>
    <x v="4"/>
    <x v="7"/>
    <x v="734"/>
    <x v="928"/>
    <x v="200"/>
    <x v="155"/>
    <x v="928"/>
    <x v="0"/>
    <x v="0"/>
    <x v="2"/>
  </r>
  <r>
    <x v="929"/>
    <x v="0"/>
    <x v="14"/>
    <x v="735"/>
    <x v="929"/>
    <x v="200"/>
    <x v="87"/>
    <x v="929"/>
    <x v="0"/>
    <x v="0"/>
    <x v="1"/>
  </r>
  <r>
    <x v="930"/>
    <x v="0"/>
    <x v="12"/>
    <x v="736"/>
    <x v="930"/>
    <x v="44"/>
    <x v="23"/>
    <x v="930"/>
    <x v="0"/>
    <x v="0"/>
    <x v="4"/>
  </r>
  <r>
    <x v="931"/>
    <x v="0"/>
    <x v="11"/>
    <x v="737"/>
    <x v="931"/>
    <x v="425"/>
    <x v="77"/>
    <x v="931"/>
    <x v="0"/>
    <x v="0"/>
    <x v="2"/>
  </r>
  <r>
    <x v="932"/>
    <x v="3"/>
    <x v="2"/>
    <x v="738"/>
    <x v="932"/>
    <x v="267"/>
    <x v="1"/>
    <x v="932"/>
    <x v="0"/>
    <x v="0"/>
    <x v="8"/>
  </r>
  <r>
    <x v="933"/>
    <x v="4"/>
    <x v="19"/>
    <x v="739"/>
    <x v="933"/>
    <x v="263"/>
    <x v="125"/>
    <x v="933"/>
    <x v="0"/>
    <x v="0"/>
    <x v="3"/>
  </r>
  <r>
    <x v="934"/>
    <x v="4"/>
    <x v="10"/>
    <x v="740"/>
    <x v="934"/>
    <x v="73"/>
    <x v="156"/>
    <x v="934"/>
    <x v="0"/>
    <x v="0"/>
    <x v="8"/>
  </r>
  <r>
    <x v="935"/>
    <x v="0"/>
    <x v="1"/>
    <x v="741"/>
    <x v="935"/>
    <x v="343"/>
    <x v="20"/>
    <x v="935"/>
    <x v="0"/>
    <x v="0"/>
    <x v="3"/>
  </r>
  <r>
    <x v="936"/>
    <x v="3"/>
    <x v="17"/>
    <x v="742"/>
    <x v="936"/>
    <x v="353"/>
    <x v="91"/>
    <x v="936"/>
    <x v="0"/>
    <x v="0"/>
    <x v="8"/>
  </r>
  <r>
    <x v="937"/>
    <x v="0"/>
    <x v="15"/>
    <x v="743"/>
    <x v="937"/>
    <x v="184"/>
    <x v="28"/>
    <x v="937"/>
    <x v="1"/>
    <x v="158"/>
    <x v="2"/>
  </r>
  <r>
    <x v="938"/>
    <x v="3"/>
    <x v="12"/>
    <x v="744"/>
    <x v="938"/>
    <x v="169"/>
    <x v="82"/>
    <x v="938"/>
    <x v="1"/>
    <x v="159"/>
    <x v="4"/>
  </r>
  <r>
    <x v="939"/>
    <x v="3"/>
    <x v="3"/>
    <x v="474"/>
    <x v="939"/>
    <x v="247"/>
    <x v="70"/>
    <x v="939"/>
    <x v="0"/>
    <x v="0"/>
    <x v="6"/>
  </r>
  <r>
    <x v="940"/>
    <x v="2"/>
    <x v="2"/>
    <x v="745"/>
    <x v="940"/>
    <x v="54"/>
    <x v="11"/>
    <x v="940"/>
    <x v="1"/>
    <x v="160"/>
    <x v="8"/>
  </r>
  <r>
    <x v="941"/>
    <x v="3"/>
    <x v="12"/>
    <x v="607"/>
    <x v="941"/>
    <x v="387"/>
    <x v="3"/>
    <x v="941"/>
    <x v="1"/>
    <x v="161"/>
    <x v="4"/>
  </r>
  <r>
    <x v="942"/>
    <x v="2"/>
    <x v="4"/>
    <x v="746"/>
    <x v="942"/>
    <x v="72"/>
    <x v="26"/>
    <x v="942"/>
    <x v="0"/>
    <x v="0"/>
    <x v="5"/>
  </r>
  <r>
    <x v="943"/>
    <x v="4"/>
    <x v="14"/>
    <x v="747"/>
    <x v="943"/>
    <x v="209"/>
    <x v="88"/>
    <x v="943"/>
    <x v="0"/>
    <x v="0"/>
    <x v="1"/>
  </r>
  <r>
    <x v="944"/>
    <x v="1"/>
    <x v="9"/>
    <x v="748"/>
    <x v="944"/>
    <x v="256"/>
    <x v="34"/>
    <x v="944"/>
    <x v="0"/>
    <x v="0"/>
    <x v="1"/>
  </r>
  <r>
    <x v="945"/>
    <x v="0"/>
    <x v="13"/>
    <x v="68"/>
    <x v="945"/>
    <x v="174"/>
    <x v="38"/>
    <x v="945"/>
    <x v="0"/>
    <x v="0"/>
    <x v="1"/>
  </r>
  <r>
    <x v="946"/>
    <x v="3"/>
    <x v="12"/>
    <x v="749"/>
    <x v="946"/>
    <x v="140"/>
    <x v="22"/>
    <x v="946"/>
    <x v="0"/>
    <x v="0"/>
    <x v="4"/>
  </r>
  <r>
    <x v="947"/>
    <x v="1"/>
    <x v="7"/>
    <x v="750"/>
    <x v="947"/>
    <x v="95"/>
    <x v="81"/>
    <x v="947"/>
    <x v="0"/>
    <x v="0"/>
    <x v="2"/>
  </r>
  <r>
    <x v="948"/>
    <x v="3"/>
    <x v="10"/>
    <x v="751"/>
    <x v="948"/>
    <x v="191"/>
    <x v="51"/>
    <x v="948"/>
    <x v="0"/>
    <x v="0"/>
    <x v="8"/>
  </r>
  <r>
    <x v="949"/>
    <x v="1"/>
    <x v="20"/>
    <x v="752"/>
    <x v="949"/>
    <x v="347"/>
    <x v="81"/>
    <x v="949"/>
    <x v="0"/>
    <x v="0"/>
    <x v="0"/>
  </r>
  <r>
    <x v="950"/>
    <x v="0"/>
    <x v="9"/>
    <x v="99"/>
    <x v="950"/>
    <x v="264"/>
    <x v="94"/>
    <x v="950"/>
    <x v="1"/>
    <x v="162"/>
    <x v="1"/>
  </r>
  <r>
    <x v="951"/>
    <x v="3"/>
    <x v="11"/>
    <x v="753"/>
    <x v="951"/>
    <x v="35"/>
    <x v="67"/>
    <x v="951"/>
    <x v="0"/>
    <x v="0"/>
    <x v="2"/>
  </r>
  <r>
    <x v="952"/>
    <x v="1"/>
    <x v="2"/>
    <x v="157"/>
    <x v="952"/>
    <x v="70"/>
    <x v="77"/>
    <x v="952"/>
    <x v="0"/>
    <x v="0"/>
    <x v="8"/>
  </r>
  <r>
    <x v="953"/>
    <x v="4"/>
    <x v="19"/>
    <x v="754"/>
    <x v="953"/>
    <x v="308"/>
    <x v="127"/>
    <x v="953"/>
    <x v="0"/>
    <x v="0"/>
    <x v="3"/>
  </r>
  <r>
    <x v="954"/>
    <x v="1"/>
    <x v="12"/>
    <x v="346"/>
    <x v="954"/>
    <x v="270"/>
    <x v="6"/>
    <x v="954"/>
    <x v="0"/>
    <x v="0"/>
    <x v="4"/>
  </r>
  <r>
    <x v="955"/>
    <x v="3"/>
    <x v="2"/>
    <x v="755"/>
    <x v="955"/>
    <x v="426"/>
    <x v="148"/>
    <x v="955"/>
    <x v="0"/>
    <x v="0"/>
    <x v="8"/>
  </r>
  <r>
    <x v="956"/>
    <x v="0"/>
    <x v="8"/>
    <x v="756"/>
    <x v="956"/>
    <x v="150"/>
    <x v="56"/>
    <x v="956"/>
    <x v="0"/>
    <x v="0"/>
    <x v="7"/>
  </r>
  <r>
    <x v="957"/>
    <x v="3"/>
    <x v="6"/>
    <x v="44"/>
    <x v="957"/>
    <x v="238"/>
    <x v="87"/>
    <x v="957"/>
    <x v="0"/>
    <x v="0"/>
    <x v="8"/>
  </r>
  <r>
    <x v="958"/>
    <x v="3"/>
    <x v="10"/>
    <x v="757"/>
    <x v="958"/>
    <x v="427"/>
    <x v="87"/>
    <x v="958"/>
    <x v="0"/>
    <x v="0"/>
    <x v="8"/>
  </r>
  <r>
    <x v="959"/>
    <x v="3"/>
    <x v="5"/>
    <x v="175"/>
    <x v="959"/>
    <x v="164"/>
    <x v="82"/>
    <x v="959"/>
    <x v="0"/>
    <x v="0"/>
    <x v="1"/>
  </r>
  <r>
    <x v="960"/>
    <x v="1"/>
    <x v="8"/>
    <x v="490"/>
    <x v="960"/>
    <x v="37"/>
    <x v="32"/>
    <x v="960"/>
    <x v="1"/>
    <x v="163"/>
    <x v="7"/>
  </r>
  <r>
    <x v="961"/>
    <x v="4"/>
    <x v="11"/>
    <x v="758"/>
    <x v="961"/>
    <x v="147"/>
    <x v="122"/>
    <x v="961"/>
    <x v="0"/>
    <x v="0"/>
    <x v="2"/>
  </r>
  <r>
    <x v="962"/>
    <x v="2"/>
    <x v="7"/>
    <x v="640"/>
    <x v="962"/>
    <x v="166"/>
    <x v="74"/>
    <x v="962"/>
    <x v="0"/>
    <x v="0"/>
    <x v="2"/>
  </r>
  <r>
    <x v="963"/>
    <x v="3"/>
    <x v="12"/>
    <x v="759"/>
    <x v="963"/>
    <x v="305"/>
    <x v="20"/>
    <x v="963"/>
    <x v="1"/>
    <x v="164"/>
    <x v="4"/>
  </r>
  <r>
    <x v="964"/>
    <x v="0"/>
    <x v="8"/>
    <x v="146"/>
    <x v="964"/>
    <x v="14"/>
    <x v="47"/>
    <x v="964"/>
    <x v="0"/>
    <x v="0"/>
    <x v="7"/>
  </r>
  <r>
    <x v="965"/>
    <x v="4"/>
    <x v="2"/>
    <x v="760"/>
    <x v="965"/>
    <x v="264"/>
    <x v="157"/>
    <x v="965"/>
    <x v="0"/>
    <x v="0"/>
    <x v="8"/>
  </r>
  <r>
    <x v="966"/>
    <x v="0"/>
    <x v="12"/>
    <x v="761"/>
    <x v="966"/>
    <x v="419"/>
    <x v="77"/>
    <x v="966"/>
    <x v="1"/>
    <x v="165"/>
    <x v="4"/>
  </r>
  <r>
    <x v="967"/>
    <x v="3"/>
    <x v="2"/>
    <x v="337"/>
    <x v="967"/>
    <x v="416"/>
    <x v="12"/>
    <x v="967"/>
    <x v="1"/>
    <x v="166"/>
    <x v="8"/>
  </r>
  <r>
    <x v="968"/>
    <x v="4"/>
    <x v="19"/>
    <x v="285"/>
    <x v="968"/>
    <x v="194"/>
    <x v="76"/>
    <x v="968"/>
    <x v="0"/>
    <x v="0"/>
    <x v="3"/>
  </r>
  <r>
    <x v="969"/>
    <x v="2"/>
    <x v="3"/>
    <x v="762"/>
    <x v="969"/>
    <x v="337"/>
    <x v="64"/>
    <x v="969"/>
    <x v="0"/>
    <x v="0"/>
    <x v="6"/>
  </r>
  <r>
    <x v="970"/>
    <x v="3"/>
    <x v="2"/>
    <x v="763"/>
    <x v="970"/>
    <x v="252"/>
    <x v="82"/>
    <x v="970"/>
    <x v="1"/>
    <x v="167"/>
    <x v="8"/>
  </r>
  <r>
    <x v="971"/>
    <x v="2"/>
    <x v="7"/>
    <x v="595"/>
    <x v="971"/>
    <x v="202"/>
    <x v="47"/>
    <x v="971"/>
    <x v="1"/>
    <x v="168"/>
    <x v="2"/>
  </r>
  <r>
    <x v="972"/>
    <x v="1"/>
    <x v="16"/>
    <x v="764"/>
    <x v="972"/>
    <x v="293"/>
    <x v="73"/>
    <x v="972"/>
    <x v="0"/>
    <x v="0"/>
    <x v="1"/>
  </r>
  <r>
    <x v="973"/>
    <x v="2"/>
    <x v="14"/>
    <x v="624"/>
    <x v="973"/>
    <x v="370"/>
    <x v="4"/>
    <x v="973"/>
    <x v="1"/>
    <x v="169"/>
    <x v="1"/>
  </r>
  <r>
    <x v="974"/>
    <x v="2"/>
    <x v="1"/>
    <x v="648"/>
    <x v="974"/>
    <x v="280"/>
    <x v="34"/>
    <x v="974"/>
    <x v="0"/>
    <x v="0"/>
    <x v="3"/>
  </r>
  <r>
    <x v="975"/>
    <x v="4"/>
    <x v="15"/>
    <x v="765"/>
    <x v="975"/>
    <x v="299"/>
    <x v="158"/>
    <x v="975"/>
    <x v="0"/>
    <x v="0"/>
    <x v="2"/>
  </r>
  <r>
    <x v="976"/>
    <x v="3"/>
    <x v="2"/>
    <x v="766"/>
    <x v="976"/>
    <x v="372"/>
    <x v="8"/>
    <x v="976"/>
    <x v="1"/>
    <x v="170"/>
    <x v="8"/>
  </r>
  <r>
    <x v="977"/>
    <x v="4"/>
    <x v="2"/>
    <x v="767"/>
    <x v="977"/>
    <x v="428"/>
    <x v="159"/>
    <x v="977"/>
    <x v="0"/>
    <x v="0"/>
    <x v="8"/>
  </r>
  <r>
    <x v="978"/>
    <x v="0"/>
    <x v="6"/>
    <x v="768"/>
    <x v="978"/>
    <x v="197"/>
    <x v="52"/>
    <x v="978"/>
    <x v="1"/>
    <x v="171"/>
    <x v="8"/>
  </r>
  <r>
    <x v="979"/>
    <x v="0"/>
    <x v="18"/>
    <x v="769"/>
    <x v="979"/>
    <x v="429"/>
    <x v="82"/>
    <x v="979"/>
    <x v="0"/>
    <x v="0"/>
    <x v="9"/>
  </r>
  <r>
    <x v="980"/>
    <x v="0"/>
    <x v="7"/>
    <x v="770"/>
    <x v="980"/>
    <x v="405"/>
    <x v="39"/>
    <x v="980"/>
    <x v="0"/>
    <x v="0"/>
    <x v="2"/>
  </r>
  <r>
    <x v="981"/>
    <x v="0"/>
    <x v="5"/>
    <x v="364"/>
    <x v="981"/>
    <x v="147"/>
    <x v="56"/>
    <x v="981"/>
    <x v="0"/>
    <x v="0"/>
    <x v="1"/>
  </r>
  <r>
    <x v="982"/>
    <x v="0"/>
    <x v="4"/>
    <x v="477"/>
    <x v="982"/>
    <x v="359"/>
    <x v="78"/>
    <x v="982"/>
    <x v="1"/>
    <x v="172"/>
    <x v="5"/>
  </r>
  <r>
    <x v="983"/>
    <x v="1"/>
    <x v="17"/>
    <x v="742"/>
    <x v="983"/>
    <x v="430"/>
    <x v="11"/>
    <x v="983"/>
    <x v="0"/>
    <x v="0"/>
    <x v="8"/>
  </r>
  <r>
    <x v="984"/>
    <x v="0"/>
    <x v="10"/>
    <x v="751"/>
    <x v="984"/>
    <x v="90"/>
    <x v="40"/>
    <x v="984"/>
    <x v="1"/>
    <x v="173"/>
    <x v="8"/>
  </r>
  <r>
    <x v="985"/>
    <x v="3"/>
    <x v="7"/>
    <x v="771"/>
    <x v="985"/>
    <x v="332"/>
    <x v="25"/>
    <x v="985"/>
    <x v="0"/>
    <x v="0"/>
    <x v="2"/>
  </r>
  <r>
    <x v="986"/>
    <x v="0"/>
    <x v="7"/>
    <x v="644"/>
    <x v="986"/>
    <x v="428"/>
    <x v="67"/>
    <x v="986"/>
    <x v="0"/>
    <x v="0"/>
    <x v="2"/>
  </r>
  <r>
    <x v="987"/>
    <x v="4"/>
    <x v="5"/>
    <x v="772"/>
    <x v="987"/>
    <x v="33"/>
    <x v="160"/>
    <x v="987"/>
    <x v="0"/>
    <x v="0"/>
    <x v="1"/>
  </r>
  <r>
    <x v="988"/>
    <x v="3"/>
    <x v="12"/>
    <x v="773"/>
    <x v="988"/>
    <x v="431"/>
    <x v="47"/>
    <x v="988"/>
    <x v="0"/>
    <x v="0"/>
    <x v="4"/>
  </r>
  <r>
    <x v="989"/>
    <x v="1"/>
    <x v="2"/>
    <x v="774"/>
    <x v="989"/>
    <x v="347"/>
    <x v="87"/>
    <x v="989"/>
    <x v="0"/>
    <x v="0"/>
    <x v="8"/>
  </r>
  <r>
    <x v="990"/>
    <x v="1"/>
    <x v="7"/>
    <x v="775"/>
    <x v="990"/>
    <x v="432"/>
    <x v="7"/>
    <x v="990"/>
    <x v="0"/>
    <x v="0"/>
    <x v="2"/>
  </r>
  <r>
    <x v="991"/>
    <x v="2"/>
    <x v="7"/>
    <x v="685"/>
    <x v="991"/>
    <x v="399"/>
    <x v="20"/>
    <x v="991"/>
    <x v="0"/>
    <x v="0"/>
    <x v="2"/>
  </r>
  <r>
    <x v="992"/>
    <x v="1"/>
    <x v="12"/>
    <x v="776"/>
    <x v="992"/>
    <x v="266"/>
    <x v="20"/>
    <x v="992"/>
    <x v="0"/>
    <x v="0"/>
    <x v="4"/>
  </r>
  <r>
    <x v="993"/>
    <x v="1"/>
    <x v="17"/>
    <x v="291"/>
    <x v="993"/>
    <x v="433"/>
    <x v="39"/>
    <x v="993"/>
    <x v="0"/>
    <x v="0"/>
    <x v="8"/>
  </r>
  <r>
    <x v="994"/>
    <x v="0"/>
    <x v="20"/>
    <x v="777"/>
    <x v="994"/>
    <x v="223"/>
    <x v="78"/>
    <x v="994"/>
    <x v="0"/>
    <x v="0"/>
    <x v="0"/>
  </r>
  <r>
    <x v="995"/>
    <x v="1"/>
    <x v="1"/>
    <x v="778"/>
    <x v="995"/>
    <x v="412"/>
    <x v="78"/>
    <x v="995"/>
    <x v="1"/>
    <x v="174"/>
    <x v="3"/>
  </r>
  <r>
    <x v="996"/>
    <x v="2"/>
    <x v="6"/>
    <x v="779"/>
    <x v="996"/>
    <x v="249"/>
    <x v="40"/>
    <x v="996"/>
    <x v="0"/>
    <x v="0"/>
    <x v="8"/>
  </r>
  <r>
    <x v="997"/>
    <x v="2"/>
    <x v="3"/>
    <x v="780"/>
    <x v="997"/>
    <x v="6"/>
    <x v="20"/>
    <x v="997"/>
    <x v="1"/>
    <x v="175"/>
    <x v="6"/>
  </r>
  <r>
    <x v="998"/>
    <x v="0"/>
    <x v="10"/>
    <x v="781"/>
    <x v="998"/>
    <x v="338"/>
    <x v="82"/>
    <x v="998"/>
    <x v="1"/>
    <x v="176"/>
    <x v="8"/>
  </r>
  <r>
    <x v="999"/>
    <x v="0"/>
    <x v="11"/>
    <x v="782"/>
    <x v="999"/>
    <x v="81"/>
    <x v="43"/>
    <x v="999"/>
    <x v="1"/>
    <x v="177"/>
    <x v="2"/>
  </r>
  <r>
    <x v="1000"/>
    <x v="1"/>
    <x v="12"/>
    <x v="783"/>
    <x v="1000"/>
    <x v="434"/>
    <x v="82"/>
    <x v="1000"/>
    <x v="0"/>
    <x v="0"/>
    <x v="4"/>
  </r>
  <r>
    <x v="1001"/>
    <x v="1"/>
    <x v="4"/>
    <x v="784"/>
    <x v="1001"/>
    <x v="435"/>
    <x v="75"/>
    <x v="1001"/>
    <x v="0"/>
    <x v="0"/>
    <x v="5"/>
  </r>
  <r>
    <x v="1002"/>
    <x v="4"/>
    <x v="10"/>
    <x v="84"/>
    <x v="1002"/>
    <x v="221"/>
    <x v="161"/>
    <x v="1002"/>
    <x v="0"/>
    <x v="0"/>
    <x v="8"/>
  </r>
  <r>
    <x v="1003"/>
    <x v="3"/>
    <x v="7"/>
    <x v="591"/>
    <x v="1003"/>
    <x v="322"/>
    <x v="61"/>
    <x v="1003"/>
    <x v="0"/>
    <x v="0"/>
    <x v="2"/>
  </r>
  <r>
    <x v="1004"/>
    <x v="2"/>
    <x v="1"/>
    <x v="785"/>
    <x v="1004"/>
    <x v="347"/>
    <x v="61"/>
    <x v="1004"/>
    <x v="0"/>
    <x v="0"/>
    <x v="3"/>
  </r>
  <r>
    <x v="1005"/>
    <x v="3"/>
    <x v="17"/>
    <x v="329"/>
    <x v="1005"/>
    <x v="346"/>
    <x v="148"/>
    <x v="1005"/>
    <x v="0"/>
    <x v="0"/>
    <x v="8"/>
  </r>
  <r>
    <x v="1006"/>
    <x v="0"/>
    <x v="5"/>
    <x v="786"/>
    <x v="1006"/>
    <x v="39"/>
    <x v="82"/>
    <x v="1006"/>
    <x v="0"/>
    <x v="0"/>
    <x v="1"/>
  </r>
  <r>
    <x v="1007"/>
    <x v="0"/>
    <x v="6"/>
    <x v="435"/>
    <x v="1007"/>
    <x v="405"/>
    <x v="0"/>
    <x v="1007"/>
    <x v="0"/>
    <x v="0"/>
    <x v="8"/>
  </r>
  <r>
    <x v="1008"/>
    <x v="3"/>
    <x v="8"/>
    <x v="787"/>
    <x v="1008"/>
    <x v="231"/>
    <x v="77"/>
    <x v="1008"/>
    <x v="0"/>
    <x v="0"/>
    <x v="7"/>
  </r>
  <r>
    <x v="1009"/>
    <x v="4"/>
    <x v="3"/>
    <x v="788"/>
    <x v="1009"/>
    <x v="175"/>
    <x v="155"/>
    <x v="1009"/>
    <x v="0"/>
    <x v="0"/>
    <x v="6"/>
  </r>
  <r>
    <x v="1010"/>
    <x v="0"/>
    <x v="4"/>
    <x v="789"/>
    <x v="1010"/>
    <x v="43"/>
    <x v="54"/>
    <x v="1010"/>
    <x v="1"/>
    <x v="178"/>
    <x v="5"/>
  </r>
  <r>
    <x v="1011"/>
    <x v="2"/>
    <x v="18"/>
    <x v="790"/>
    <x v="1011"/>
    <x v="65"/>
    <x v="33"/>
    <x v="1011"/>
    <x v="1"/>
    <x v="179"/>
    <x v="9"/>
  </r>
  <r>
    <x v="1012"/>
    <x v="1"/>
    <x v="1"/>
    <x v="791"/>
    <x v="1012"/>
    <x v="436"/>
    <x v="18"/>
    <x v="1012"/>
    <x v="0"/>
    <x v="0"/>
    <x v="3"/>
  </r>
  <r>
    <x v="1013"/>
    <x v="2"/>
    <x v="15"/>
    <x v="792"/>
    <x v="1013"/>
    <x v="380"/>
    <x v="56"/>
    <x v="1013"/>
    <x v="0"/>
    <x v="0"/>
    <x v="2"/>
  </r>
  <r>
    <x v="1014"/>
    <x v="4"/>
    <x v="11"/>
    <x v="654"/>
    <x v="1014"/>
    <x v="258"/>
    <x v="162"/>
    <x v="1014"/>
    <x v="1"/>
    <x v="180"/>
    <x v="2"/>
  </r>
  <r>
    <x v="1015"/>
    <x v="3"/>
    <x v="3"/>
    <x v="793"/>
    <x v="1015"/>
    <x v="192"/>
    <x v="77"/>
    <x v="1015"/>
    <x v="0"/>
    <x v="0"/>
    <x v="6"/>
  </r>
  <r>
    <x v="1016"/>
    <x v="3"/>
    <x v="19"/>
    <x v="630"/>
    <x v="1016"/>
    <x v="374"/>
    <x v="77"/>
    <x v="1016"/>
    <x v="0"/>
    <x v="0"/>
    <x v="3"/>
  </r>
  <r>
    <x v="1017"/>
    <x v="0"/>
    <x v="12"/>
    <x v="794"/>
    <x v="1017"/>
    <x v="428"/>
    <x v="20"/>
    <x v="1017"/>
    <x v="0"/>
    <x v="0"/>
    <x v="4"/>
  </r>
  <r>
    <x v="1018"/>
    <x v="0"/>
    <x v="1"/>
    <x v="795"/>
    <x v="1018"/>
    <x v="405"/>
    <x v="87"/>
    <x v="1018"/>
    <x v="1"/>
    <x v="181"/>
    <x v="3"/>
  </r>
  <r>
    <x v="1019"/>
    <x v="0"/>
    <x v="5"/>
    <x v="456"/>
    <x v="1019"/>
    <x v="379"/>
    <x v="87"/>
    <x v="1019"/>
    <x v="1"/>
    <x v="182"/>
    <x v="1"/>
  </r>
  <r>
    <x v="1020"/>
    <x v="3"/>
    <x v="11"/>
    <x v="796"/>
    <x v="1020"/>
    <x v="207"/>
    <x v="36"/>
    <x v="1020"/>
    <x v="0"/>
    <x v="0"/>
    <x v="2"/>
  </r>
  <r>
    <x v="1021"/>
    <x v="4"/>
    <x v="8"/>
    <x v="550"/>
    <x v="1021"/>
    <x v="44"/>
    <x v="163"/>
    <x v="1021"/>
    <x v="0"/>
    <x v="0"/>
    <x v="7"/>
  </r>
  <r>
    <x v="1022"/>
    <x v="0"/>
    <x v="20"/>
    <x v="299"/>
    <x v="1022"/>
    <x v="81"/>
    <x v="7"/>
    <x v="1022"/>
    <x v="0"/>
    <x v="0"/>
    <x v="0"/>
  </r>
  <r>
    <x v="1023"/>
    <x v="4"/>
    <x v="19"/>
    <x v="91"/>
    <x v="1023"/>
    <x v="134"/>
    <x v="164"/>
    <x v="1023"/>
    <x v="0"/>
    <x v="0"/>
    <x v="3"/>
  </r>
  <r>
    <x v="1024"/>
    <x v="2"/>
    <x v="6"/>
    <x v="263"/>
    <x v="1024"/>
    <x v="311"/>
    <x v="3"/>
    <x v="1024"/>
    <x v="1"/>
    <x v="183"/>
    <x v="8"/>
  </r>
  <r>
    <x v="1025"/>
    <x v="3"/>
    <x v="2"/>
    <x v="797"/>
    <x v="1025"/>
    <x v="1"/>
    <x v="82"/>
    <x v="1025"/>
    <x v="1"/>
    <x v="184"/>
    <x v="8"/>
  </r>
  <r>
    <x v="1026"/>
    <x v="4"/>
    <x v="8"/>
    <x v="798"/>
    <x v="1026"/>
    <x v="232"/>
    <x v="91"/>
    <x v="1026"/>
    <x v="0"/>
    <x v="0"/>
    <x v="7"/>
  </r>
  <r>
    <x v="1027"/>
    <x v="0"/>
    <x v="20"/>
    <x v="799"/>
    <x v="1027"/>
    <x v="221"/>
    <x v="82"/>
    <x v="1027"/>
    <x v="0"/>
    <x v="0"/>
    <x v="0"/>
  </r>
  <r>
    <x v="1028"/>
    <x v="1"/>
    <x v="7"/>
    <x v="685"/>
    <x v="1028"/>
    <x v="271"/>
    <x v="94"/>
    <x v="1028"/>
    <x v="0"/>
    <x v="0"/>
    <x v="2"/>
  </r>
  <r>
    <x v="1029"/>
    <x v="2"/>
    <x v="11"/>
    <x v="800"/>
    <x v="1029"/>
    <x v="353"/>
    <x v="14"/>
    <x v="1029"/>
    <x v="0"/>
    <x v="0"/>
    <x v="2"/>
  </r>
  <r>
    <x v="1030"/>
    <x v="2"/>
    <x v="10"/>
    <x v="367"/>
    <x v="1030"/>
    <x v="437"/>
    <x v="63"/>
    <x v="1030"/>
    <x v="0"/>
    <x v="0"/>
    <x v="8"/>
  </r>
  <r>
    <x v="1031"/>
    <x v="4"/>
    <x v="7"/>
    <x v="325"/>
    <x v="1031"/>
    <x v="3"/>
    <x v="165"/>
    <x v="1031"/>
    <x v="0"/>
    <x v="0"/>
    <x v="2"/>
  </r>
  <r>
    <x v="1032"/>
    <x v="2"/>
    <x v="15"/>
    <x v="330"/>
    <x v="1032"/>
    <x v="416"/>
    <x v="73"/>
    <x v="1032"/>
    <x v="0"/>
    <x v="0"/>
    <x v="2"/>
  </r>
  <r>
    <x v="1033"/>
    <x v="0"/>
    <x v="15"/>
    <x v="88"/>
    <x v="1033"/>
    <x v="438"/>
    <x v="23"/>
    <x v="1033"/>
    <x v="0"/>
    <x v="0"/>
    <x v="2"/>
  </r>
  <r>
    <x v="1034"/>
    <x v="1"/>
    <x v="17"/>
    <x v="92"/>
    <x v="1034"/>
    <x v="320"/>
    <x v="4"/>
    <x v="1034"/>
    <x v="0"/>
    <x v="0"/>
    <x v="8"/>
  </r>
  <r>
    <x v="1035"/>
    <x v="3"/>
    <x v="5"/>
    <x v="240"/>
    <x v="1035"/>
    <x v="4"/>
    <x v="74"/>
    <x v="1035"/>
    <x v="0"/>
    <x v="0"/>
    <x v="1"/>
  </r>
  <r>
    <x v="1036"/>
    <x v="3"/>
    <x v="2"/>
    <x v="801"/>
    <x v="1036"/>
    <x v="439"/>
    <x v="52"/>
    <x v="1036"/>
    <x v="1"/>
    <x v="185"/>
    <x v="8"/>
  </r>
  <r>
    <x v="1037"/>
    <x v="2"/>
    <x v="3"/>
    <x v="802"/>
    <x v="1037"/>
    <x v="440"/>
    <x v="26"/>
    <x v="1037"/>
    <x v="0"/>
    <x v="0"/>
    <x v="6"/>
  </r>
  <r>
    <x v="1038"/>
    <x v="2"/>
    <x v="6"/>
    <x v="803"/>
    <x v="1038"/>
    <x v="130"/>
    <x v="15"/>
    <x v="1038"/>
    <x v="0"/>
    <x v="0"/>
    <x v="8"/>
  </r>
  <r>
    <x v="1039"/>
    <x v="2"/>
    <x v="6"/>
    <x v="804"/>
    <x v="1039"/>
    <x v="441"/>
    <x v="33"/>
    <x v="1039"/>
    <x v="0"/>
    <x v="0"/>
    <x v="8"/>
  </r>
  <r>
    <x v="1040"/>
    <x v="3"/>
    <x v="2"/>
    <x v="805"/>
    <x v="1040"/>
    <x v="35"/>
    <x v="109"/>
    <x v="1040"/>
    <x v="1"/>
    <x v="186"/>
    <x v="8"/>
  </r>
  <r>
    <x v="1041"/>
    <x v="4"/>
    <x v="15"/>
    <x v="806"/>
    <x v="1041"/>
    <x v="44"/>
    <x v="166"/>
    <x v="1041"/>
    <x v="1"/>
    <x v="187"/>
    <x v="2"/>
  </r>
  <r>
    <x v="1042"/>
    <x v="0"/>
    <x v="12"/>
    <x v="615"/>
    <x v="1042"/>
    <x v="422"/>
    <x v="77"/>
    <x v="1042"/>
    <x v="0"/>
    <x v="0"/>
    <x v="4"/>
  </r>
  <r>
    <x v="1043"/>
    <x v="3"/>
    <x v="9"/>
    <x v="807"/>
    <x v="1043"/>
    <x v="231"/>
    <x v="94"/>
    <x v="1043"/>
    <x v="1"/>
    <x v="188"/>
    <x v="1"/>
  </r>
  <r>
    <x v="1044"/>
    <x v="3"/>
    <x v="15"/>
    <x v="237"/>
    <x v="1044"/>
    <x v="442"/>
    <x v="77"/>
    <x v="1044"/>
    <x v="0"/>
    <x v="0"/>
    <x v="2"/>
  </r>
  <r>
    <x v="1045"/>
    <x v="3"/>
    <x v="9"/>
    <x v="748"/>
    <x v="1045"/>
    <x v="109"/>
    <x v="6"/>
    <x v="1045"/>
    <x v="1"/>
    <x v="189"/>
    <x v="1"/>
  </r>
  <r>
    <x v="1046"/>
    <x v="0"/>
    <x v="15"/>
    <x v="808"/>
    <x v="1046"/>
    <x v="418"/>
    <x v="0"/>
    <x v="1046"/>
    <x v="0"/>
    <x v="0"/>
    <x v="2"/>
  </r>
  <r>
    <x v="1047"/>
    <x v="3"/>
    <x v="9"/>
    <x v="809"/>
    <x v="1047"/>
    <x v="443"/>
    <x v="81"/>
    <x v="1047"/>
    <x v="1"/>
    <x v="190"/>
    <x v="1"/>
  </r>
  <r>
    <x v="1048"/>
    <x v="0"/>
    <x v="10"/>
    <x v="440"/>
    <x v="1048"/>
    <x v="307"/>
    <x v="28"/>
    <x v="1048"/>
    <x v="0"/>
    <x v="0"/>
    <x v="8"/>
  </r>
  <r>
    <x v="1049"/>
    <x v="2"/>
    <x v="2"/>
    <x v="810"/>
    <x v="1049"/>
    <x v="397"/>
    <x v="14"/>
    <x v="1049"/>
    <x v="0"/>
    <x v="0"/>
    <x v="8"/>
  </r>
  <r>
    <x v="1050"/>
    <x v="0"/>
    <x v="3"/>
    <x v="478"/>
    <x v="1050"/>
    <x v="419"/>
    <x v="87"/>
    <x v="1050"/>
    <x v="1"/>
    <x v="191"/>
    <x v="6"/>
  </r>
  <r>
    <x v="1051"/>
    <x v="2"/>
    <x v="15"/>
    <x v="554"/>
    <x v="1051"/>
    <x v="271"/>
    <x v="1"/>
    <x v="1051"/>
    <x v="0"/>
    <x v="0"/>
    <x v="2"/>
  </r>
  <r>
    <x v="1052"/>
    <x v="2"/>
    <x v="3"/>
    <x v="811"/>
    <x v="1052"/>
    <x v="444"/>
    <x v="78"/>
    <x v="1052"/>
    <x v="0"/>
    <x v="0"/>
    <x v="6"/>
  </r>
  <r>
    <x v="1053"/>
    <x v="1"/>
    <x v="18"/>
    <x v="812"/>
    <x v="1053"/>
    <x v="434"/>
    <x v="94"/>
    <x v="1053"/>
    <x v="0"/>
    <x v="0"/>
    <x v="9"/>
  </r>
  <r>
    <x v="1054"/>
    <x v="2"/>
    <x v="17"/>
    <x v="813"/>
    <x v="1054"/>
    <x v="445"/>
    <x v="26"/>
    <x v="1054"/>
    <x v="1"/>
    <x v="192"/>
    <x v="8"/>
  </r>
  <r>
    <x v="1055"/>
    <x v="3"/>
    <x v="14"/>
    <x v="814"/>
    <x v="1055"/>
    <x v="383"/>
    <x v="6"/>
    <x v="1055"/>
    <x v="1"/>
    <x v="193"/>
    <x v="1"/>
  </r>
  <r>
    <x v="1056"/>
    <x v="3"/>
    <x v="18"/>
    <x v="815"/>
    <x v="1056"/>
    <x v="238"/>
    <x v="81"/>
    <x v="1056"/>
    <x v="0"/>
    <x v="0"/>
    <x v="9"/>
  </r>
  <r>
    <x v="1057"/>
    <x v="0"/>
    <x v="8"/>
    <x v="816"/>
    <x v="1057"/>
    <x v="299"/>
    <x v="23"/>
    <x v="1057"/>
    <x v="0"/>
    <x v="0"/>
    <x v="7"/>
  </r>
  <r>
    <x v="1058"/>
    <x v="0"/>
    <x v="14"/>
    <x v="817"/>
    <x v="1058"/>
    <x v="81"/>
    <x v="50"/>
    <x v="1058"/>
    <x v="0"/>
    <x v="0"/>
    <x v="1"/>
  </r>
  <r>
    <x v="1059"/>
    <x v="4"/>
    <x v="15"/>
    <x v="425"/>
    <x v="1059"/>
    <x v="226"/>
    <x v="167"/>
    <x v="1059"/>
    <x v="0"/>
    <x v="0"/>
    <x v="2"/>
  </r>
  <r>
    <x v="1060"/>
    <x v="2"/>
    <x v="6"/>
    <x v="818"/>
    <x v="1060"/>
    <x v="446"/>
    <x v="87"/>
    <x v="1060"/>
    <x v="1"/>
    <x v="194"/>
    <x v="8"/>
  </r>
  <r>
    <x v="1061"/>
    <x v="0"/>
    <x v="18"/>
    <x v="819"/>
    <x v="1061"/>
    <x v="307"/>
    <x v="41"/>
    <x v="1061"/>
    <x v="0"/>
    <x v="0"/>
    <x v="9"/>
  </r>
  <r>
    <x v="1062"/>
    <x v="1"/>
    <x v="19"/>
    <x v="820"/>
    <x v="1062"/>
    <x v="430"/>
    <x v="4"/>
    <x v="1062"/>
    <x v="0"/>
    <x v="0"/>
    <x v="3"/>
  </r>
  <r>
    <x v="1063"/>
    <x v="0"/>
    <x v="1"/>
    <x v="821"/>
    <x v="1063"/>
    <x v="260"/>
    <x v="81"/>
    <x v="1063"/>
    <x v="0"/>
    <x v="0"/>
    <x v="3"/>
  </r>
  <r>
    <x v="1064"/>
    <x v="1"/>
    <x v="18"/>
    <x v="822"/>
    <x v="1064"/>
    <x v="87"/>
    <x v="38"/>
    <x v="1064"/>
    <x v="0"/>
    <x v="0"/>
    <x v="9"/>
  </r>
  <r>
    <x v="1065"/>
    <x v="3"/>
    <x v="4"/>
    <x v="533"/>
    <x v="1065"/>
    <x v="424"/>
    <x v="35"/>
    <x v="1065"/>
    <x v="0"/>
    <x v="0"/>
    <x v="5"/>
  </r>
  <r>
    <x v="1066"/>
    <x v="0"/>
    <x v="1"/>
    <x v="823"/>
    <x v="1066"/>
    <x v="323"/>
    <x v="78"/>
    <x v="1066"/>
    <x v="0"/>
    <x v="0"/>
    <x v="3"/>
  </r>
  <r>
    <x v="1067"/>
    <x v="4"/>
    <x v="11"/>
    <x v="824"/>
    <x v="1067"/>
    <x v="307"/>
    <x v="108"/>
    <x v="1067"/>
    <x v="0"/>
    <x v="0"/>
    <x v="2"/>
  </r>
  <r>
    <x v="1068"/>
    <x v="0"/>
    <x v="19"/>
    <x v="140"/>
    <x v="1068"/>
    <x v="447"/>
    <x v="94"/>
    <x v="1068"/>
    <x v="0"/>
    <x v="0"/>
    <x v="3"/>
  </r>
  <r>
    <x v="1069"/>
    <x v="2"/>
    <x v="13"/>
    <x v="113"/>
    <x v="1069"/>
    <x v="50"/>
    <x v="74"/>
    <x v="1069"/>
    <x v="1"/>
    <x v="195"/>
    <x v="1"/>
  </r>
  <r>
    <x v="1070"/>
    <x v="2"/>
    <x v="3"/>
    <x v="825"/>
    <x v="1070"/>
    <x v="48"/>
    <x v="56"/>
    <x v="1070"/>
    <x v="0"/>
    <x v="0"/>
    <x v="6"/>
  </r>
  <r>
    <x v="1071"/>
    <x v="3"/>
    <x v="19"/>
    <x v="350"/>
    <x v="1071"/>
    <x v="188"/>
    <x v="3"/>
    <x v="1071"/>
    <x v="0"/>
    <x v="0"/>
    <x v="3"/>
  </r>
  <r>
    <x v="1072"/>
    <x v="0"/>
    <x v="1"/>
    <x v="826"/>
    <x v="1072"/>
    <x v="338"/>
    <x v="74"/>
    <x v="1072"/>
    <x v="0"/>
    <x v="0"/>
    <x v="3"/>
  </r>
  <r>
    <x v="1073"/>
    <x v="3"/>
    <x v="3"/>
    <x v="827"/>
    <x v="1073"/>
    <x v="448"/>
    <x v="0"/>
    <x v="1073"/>
    <x v="0"/>
    <x v="0"/>
    <x v="6"/>
  </r>
  <r>
    <x v="1074"/>
    <x v="0"/>
    <x v="8"/>
    <x v="828"/>
    <x v="1074"/>
    <x v="275"/>
    <x v="20"/>
    <x v="1074"/>
    <x v="1"/>
    <x v="196"/>
    <x v="7"/>
  </r>
  <r>
    <x v="1075"/>
    <x v="3"/>
    <x v="16"/>
    <x v="829"/>
    <x v="1075"/>
    <x v="286"/>
    <x v="123"/>
    <x v="1075"/>
    <x v="0"/>
    <x v="0"/>
    <x v="1"/>
  </r>
  <r>
    <x v="1076"/>
    <x v="1"/>
    <x v="11"/>
    <x v="680"/>
    <x v="1076"/>
    <x v="79"/>
    <x v="20"/>
    <x v="1076"/>
    <x v="0"/>
    <x v="0"/>
    <x v="2"/>
  </r>
  <r>
    <x v="1077"/>
    <x v="0"/>
    <x v="2"/>
    <x v="184"/>
    <x v="1077"/>
    <x v="21"/>
    <x v="73"/>
    <x v="1077"/>
    <x v="1"/>
    <x v="197"/>
    <x v="8"/>
  </r>
  <r>
    <x v="1078"/>
    <x v="3"/>
    <x v="14"/>
    <x v="830"/>
    <x v="1078"/>
    <x v="449"/>
    <x v="26"/>
    <x v="1078"/>
    <x v="1"/>
    <x v="198"/>
    <x v="1"/>
  </r>
  <r>
    <x v="1079"/>
    <x v="1"/>
    <x v="19"/>
    <x v="379"/>
    <x v="1079"/>
    <x v="450"/>
    <x v="77"/>
    <x v="1079"/>
    <x v="0"/>
    <x v="0"/>
    <x v="3"/>
  </r>
  <r>
    <x v="1080"/>
    <x v="0"/>
    <x v="9"/>
    <x v="831"/>
    <x v="1080"/>
    <x v="235"/>
    <x v="78"/>
    <x v="1080"/>
    <x v="0"/>
    <x v="0"/>
    <x v="1"/>
  </r>
  <r>
    <x v="1081"/>
    <x v="1"/>
    <x v="14"/>
    <x v="268"/>
    <x v="1081"/>
    <x v="79"/>
    <x v="77"/>
    <x v="1081"/>
    <x v="0"/>
    <x v="0"/>
    <x v="1"/>
  </r>
  <r>
    <x v="1082"/>
    <x v="2"/>
    <x v="4"/>
    <x v="832"/>
    <x v="1082"/>
    <x v="353"/>
    <x v="47"/>
    <x v="1082"/>
    <x v="1"/>
    <x v="199"/>
    <x v="5"/>
  </r>
  <r>
    <x v="1083"/>
    <x v="3"/>
    <x v="12"/>
    <x v="532"/>
    <x v="1083"/>
    <x v="451"/>
    <x v="77"/>
    <x v="1083"/>
    <x v="0"/>
    <x v="0"/>
    <x v="4"/>
  </r>
  <r>
    <x v="1084"/>
    <x v="2"/>
    <x v="6"/>
    <x v="263"/>
    <x v="1084"/>
    <x v="95"/>
    <x v="15"/>
    <x v="1084"/>
    <x v="0"/>
    <x v="0"/>
    <x v="8"/>
  </r>
  <r>
    <x v="1085"/>
    <x v="4"/>
    <x v="8"/>
    <x v="833"/>
    <x v="1085"/>
    <x v="194"/>
    <x v="168"/>
    <x v="1085"/>
    <x v="0"/>
    <x v="0"/>
    <x v="7"/>
  </r>
  <r>
    <x v="1086"/>
    <x v="1"/>
    <x v="9"/>
    <x v="834"/>
    <x v="1086"/>
    <x v="452"/>
    <x v="21"/>
    <x v="1086"/>
    <x v="0"/>
    <x v="0"/>
    <x v="1"/>
  </r>
  <r>
    <x v="1087"/>
    <x v="3"/>
    <x v="14"/>
    <x v="835"/>
    <x v="1087"/>
    <x v="453"/>
    <x v="50"/>
    <x v="1087"/>
    <x v="1"/>
    <x v="200"/>
    <x v="1"/>
  </r>
  <r>
    <x v="1088"/>
    <x v="1"/>
    <x v="8"/>
    <x v="836"/>
    <x v="1088"/>
    <x v="454"/>
    <x v="82"/>
    <x v="1088"/>
    <x v="0"/>
    <x v="0"/>
    <x v="7"/>
  </r>
  <r>
    <x v="1089"/>
    <x v="4"/>
    <x v="11"/>
    <x v="837"/>
    <x v="1089"/>
    <x v="209"/>
    <x v="139"/>
    <x v="1089"/>
    <x v="0"/>
    <x v="0"/>
    <x v="2"/>
  </r>
  <r>
    <x v="1090"/>
    <x v="1"/>
    <x v="6"/>
    <x v="838"/>
    <x v="1090"/>
    <x v="85"/>
    <x v="42"/>
    <x v="1090"/>
    <x v="0"/>
    <x v="0"/>
    <x v="8"/>
  </r>
  <r>
    <x v="1091"/>
    <x v="1"/>
    <x v="4"/>
    <x v="839"/>
    <x v="1091"/>
    <x v="358"/>
    <x v="50"/>
    <x v="1091"/>
    <x v="0"/>
    <x v="0"/>
    <x v="5"/>
  </r>
  <r>
    <x v="1092"/>
    <x v="1"/>
    <x v="17"/>
    <x v="840"/>
    <x v="1092"/>
    <x v="80"/>
    <x v="94"/>
    <x v="1092"/>
    <x v="0"/>
    <x v="0"/>
    <x v="8"/>
  </r>
  <r>
    <x v="1093"/>
    <x v="3"/>
    <x v="14"/>
    <x v="216"/>
    <x v="1093"/>
    <x v="67"/>
    <x v="169"/>
    <x v="1093"/>
    <x v="0"/>
    <x v="0"/>
    <x v="1"/>
  </r>
  <r>
    <x v="1094"/>
    <x v="4"/>
    <x v="1"/>
    <x v="673"/>
    <x v="1094"/>
    <x v="235"/>
    <x v="170"/>
    <x v="1094"/>
    <x v="0"/>
    <x v="0"/>
    <x v="3"/>
  </r>
  <r>
    <x v="1095"/>
    <x v="3"/>
    <x v="18"/>
    <x v="841"/>
    <x v="1095"/>
    <x v="4"/>
    <x v="64"/>
    <x v="1095"/>
    <x v="1"/>
    <x v="201"/>
    <x v="9"/>
  </r>
  <r>
    <x v="1096"/>
    <x v="0"/>
    <x v="7"/>
    <x v="644"/>
    <x v="1096"/>
    <x v="382"/>
    <x v="82"/>
    <x v="1096"/>
    <x v="1"/>
    <x v="202"/>
    <x v="2"/>
  </r>
  <r>
    <x v="1097"/>
    <x v="2"/>
    <x v="15"/>
    <x v="842"/>
    <x v="1097"/>
    <x v="427"/>
    <x v="77"/>
    <x v="1097"/>
    <x v="1"/>
    <x v="203"/>
    <x v="2"/>
  </r>
  <r>
    <x v="1098"/>
    <x v="3"/>
    <x v="8"/>
    <x v="843"/>
    <x v="1098"/>
    <x v="55"/>
    <x v="61"/>
    <x v="1098"/>
    <x v="0"/>
    <x v="0"/>
    <x v="7"/>
  </r>
  <r>
    <x v="1099"/>
    <x v="1"/>
    <x v="10"/>
    <x v="594"/>
    <x v="1099"/>
    <x v="172"/>
    <x v="82"/>
    <x v="1099"/>
    <x v="1"/>
    <x v="204"/>
    <x v="8"/>
  </r>
  <r>
    <x v="1100"/>
    <x v="3"/>
    <x v="18"/>
    <x v="328"/>
    <x v="1100"/>
    <x v="136"/>
    <x v="77"/>
    <x v="1100"/>
    <x v="1"/>
    <x v="205"/>
    <x v="9"/>
  </r>
  <r>
    <x v="1101"/>
    <x v="2"/>
    <x v="15"/>
    <x v="844"/>
    <x v="1101"/>
    <x v="455"/>
    <x v="72"/>
    <x v="1101"/>
    <x v="0"/>
    <x v="0"/>
    <x v="2"/>
  </r>
  <r>
    <x v="1102"/>
    <x v="2"/>
    <x v="10"/>
    <x v="577"/>
    <x v="1102"/>
    <x v="454"/>
    <x v="57"/>
    <x v="1102"/>
    <x v="0"/>
    <x v="0"/>
    <x v="8"/>
  </r>
  <r>
    <x v="1103"/>
    <x v="3"/>
    <x v="18"/>
    <x v="845"/>
    <x v="1103"/>
    <x v="456"/>
    <x v="72"/>
    <x v="1103"/>
    <x v="1"/>
    <x v="206"/>
    <x v="9"/>
  </r>
  <r>
    <x v="1104"/>
    <x v="0"/>
    <x v="7"/>
    <x v="846"/>
    <x v="1104"/>
    <x v="400"/>
    <x v="7"/>
    <x v="1104"/>
    <x v="1"/>
    <x v="207"/>
    <x v="2"/>
  </r>
  <r>
    <x v="1105"/>
    <x v="0"/>
    <x v="6"/>
    <x v="467"/>
    <x v="1105"/>
    <x v="457"/>
    <x v="78"/>
    <x v="1105"/>
    <x v="0"/>
    <x v="0"/>
    <x v="8"/>
  </r>
  <r>
    <x v="1106"/>
    <x v="1"/>
    <x v="2"/>
    <x v="755"/>
    <x v="1106"/>
    <x v="172"/>
    <x v="20"/>
    <x v="1106"/>
    <x v="1"/>
    <x v="208"/>
    <x v="8"/>
  </r>
  <r>
    <x v="1107"/>
    <x v="4"/>
    <x v="11"/>
    <x v="847"/>
    <x v="1107"/>
    <x v="334"/>
    <x v="171"/>
    <x v="1107"/>
    <x v="0"/>
    <x v="0"/>
    <x v="2"/>
  </r>
  <r>
    <x v="1108"/>
    <x v="0"/>
    <x v="1"/>
    <x v="821"/>
    <x v="1108"/>
    <x v="338"/>
    <x v="67"/>
    <x v="1108"/>
    <x v="0"/>
    <x v="0"/>
    <x v="3"/>
  </r>
  <r>
    <x v="1109"/>
    <x v="3"/>
    <x v="18"/>
    <x v="848"/>
    <x v="1109"/>
    <x v="102"/>
    <x v="82"/>
    <x v="1109"/>
    <x v="1"/>
    <x v="209"/>
    <x v="9"/>
  </r>
  <r>
    <x v="1110"/>
    <x v="0"/>
    <x v="9"/>
    <x v="849"/>
    <x v="1110"/>
    <x v="277"/>
    <x v="18"/>
    <x v="1110"/>
    <x v="0"/>
    <x v="0"/>
    <x v="1"/>
  </r>
  <r>
    <x v="1111"/>
    <x v="4"/>
    <x v="12"/>
    <x v="532"/>
    <x v="1111"/>
    <x v="78"/>
    <x v="148"/>
    <x v="1111"/>
    <x v="0"/>
    <x v="0"/>
    <x v="4"/>
  </r>
  <r>
    <x v="1112"/>
    <x v="3"/>
    <x v="2"/>
    <x v="850"/>
    <x v="1112"/>
    <x v="238"/>
    <x v="82"/>
    <x v="1112"/>
    <x v="0"/>
    <x v="0"/>
    <x v="8"/>
  </r>
  <r>
    <x v="1113"/>
    <x v="0"/>
    <x v="16"/>
    <x v="851"/>
    <x v="1113"/>
    <x v="275"/>
    <x v="15"/>
    <x v="1113"/>
    <x v="1"/>
    <x v="210"/>
    <x v="1"/>
  </r>
  <r>
    <x v="1114"/>
    <x v="4"/>
    <x v="17"/>
    <x v="622"/>
    <x v="1114"/>
    <x v="235"/>
    <x v="172"/>
    <x v="1114"/>
    <x v="0"/>
    <x v="0"/>
    <x v="8"/>
  </r>
  <r>
    <x v="1115"/>
    <x v="2"/>
    <x v="6"/>
    <x v="302"/>
    <x v="1115"/>
    <x v="35"/>
    <x v="39"/>
    <x v="1115"/>
    <x v="0"/>
    <x v="0"/>
    <x v="8"/>
  </r>
  <r>
    <x v="1116"/>
    <x v="1"/>
    <x v="3"/>
    <x v="852"/>
    <x v="1116"/>
    <x v="458"/>
    <x v="77"/>
    <x v="1116"/>
    <x v="0"/>
    <x v="0"/>
    <x v="6"/>
  </r>
  <r>
    <x v="1117"/>
    <x v="3"/>
    <x v="6"/>
    <x v="853"/>
    <x v="1117"/>
    <x v="98"/>
    <x v="14"/>
    <x v="1117"/>
    <x v="1"/>
    <x v="211"/>
    <x v="8"/>
  </r>
  <r>
    <x v="1118"/>
    <x v="3"/>
    <x v="18"/>
    <x v="854"/>
    <x v="1118"/>
    <x v="120"/>
    <x v="173"/>
    <x v="1118"/>
    <x v="0"/>
    <x v="0"/>
    <x v="9"/>
  </r>
  <r>
    <x v="1119"/>
    <x v="2"/>
    <x v="17"/>
    <x v="100"/>
    <x v="1119"/>
    <x v="454"/>
    <x v="73"/>
    <x v="1119"/>
    <x v="0"/>
    <x v="0"/>
    <x v="8"/>
  </r>
  <r>
    <x v="1120"/>
    <x v="2"/>
    <x v="12"/>
    <x v="855"/>
    <x v="1120"/>
    <x v="72"/>
    <x v="53"/>
    <x v="1120"/>
    <x v="1"/>
    <x v="212"/>
    <x v="4"/>
  </r>
  <r>
    <x v="1121"/>
    <x v="3"/>
    <x v="13"/>
    <x v="113"/>
    <x v="1121"/>
    <x v="286"/>
    <x v="69"/>
    <x v="1121"/>
    <x v="0"/>
    <x v="0"/>
    <x v="1"/>
  </r>
  <r>
    <x v="1122"/>
    <x v="2"/>
    <x v="10"/>
    <x v="856"/>
    <x v="1122"/>
    <x v="315"/>
    <x v="72"/>
    <x v="1122"/>
    <x v="0"/>
    <x v="0"/>
    <x v="8"/>
  </r>
  <r>
    <x v="1123"/>
    <x v="3"/>
    <x v="4"/>
    <x v="857"/>
    <x v="1123"/>
    <x v="126"/>
    <x v="87"/>
    <x v="1123"/>
    <x v="0"/>
    <x v="0"/>
    <x v="5"/>
  </r>
  <r>
    <x v="1124"/>
    <x v="4"/>
    <x v="5"/>
    <x v="858"/>
    <x v="1124"/>
    <x v="459"/>
    <x v="140"/>
    <x v="1124"/>
    <x v="0"/>
    <x v="0"/>
    <x v="1"/>
  </r>
  <r>
    <x v="1125"/>
    <x v="0"/>
    <x v="5"/>
    <x v="457"/>
    <x v="1125"/>
    <x v="241"/>
    <x v="20"/>
    <x v="1125"/>
    <x v="0"/>
    <x v="0"/>
    <x v="1"/>
  </r>
  <r>
    <x v="1126"/>
    <x v="3"/>
    <x v="15"/>
    <x v="859"/>
    <x v="1126"/>
    <x v="300"/>
    <x v="82"/>
    <x v="1126"/>
    <x v="0"/>
    <x v="0"/>
    <x v="2"/>
  </r>
  <r>
    <x v="1127"/>
    <x v="2"/>
    <x v="7"/>
    <x v="860"/>
    <x v="1127"/>
    <x v="80"/>
    <x v="29"/>
    <x v="1127"/>
    <x v="0"/>
    <x v="0"/>
    <x v="2"/>
  </r>
  <r>
    <x v="1128"/>
    <x v="1"/>
    <x v="15"/>
    <x v="844"/>
    <x v="1128"/>
    <x v="460"/>
    <x v="50"/>
    <x v="1128"/>
    <x v="0"/>
    <x v="0"/>
    <x v="2"/>
  </r>
  <r>
    <x v="1129"/>
    <x v="2"/>
    <x v="20"/>
    <x v="861"/>
    <x v="1129"/>
    <x v="304"/>
    <x v="38"/>
    <x v="1129"/>
    <x v="0"/>
    <x v="0"/>
    <x v="0"/>
  </r>
  <r>
    <x v="1130"/>
    <x v="0"/>
    <x v="15"/>
    <x v="596"/>
    <x v="1130"/>
    <x v="457"/>
    <x v="78"/>
    <x v="1130"/>
    <x v="0"/>
    <x v="0"/>
    <x v="2"/>
  </r>
  <r>
    <x v="1131"/>
    <x v="4"/>
    <x v="13"/>
    <x v="862"/>
    <x v="1131"/>
    <x v="405"/>
    <x v="113"/>
    <x v="1131"/>
    <x v="0"/>
    <x v="0"/>
    <x v="1"/>
  </r>
  <r>
    <x v="1132"/>
    <x v="3"/>
    <x v="5"/>
    <x v="161"/>
    <x v="1132"/>
    <x v="461"/>
    <x v="8"/>
    <x v="1132"/>
    <x v="0"/>
    <x v="0"/>
    <x v="1"/>
  </r>
  <r>
    <x v="1133"/>
    <x v="0"/>
    <x v="7"/>
    <x v="863"/>
    <x v="1133"/>
    <x v="462"/>
    <x v="82"/>
    <x v="1133"/>
    <x v="0"/>
    <x v="0"/>
    <x v="2"/>
  </r>
  <r>
    <x v="1134"/>
    <x v="2"/>
    <x v="10"/>
    <x v="864"/>
    <x v="1134"/>
    <x v="463"/>
    <x v="4"/>
    <x v="1134"/>
    <x v="0"/>
    <x v="0"/>
    <x v="8"/>
  </r>
  <r>
    <x v="1135"/>
    <x v="2"/>
    <x v="1"/>
    <x v="865"/>
    <x v="1135"/>
    <x v="2"/>
    <x v="78"/>
    <x v="1135"/>
    <x v="1"/>
    <x v="213"/>
    <x v="3"/>
  </r>
  <r>
    <x v="1136"/>
    <x v="3"/>
    <x v="6"/>
    <x v="779"/>
    <x v="1136"/>
    <x v="257"/>
    <x v="60"/>
    <x v="1136"/>
    <x v="1"/>
    <x v="214"/>
    <x v="8"/>
  </r>
  <r>
    <x v="1137"/>
    <x v="1"/>
    <x v="14"/>
    <x v="866"/>
    <x v="1137"/>
    <x v="68"/>
    <x v="82"/>
    <x v="1137"/>
    <x v="0"/>
    <x v="0"/>
    <x v="1"/>
  </r>
  <r>
    <x v="1138"/>
    <x v="0"/>
    <x v="18"/>
    <x v="658"/>
    <x v="1138"/>
    <x v="295"/>
    <x v="47"/>
    <x v="1138"/>
    <x v="0"/>
    <x v="0"/>
    <x v="9"/>
  </r>
  <r>
    <x v="1139"/>
    <x v="1"/>
    <x v="6"/>
    <x v="867"/>
    <x v="1139"/>
    <x v="148"/>
    <x v="82"/>
    <x v="1139"/>
    <x v="0"/>
    <x v="0"/>
    <x v="8"/>
  </r>
  <r>
    <x v="1140"/>
    <x v="4"/>
    <x v="1"/>
    <x v="868"/>
    <x v="1140"/>
    <x v="328"/>
    <x v="118"/>
    <x v="1140"/>
    <x v="0"/>
    <x v="0"/>
    <x v="3"/>
  </r>
  <r>
    <x v="1141"/>
    <x v="1"/>
    <x v="4"/>
    <x v="869"/>
    <x v="1141"/>
    <x v="464"/>
    <x v="41"/>
    <x v="1141"/>
    <x v="0"/>
    <x v="0"/>
    <x v="5"/>
  </r>
  <r>
    <x v="1142"/>
    <x v="2"/>
    <x v="2"/>
    <x v="760"/>
    <x v="1142"/>
    <x v="465"/>
    <x v="59"/>
    <x v="1142"/>
    <x v="0"/>
    <x v="0"/>
    <x v="8"/>
  </r>
  <r>
    <x v="1143"/>
    <x v="0"/>
    <x v="7"/>
    <x v="714"/>
    <x v="1143"/>
    <x v="466"/>
    <x v="82"/>
    <x v="1143"/>
    <x v="1"/>
    <x v="215"/>
    <x v="2"/>
  </r>
  <r>
    <x v="1144"/>
    <x v="3"/>
    <x v="6"/>
    <x v="353"/>
    <x v="1144"/>
    <x v="114"/>
    <x v="17"/>
    <x v="1144"/>
    <x v="1"/>
    <x v="216"/>
    <x v="8"/>
  </r>
  <r>
    <x v="1145"/>
    <x v="0"/>
    <x v="18"/>
    <x v="870"/>
    <x v="1145"/>
    <x v="184"/>
    <x v="21"/>
    <x v="1145"/>
    <x v="0"/>
    <x v="0"/>
    <x v="9"/>
  </r>
  <r>
    <x v="1146"/>
    <x v="1"/>
    <x v="17"/>
    <x v="871"/>
    <x v="1146"/>
    <x v="288"/>
    <x v="8"/>
    <x v="1146"/>
    <x v="0"/>
    <x v="0"/>
    <x v="8"/>
  </r>
  <r>
    <x v="1147"/>
    <x v="2"/>
    <x v="15"/>
    <x v="872"/>
    <x v="1147"/>
    <x v="355"/>
    <x v="64"/>
    <x v="1147"/>
    <x v="0"/>
    <x v="0"/>
    <x v="2"/>
  </r>
  <r>
    <x v="1148"/>
    <x v="3"/>
    <x v="6"/>
    <x v="319"/>
    <x v="1148"/>
    <x v="305"/>
    <x v="81"/>
    <x v="1148"/>
    <x v="1"/>
    <x v="217"/>
    <x v="8"/>
  </r>
  <r>
    <x v="1149"/>
    <x v="4"/>
    <x v="4"/>
    <x v="873"/>
    <x v="1149"/>
    <x v="310"/>
    <x v="45"/>
    <x v="1149"/>
    <x v="0"/>
    <x v="0"/>
    <x v="5"/>
  </r>
  <r>
    <x v="1150"/>
    <x v="2"/>
    <x v="18"/>
    <x v="683"/>
    <x v="1150"/>
    <x v="119"/>
    <x v="4"/>
    <x v="1150"/>
    <x v="0"/>
    <x v="0"/>
    <x v="9"/>
  </r>
  <r>
    <x v="1151"/>
    <x v="1"/>
    <x v="6"/>
    <x v="353"/>
    <x v="1151"/>
    <x v="357"/>
    <x v="81"/>
    <x v="1151"/>
    <x v="0"/>
    <x v="0"/>
    <x v="8"/>
  </r>
  <r>
    <x v="1152"/>
    <x v="4"/>
    <x v="15"/>
    <x v="874"/>
    <x v="1152"/>
    <x v="310"/>
    <x v="174"/>
    <x v="1152"/>
    <x v="0"/>
    <x v="0"/>
    <x v="2"/>
  </r>
  <r>
    <x v="1153"/>
    <x v="0"/>
    <x v="7"/>
    <x v="538"/>
    <x v="1153"/>
    <x v="396"/>
    <x v="77"/>
    <x v="1153"/>
    <x v="1"/>
    <x v="218"/>
    <x v="2"/>
  </r>
  <r>
    <x v="1154"/>
    <x v="3"/>
    <x v="18"/>
    <x v="875"/>
    <x v="1154"/>
    <x v="203"/>
    <x v="5"/>
    <x v="1154"/>
    <x v="0"/>
    <x v="0"/>
    <x v="9"/>
  </r>
  <r>
    <x v="1155"/>
    <x v="4"/>
    <x v="5"/>
    <x v="175"/>
    <x v="1155"/>
    <x v="151"/>
    <x v="104"/>
    <x v="1155"/>
    <x v="0"/>
    <x v="0"/>
    <x v="1"/>
  </r>
  <r>
    <x v="1156"/>
    <x v="0"/>
    <x v="14"/>
    <x v="876"/>
    <x v="1156"/>
    <x v="217"/>
    <x v="78"/>
    <x v="1156"/>
    <x v="0"/>
    <x v="0"/>
    <x v="1"/>
  </r>
  <r>
    <x v="1157"/>
    <x v="2"/>
    <x v="11"/>
    <x v="877"/>
    <x v="1157"/>
    <x v="207"/>
    <x v="0"/>
    <x v="1157"/>
    <x v="0"/>
    <x v="0"/>
    <x v="2"/>
  </r>
  <r>
    <x v="1158"/>
    <x v="0"/>
    <x v="2"/>
    <x v="184"/>
    <x v="1158"/>
    <x v="155"/>
    <x v="20"/>
    <x v="1158"/>
    <x v="0"/>
    <x v="0"/>
    <x v="8"/>
  </r>
  <r>
    <x v="1159"/>
    <x v="3"/>
    <x v="3"/>
    <x v="852"/>
    <x v="1159"/>
    <x v="337"/>
    <x v="169"/>
    <x v="1159"/>
    <x v="0"/>
    <x v="0"/>
    <x v="6"/>
  </r>
  <r>
    <x v="1160"/>
    <x v="3"/>
    <x v="20"/>
    <x v="878"/>
    <x v="1160"/>
    <x v="279"/>
    <x v="43"/>
    <x v="1160"/>
    <x v="1"/>
    <x v="219"/>
    <x v="0"/>
  </r>
  <r>
    <x v="1161"/>
    <x v="3"/>
    <x v="20"/>
    <x v="879"/>
    <x v="1161"/>
    <x v="128"/>
    <x v="22"/>
    <x v="1161"/>
    <x v="1"/>
    <x v="220"/>
    <x v="0"/>
  </r>
  <r>
    <x v="1162"/>
    <x v="1"/>
    <x v="6"/>
    <x v="880"/>
    <x v="1162"/>
    <x v="454"/>
    <x v="81"/>
    <x v="1162"/>
    <x v="0"/>
    <x v="0"/>
    <x v="8"/>
  </r>
  <r>
    <x v="1163"/>
    <x v="4"/>
    <x v="13"/>
    <x v="652"/>
    <x v="1163"/>
    <x v="221"/>
    <x v="175"/>
    <x v="1163"/>
    <x v="0"/>
    <x v="0"/>
    <x v="1"/>
  </r>
  <r>
    <x v="1164"/>
    <x v="4"/>
    <x v="6"/>
    <x v="136"/>
    <x v="1164"/>
    <x v="150"/>
    <x v="80"/>
    <x v="1164"/>
    <x v="0"/>
    <x v="0"/>
    <x v="8"/>
  </r>
  <r>
    <x v="1165"/>
    <x v="2"/>
    <x v="15"/>
    <x v="881"/>
    <x v="1165"/>
    <x v="402"/>
    <x v="8"/>
    <x v="1165"/>
    <x v="1"/>
    <x v="221"/>
    <x v="2"/>
  </r>
  <r>
    <x v="1166"/>
    <x v="2"/>
    <x v="2"/>
    <x v="882"/>
    <x v="1166"/>
    <x v="243"/>
    <x v="47"/>
    <x v="1166"/>
    <x v="0"/>
    <x v="0"/>
    <x v="8"/>
  </r>
  <r>
    <x v="1167"/>
    <x v="3"/>
    <x v="8"/>
    <x v="883"/>
    <x v="1167"/>
    <x v="149"/>
    <x v="78"/>
    <x v="1167"/>
    <x v="0"/>
    <x v="0"/>
    <x v="7"/>
  </r>
  <r>
    <x v="1168"/>
    <x v="3"/>
    <x v="7"/>
    <x v="884"/>
    <x v="1168"/>
    <x v="315"/>
    <x v="12"/>
    <x v="1168"/>
    <x v="0"/>
    <x v="0"/>
    <x v="2"/>
  </r>
  <r>
    <x v="1169"/>
    <x v="3"/>
    <x v="7"/>
    <x v="500"/>
    <x v="1169"/>
    <x v="388"/>
    <x v="32"/>
    <x v="1169"/>
    <x v="0"/>
    <x v="0"/>
    <x v="2"/>
  </r>
  <r>
    <x v="1170"/>
    <x v="3"/>
    <x v="1"/>
    <x v="211"/>
    <x v="1170"/>
    <x v="262"/>
    <x v="1"/>
    <x v="1170"/>
    <x v="0"/>
    <x v="0"/>
    <x v="3"/>
  </r>
  <r>
    <x v="1171"/>
    <x v="2"/>
    <x v="5"/>
    <x v="885"/>
    <x v="1171"/>
    <x v="456"/>
    <x v="62"/>
    <x v="1171"/>
    <x v="0"/>
    <x v="0"/>
    <x v="1"/>
  </r>
  <r>
    <x v="1172"/>
    <x v="0"/>
    <x v="19"/>
    <x v="739"/>
    <x v="1172"/>
    <x v="151"/>
    <x v="4"/>
    <x v="1172"/>
    <x v="0"/>
    <x v="0"/>
    <x v="3"/>
  </r>
  <r>
    <x v="1173"/>
    <x v="2"/>
    <x v="12"/>
    <x v="346"/>
    <x v="1173"/>
    <x v="259"/>
    <x v="1"/>
    <x v="1173"/>
    <x v="0"/>
    <x v="0"/>
    <x v="4"/>
  </r>
  <r>
    <x v="1174"/>
    <x v="4"/>
    <x v="1"/>
    <x v="886"/>
    <x v="1174"/>
    <x v="260"/>
    <x v="176"/>
    <x v="1174"/>
    <x v="0"/>
    <x v="0"/>
    <x v="3"/>
  </r>
  <r>
    <x v="1175"/>
    <x v="3"/>
    <x v="20"/>
    <x v="752"/>
    <x v="1175"/>
    <x v="80"/>
    <x v="177"/>
    <x v="1175"/>
    <x v="1"/>
    <x v="222"/>
    <x v="0"/>
  </r>
  <r>
    <x v="1176"/>
    <x v="2"/>
    <x v="1"/>
    <x v="887"/>
    <x v="1176"/>
    <x v="80"/>
    <x v="4"/>
    <x v="1176"/>
    <x v="0"/>
    <x v="0"/>
    <x v="3"/>
  </r>
  <r>
    <x v="1177"/>
    <x v="0"/>
    <x v="2"/>
    <x v="888"/>
    <x v="1177"/>
    <x v="210"/>
    <x v="64"/>
    <x v="1177"/>
    <x v="0"/>
    <x v="0"/>
    <x v="8"/>
  </r>
  <r>
    <x v="1178"/>
    <x v="0"/>
    <x v="8"/>
    <x v="632"/>
    <x v="1178"/>
    <x v="263"/>
    <x v="59"/>
    <x v="1178"/>
    <x v="1"/>
    <x v="223"/>
    <x v="7"/>
  </r>
  <r>
    <x v="1179"/>
    <x v="2"/>
    <x v="5"/>
    <x v="889"/>
    <x v="1179"/>
    <x v="309"/>
    <x v="32"/>
    <x v="1179"/>
    <x v="0"/>
    <x v="0"/>
    <x v="1"/>
  </r>
  <r>
    <x v="1180"/>
    <x v="2"/>
    <x v="9"/>
    <x v="890"/>
    <x v="1180"/>
    <x v="93"/>
    <x v="94"/>
    <x v="1180"/>
    <x v="0"/>
    <x v="0"/>
    <x v="1"/>
  </r>
  <r>
    <x v="1181"/>
    <x v="3"/>
    <x v="16"/>
    <x v="891"/>
    <x v="1181"/>
    <x v="83"/>
    <x v="95"/>
    <x v="1181"/>
    <x v="0"/>
    <x v="0"/>
    <x v="1"/>
  </r>
  <r>
    <x v="1182"/>
    <x v="3"/>
    <x v="20"/>
    <x v="892"/>
    <x v="1182"/>
    <x v="9"/>
    <x v="53"/>
    <x v="1182"/>
    <x v="1"/>
    <x v="224"/>
    <x v="0"/>
  </r>
  <r>
    <x v="1183"/>
    <x v="2"/>
    <x v="5"/>
    <x v="457"/>
    <x v="1183"/>
    <x v="247"/>
    <x v="28"/>
    <x v="1183"/>
    <x v="1"/>
    <x v="225"/>
    <x v="1"/>
  </r>
  <r>
    <x v="1184"/>
    <x v="4"/>
    <x v="12"/>
    <x v="893"/>
    <x v="1184"/>
    <x v="155"/>
    <x v="148"/>
    <x v="1184"/>
    <x v="0"/>
    <x v="0"/>
    <x v="4"/>
  </r>
  <r>
    <x v="1185"/>
    <x v="3"/>
    <x v="3"/>
    <x v="300"/>
    <x v="1185"/>
    <x v="383"/>
    <x v="11"/>
    <x v="1185"/>
    <x v="0"/>
    <x v="0"/>
    <x v="6"/>
  </r>
  <r>
    <x v="1186"/>
    <x v="3"/>
    <x v="20"/>
    <x v="894"/>
    <x v="1186"/>
    <x v="15"/>
    <x v="94"/>
    <x v="1186"/>
    <x v="0"/>
    <x v="0"/>
    <x v="0"/>
  </r>
  <r>
    <x v="1187"/>
    <x v="3"/>
    <x v="20"/>
    <x v="895"/>
    <x v="1187"/>
    <x v="74"/>
    <x v="177"/>
    <x v="1187"/>
    <x v="1"/>
    <x v="226"/>
    <x v="0"/>
  </r>
  <r>
    <x v="1188"/>
    <x v="4"/>
    <x v="10"/>
    <x v="362"/>
    <x v="1188"/>
    <x v="221"/>
    <x v="139"/>
    <x v="1188"/>
    <x v="0"/>
    <x v="0"/>
    <x v="8"/>
  </r>
  <r>
    <x v="1189"/>
    <x v="3"/>
    <x v="14"/>
    <x v="411"/>
    <x v="1189"/>
    <x v="391"/>
    <x v="68"/>
    <x v="1189"/>
    <x v="0"/>
    <x v="0"/>
    <x v="1"/>
  </r>
  <r>
    <x v="1190"/>
    <x v="1"/>
    <x v="10"/>
    <x v="719"/>
    <x v="1190"/>
    <x v="367"/>
    <x v="87"/>
    <x v="1190"/>
    <x v="0"/>
    <x v="0"/>
    <x v="8"/>
  </r>
  <r>
    <x v="1191"/>
    <x v="1"/>
    <x v="18"/>
    <x v="896"/>
    <x v="1191"/>
    <x v="330"/>
    <x v="78"/>
    <x v="1191"/>
    <x v="0"/>
    <x v="0"/>
    <x v="9"/>
  </r>
  <r>
    <x v="1192"/>
    <x v="2"/>
    <x v="17"/>
    <x v="897"/>
    <x v="1192"/>
    <x v="467"/>
    <x v="35"/>
    <x v="1192"/>
    <x v="0"/>
    <x v="0"/>
    <x v="8"/>
  </r>
  <r>
    <x v="1193"/>
    <x v="4"/>
    <x v="18"/>
    <x v="898"/>
    <x v="1193"/>
    <x v="194"/>
    <x v="17"/>
    <x v="1193"/>
    <x v="0"/>
    <x v="0"/>
    <x v="9"/>
  </r>
  <r>
    <x v="1194"/>
    <x v="1"/>
    <x v="8"/>
    <x v="756"/>
    <x v="1194"/>
    <x v="317"/>
    <x v="67"/>
    <x v="1194"/>
    <x v="1"/>
    <x v="227"/>
    <x v="7"/>
  </r>
  <r>
    <x v="1195"/>
    <x v="0"/>
    <x v="9"/>
    <x v="165"/>
    <x v="1195"/>
    <x v="308"/>
    <x v="87"/>
    <x v="1195"/>
    <x v="0"/>
    <x v="0"/>
    <x v="1"/>
  </r>
  <r>
    <x v="1196"/>
    <x v="4"/>
    <x v="2"/>
    <x v="899"/>
    <x v="1196"/>
    <x v="150"/>
    <x v="148"/>
    <x v="1196"/>
    <x v="1"/>
    <x v="228"/>
    <x v="8"/>
  </r>
  <r>
    <x v="1197"/>
    <x v="0"/>
    <x v="13"/>
    <x v="361"/>
    <x v="1197"/>
    <x v="312"/>
    <x v="23"/>
    <x v="1197"/>
    <x v="1"/>
    <x v="229"/>
    <x v="1"/>
  </r>
  <r>
    <x v="1198"/>
    <x v="0"/>
    <x v="15"/>
    <x v="900"/>
    <x v="1198"/>
    <x v="226"/>
    <x v="38"/>
    <x v="1198"/>
    <x v="1"/>
    <x v="230"/>
    <x v="2"/>
  </r>
  <r>
    <x v="1199"/>
    <x v="1"/>
    <x v="19"/>
    <x v="107"/>
    <x v="1199"/>
    <x v="284"/>
    <x v="94"/>
    <x v="1199"/>
    <x v="0"/>
    <x v="0"/>
    <x v="3"/>
  </r>
  <r>
    <x v="1200"/>
    <x v="3"/>
    <x v="19"/>
    <x v="176"/>
    <x v="1200"/>
    <x v="409"/>
    <x v="32"/>
    <x v="1200"/>
    <x v="0"/>
    <x v="0"/>
    <x v="3"/>
  </r>
  <r>
    <x v="1201"/>
    <x v="0"/>
    <x v="13"/>
    <x v="901"/>
    <x v="1201"/>
    <x v="39"/>
    <x v="43"/>
    <x v="1201"/>
    <x v="0"/>
    <x v="0"/>
    <x v="1"/>
  </r>
  <r>
    <x v="1202"/>
    <x v="4"/>
    <x v="15"/>
    <x v="317"/>
    <x v="1202"/>
    <x v="459"/>
    <x v="22"/>
    <x v="1202"/>
    <x v="0"/>
    <x v="0"/>
    <x v="2"/>
  </r>
  <r>
    <x v="1203"/>
    <x v="3"/>
    <x v="20"/>
    <x v="799"/>
    <x v="1203"/>
    <x v="276"/>
    <x v="82"/>
    <x v="1203"/>
    <x v="0"/>
    <x v="0"/>
    <x v="0"/>
  </r>
  <r>
    <x v="1204"/>
    <x v="2"/>
    <x v="14"/>
    <x v="335"/>
    <x v="1204"/>
    <x v="276"/>
    <x v="81"/>
    <x v="1204"/>
    <x v="0"/>
    <x v="0"/>
    <x v="1"/>
  </r>
  <r>
    <x v="1205"/>
    <x v="0"/>
    <x v="4"/>
    <x v="564"/>
    <x v="1205"/>
    <x v="43"/>
    <x v="26"/>
    <x v="1205"/>
    <x v="1"/>
    <x v="231"/>
    <x v="5"/>
  </r>
  <r>
    <x v="1206"/>
    <x v="3"/>
    <x v="16"/>
    <x v="356"/>
    <x v="1206"/>
    <x v="468"/>
    <x v="38"/>
    <x v="1206"/>
    <x v="0"/>
    <x v="0"/>
    <x v="1"/>
  </r>
  <r>
    <x v="1207"/>
    <x v="3"/>
    <x v="7"/>
    <x v="523"/>
    <x v="1207"/>
    <x v="469"/>
    <x v="48"/>
    <x v="1207"/>
    <x v="0"/>
    <x v="0"/>
    <x v="2"/>
  </r>
  <r>
    <x v="1208"/>
    <x v="1"/>
    <x v="8"/>
    <x v="902"/>
    <x v="1208"/>
    <x v="350"/>
    <x v="81"/>
    <x v="1208"/>
    <x v="0"/>
    <x v="0"/>
    <x v="7"/>
  </r>
  <r>
    <x v="1209"/>
    <x v="2"/>
    <x v="7"/>
    <x v="90"/>
    <x v="1209"/>
    <x v="128"/>
    <x v="50"/>
    <x v="1209"/>
    <x v="1"/>
    <x v="232"/>
    <x v="2"/>
  </r>
  <r>
    <x v="1210"/>
    <x v="0"/>
    <x v="10"/>
    <x v="903"/>
    <x v="1210"/>
    <x v="250"/>
    <x v="94"/>
    <x v="1210"/>
    <x v="0"/>
    <x v="0"/>
    <x v="8"/>
  </r>
  <r>
    <x v="1211"/>
    <x v="3"/>
    <x v="12"/>
    <x v="607"/>
    <x v="1211"/>
    <x v="62"/>
    <x v="82"/>
    <x v="1211"/>
    <x v="0"/>
    <x v="0"/>
    <x v="4"/>
  </r>
  <r>
    <x v="1212"/>
    <x v="0"/>
    <x v="2"/>
    <x v="888"/>
    <x v="1212"/>
    <x v="277"/>
    <x v="4"/>
    <x v="1212"/>
    <x v="0"/>
    <x v="0"/>
    <x v="8"/>
  </r>
  <r>
    <x v="1213"/>
    <x v="4"/>
    <x v="15"/>
    <x v="904"/>
    <x v="1213"/>
    <x v="10"/>
    <x v="124"/>
    <x v="1213"/>
    <x v="0"/>
    <x v="0"/>
    <x v="2"/>
  </r>
  <r>
    <x v="1214"/>
    <x v="3"/>
    <x v="6"/>
    <x v="905"/>
    <x v="1214"/>
    <x v="135"/>
    <x v="81"/>
    <x v="1214"/>
    <x v="0"/>
    <x v="0"/>
    <x v="8"/>
  </r>
  <r>
    <x v="1215"/>
    <x v="2"/>
    <x v="18"/>
    <x v="906"/>
    <x v="1215"/>
    <x v="426"/>
    <x v="81"/>
    <x v="1215"/>
    <x v="0"/>
    <x v="0"/>
    <x v="9"/>
  </r>
  <r>
    <x v="1216"/>
    <x v="2"/>
    <x v="20"/>
    <x v="120"/>
    <x v="1216"/>
    <x v="148"/>
    <x v="32"/>
    <x v="1216"/>
    <x v="1"/>
    <x v="233"/>
    <x v="0"/>
  </r>
  <r>
    <x v="1217"/>
    <x v="3"/>
    <x v="20"/>
    <x v="168"/>
    <x v="1217"/>
    <x v="177"/>
    <x v="55"/>
    <x v="1217"/>
    <x v="1"/>
    <x v="234"/>
    <x v="0"/>
  </r>
  <r>
    <x v="1218"/>
    <x v="4"/>
    <x v="16"/>
    <x v="907"/>
    <x v="1218"/>
    <x v="113"/>
    <x v="147"/>
    <x v="1218"/>
    <x v="0"/>
    <x v="0"/>
    <x v="1"/>
  </r>
  <r>
    <x v="1219"/>
    <x v="4"/>
    <x v="15"/>
    <x v="908"/>
    <x v="1219"/>
    <x v="78"/>
    <x v="46"/>
    <x v="1219"/>
    <x v="0"/>
    <x v="0"/>
    <x v="2"/>
  </r>
  <r>
    <x v="1220"/>
    <x v="4"/>
    <x v="14"/>
    <x v="909"/>
    <x v="1220"/>
    <x v="275"/>
    <x v="129"/>
    <x v="1220"/>
    <x v="0"/>
    <x v="0"/>
    <x v="1"/>
  </r>
  <r>
    <x v="1221"/>
    <x v="4"/>
    <x v="5"/>
    <x v="910"/>
    <x v="1221"/>
    <x v="29"/>
    <x v="178"/>
    <x v="1221"/>
    <x v="0"/>
    <x v="0"/>
    <x v="1"/>
  </r>
  <r>
    <x v="1222"/>
    <x v="2"/>
    <x v="8"/>
    <x v="828"/>
    <x v="1222"/>
    <x v="470"/>
    <x v="20"/>
    <x v="1222"/>
    <x v="0"/>
    <x v="0"/>
    <x v="7"/>
  </r>
  <r>
    <x v="1223"/>
    <x v="3"/>
    <x v="2"/>
    <x v="911"/>
    <x v="1223"/>
    <x v="159"/>
    <x v="94"/>
    <x v="1223"/>
    <x v="0"/>
    <x v="0"/>
    <x v="8"/>
  </r>
  <r>
    <x v="1224"/>
    <x v="3"/>
    <x v="13"/>
    <x v="241"/>
    <x v="1224"/>
    <x v="166"/>
    <x v="7"/>
    <x v="1224"/>
    <x v="0"/>
    <x v="0"/>
    <x v="1"/>
  </r>
  <r>
    <x v="1225"/>
    <x v="3"/>
    <x v="16"/>
    <x v="912"/>
    <x v="1225"/>
    <x v="128"/>
    <x v="177"/>
    <x v="1225"/>
    <x v="1"/>
    <x v="235"/>
    <x v="1"/>
  </r>
  <r>
    <x v="1226"/>
    <x v="2"/>
    <x v="5"/>
    <x v="656"/>
    <x v="1226"/>
    <x v="145"/>
    <x v="67"/>
    <x v="1226"/>
    <x v="0"/>
    <x v="0"/>
    <x v="1"/>
  </r>
  <r>
    <x v="1227"/>
    <x v="0"/>
    <x v="7"/>
    <x v="913"/>
    <x v="1227"/>
    <x v="471"/>
    <x v="20"/>
    <x v="1227"/>
    <x v="0"/>
    <x v="0"/>
    <x v="2"/>
  </r>
  <r>
    <x v="1228"/>
    <x v="0"/>
    <x v="11"/>
    <x v="914"/>
    <x v="1228"/>
    <x v="405"/>
    <x v="78"/>
    <x v="1228"/>
    <x v="1"/>
    <x v="236"/>
    <x v="2"/>
  </r>
  <r>
    <x v="1229"/>
    <x v="4"/>
    <x v="9"/>
    <x v="915"/>
    <x v="1229"/>
    <x v="7"/>
    <x v="179"/>
    <x v="1229"/>
    <x v="1"/>
    <x v="237"/>
    <x v="1"/>
  </r>
  <r>
    <x v="1230"/>
    <x v="0"/>
    <x v="15"/>
    <x v="916"/>
    <x v="1230"/>
    <x v="223"/>
    <x v="21"/>
    <x v="1230"/>
    <x v="0"/>
    <x v="0"/>
    <x v="2"/>
  </r>
  <r>
    <x v="1231"/>
    <x v="0"/>
    <x v="11"/>
    <x v="497"/>
    <x v="1231"/>
    <x v="226"/>
    <x v="39"/>
    <x v="1231"/>
    <x v="0"/>
    <x v="0"/>
    <x v="2"/>
  </r>
  <r>
    <x v="1232"/>
    <x v="0"/>
    <x v="2"/>
    <x v="204"/>
    <x v="1232"/>
    <x v="273"/>
    <x v="7"/>
    <x v="1232"/>
    <x v="0"/>
    <x v="0"/>
    <x v="8"/>
  </r>
  <r>
    <x v="1233"/>
    <x v="0"/>
    <x v="19"/>
    <x v="692"/>
    <x v="1233"/>
    <x v="221"/>
    <x v="53"/>
    <x v="1233"/>
    <x v="0"/>
    <x v="0"/>
    <x v="3"/>
  </r>
  <r>
    <x v="1234"/>
    <x v="0"/>
    <x v="2"/>
    <x v="797"/>
    <x v="1234"/>
    <x v="260"/>
    <x v="78"/>
    <x v="1234"/>
    <x v="0"/>
    <x v="0"/>
    <x v="8"/>
  </r>
  <r>
    <x v="1235"/>
    <x v="1"/>
    <x v="6"/>
    <x v="319"/>
    <x v="1235"/>
    <x v="80"/>
    <x v="81"/>
    <x v="1235"/>
    <x v="1"/>
    <x v="238"/>
    <x v="8"/>
  </r>
  <r>
    <x v="1236"/>
    <x v="0"/>
    <x v="18"/>
    <x v="917"/>
    <x v="1236"/>
    <x v="308"/>
    <x v="77"/>
    <x v="1236"/>
    <x v="0"/>
    <x v="0"/>
    <x v="9"/>
  </r>
  <r>
    <x v="1237"/>
    <x v="2"/>
    <x v="6"/>
    <x v="818"/>
    <x v="1237"/>
    <x v="357"/>
    <x v="33"/>
    <x v="1237"/>
    <x v="0"/>
    <x v="0"/>
    <x v="8"/>
  </r>
  <r>
    <x v="1238"/>
    <x v="2"/>
    <x v="10"/>
    <x v="781"/>
    <x v="1238"/>
    <x v="110"/>
    <x v="82"/>
    <x v="1238"/>
    <x v="0"/>
    <x v="0"/>
    <x v="8"/>
  </r>
  <r>
    <x v="1239"/>
    <x v="1"/>
    <x v="4"/>
    <x v="918"/>
    <x v="1239"/>
    <x v="79"/>
    <x v="20"/>
    <x v="1239"/>
    <x v="0"/>
    <x v="0"/>
    <x v="9"/>
  </r>
  <r>
    <x v="1240"/>
    <x v="2"/>
    <x v="12"/>
    <x v="919"/>
    <x v="1240"/>
    <x v="362"/>
    <x v="78"/>
    <x v="1240"/>
    <x v="1"/>
    <x v="239"/>
    <x v="4"/>
  </r>
  <r>
    <x v="1241"/>
    <x v="1"/>
    <x v="8"/>
    <x v="920"/>
    <x v="1241"/>
    <x v="206"/>
    <x v="20"/>
    <x v="1241"/>
    <x v="0"/>
    <x v="0"/>
    <x v="7"/>
  </r>
  <r>
    <x v="1242"/>
    <x v="3"/>
    <x v="16"/>
    <x v="851"/>
    <x v="1242"/>
    <x v="371"/>
    <x v="39"/>
    <x v="1242"/>
    <x v="1"/>
    <x v="240"/>
    <x v="1"/>
  </r>
  <r>
    <x v="1243"/>
    <x v="3"/>
    <x v="16"/>
    <x v="634"/>
    <x v="1243"/>
    <x v="62"/>
    <x v="77"/>
    <x v="1243"/>
    <x v="1"/>
    <x v="241"/>
    <x v="1"/>
  </r>
  <r>
    <x v="1244"/>
    <x v="0"/>
    <x v="14"/>
    <x v="921"/>
    <x v="1244"/>
    <x v="405"/>
    <x v="87"/>
    <x v="1244"/>
    <x v="1"/>
    <x v="242"/>
    <x v="1"/>
  </r>
  <r>
    <x v="1245"/>
    <x v="0"/>
    <x v="17"/>
    <x v="922"/>
    <x v="1245"/>
    <x v="43"/>
    <x v="81"/>
    <x v="1245"/>
    <x v="0"/>
    <x v="0"/>
    <x v="8"/>
  </r>
  <r>
    <x v="1246"/>
    <x v="3"/>
    <x v="15"/>
    <x v="923"/>
    <x v="1246"/>
    <x v="208"/>
    <x v="41"/>
    <x v="1246"/>
    <x v="1"/>
    <x v="243"/>
    <x v="2"/>
  </r>
  <r>
    <x v="1247"/>
    <x v="2"/>
    <x v="9"/>
    <x v="924"/>
    <x v="1247"/>
    <x v="354"/>
    <x v="40"/>
    <x v="1247"/>
    <x v="1"/>
    <x v="244"/>
    <x v="1"/>
  </r>
  <r>
    <x v="1248"/>
    <x v="2"/>
    <x v="11"/>
    <x v="925"/>
    <x v="1248"/>
    <x v="205"/>
    <x v="4"/>
    <x v="1248"/>
    <x v="0"/>
    <x v="0"/>
    <x v="2"/>
  </r>
  <r>
    <x v="1249"/>
    <x v="4"/>
    <x v="7"/>
    <x v="290"/>
    <x v="1249"/>
    <x v="312"/>
    <x v="180"/>
    <x v="1249"/>
    <x v="0"/>
    <x v="0"/>
    <x v="2"/>
  </r>
  <r>
    <x v="1250"/>
    <x v="3"/>
    <x v="15"/>
    <x v="926"/>
    <x v="1250"/>
    <x v="196"/>
    <x v="68"/>
    <x v="1250"/>
    <x v="1"/>
    <x v="245"/>
    <x v="2"/>
  </r>
  <r>
    <x v="1251"/>
    <x v="3"/>
    <x v="8"/>
    <x v="927"/>
    <x v="1251"/>
    <x v="472"/>
    <x v="81"/>
    <x v="1251"/>
    <x v="1"/>
    <x v="246"/>
    <x v="7"/>
  </r>
  <r>
    <x v="1252"/>
    <x v="3"/>
    <x v="4"/>
    <x v="928"/>
    <x v="1252"/>
    <x v="212"/>
    <x v="81"/>
    <x v="1252"/>
    <x v="0"/>
    <x v="0"/>
    <x v="5"/>
  </r>
  <r>
    <x v="1253"/>
    <x v="3"/>
    <x v="8"/>
    <x v="929"/>
    <x v="1253"/>
    <x v="34"/>
    <x v="94"/>
    <x v="1253"/>
    <x v="1"/>
    <x v="247"/>
    <x v="7"/>
  </r>
  <r>
    <x v="1254"/>
    <x v="2"/>
    <x v="10"/>
    <x v="210"/>
    <x v="1254"/>
    <x v="412"/>
    <x v="32"/>
    <x v="1254"/>
    <x v="0"/>
    <x v="0"/>
    <x v="8"/>
  </r>
  <r>
    <x v="1255"/>
    <x v="0"/>
    <x v="12"/>
    <x v="773"/>
    <x v="1255"/>
    <x v="328"/>
    <x v="82"/>
    <x v="1255"/>
    <x v="0"/>
    <x v="0"/>
    <x v="4"/>
  </r>
  <r>
    <x v="1256"/>
    <x v="0"/>
    <x v="8"/>
    <x v="930"/>
    <x v="1256"/>
    <x v="258"/>
    <x v="14"/>
    <x v="1256"/>
    <x v="0"/>
    <x v="0"/>
    <x v="7"/>
  </r>
  <r>
    <x v="1257"/>
    <x v="2"/>
    <x v="3"/>
    <x v="931"/>
    <x v="1257"/>
    <x v="42"/>
    <x v="94"/>
    <x v="1257"/>
    <x v="1"/>
    <x v="248"/>
    <x v="6"/>
  </r>
  <r>
    <x v="1258"/>
    <x v="0"/>
    <x v="15"/>
    <x v="932"/>
    <x v="1258"/>
    <x v="396"/>
    <x v="20"/>
    <x v="1258"/>
    <x v="0"/>
    <x v="0"/>
    <x v="2"/>
  </r>
  <r>
    <x v="1259"/>
    <x v="4"/>
    <x v="1"/>
    <x v="933"/>
    <x v="1259"/>
    <x v="307"/>
    <x v="181"/>
    <x v="1259"/>
    <x v="1"/>
    <x v="249"/>
    <x v="3"/>
  </r>
  <r>
    <x v="1260"/>
    <x v="0"/>
    <x v="5"/>
    <x v="934"/>
    <x v="1260"/>
    <x v="254"/>
    <x v="33"/>
    <x v="1260"/>
    <x v="0"/>
    <x v="0"/>
    <x v="1"/>
  </r>
  <r>
    <x v="1261"/>
    <x v="4"/>
    <x v="14"/>
    <x v="935"/>
    <x v="1261"/>
    <x v="115"/>
    <x v="182"/>
    <x v="1261"/>
    <x v="0"/>
    <x v="0"/>
    <x v="1"/>
  </r>
  <r>
    <x v="1262"/>
    <x v="0"/>
    <x v="13"/>
    <x v="936"/>
    <x v="1262"/>
    <x v="134"/>
    <x v="26"/>
    <x v="1262"/>
    <x v="0"/>
    <x v="0"/>
    <x v="1"/>
  </r>
  <r>
    <x v="1263"/>
    <x v="2"/>
    <x v="13"/>
    <x v="351"/>
    <x v="1263"/>
    <x v="353"/>
    <x v="20"/>
    <x v="1263"/>
    <x v="0"/>
    <x v="0"/>
    <x v="1"/>
  </r>
  <r>
    <x v="1264"/>
    <x v="2"/>
    <x v="7"/>
    <x v="185"/>
    <x v="1264"/>
    <x v="468"/>
    <x v="94"/>
    <x v="1264"/>
    <x v="0"/>
    <x v="0"/>
    <x v="2"/>
  </r>
  <r>
    <x v="1265"/>
    <x v="3"/>
    <x v="8"/>
    <x v="481"/>
    <x v="1265"/>
    <x v="130"/>
    <x v="34"/>
    <x v="1265"/>
    <x v="1"/>
    <x v="250"/>
    <x v="7"/>
  </r>
  <r>
    <x v="1266"/>
    <x v="2"/>
    <x v="8"/>
    <x v="937"/>
    <x v="1266"/>
    <x v="395"/>
    <x v="6"/>
    <x v="1266"/>
    <x v="0"/>
    <x v="0"/>
    <x v="7"/>
  </r>
  <r>
    <x v="1267"/>
    <x v="0"/>
    <x v="16"/>
    <x v="690"/>
    <x v="1267"/>
    <x v="277"/>
    <x v="72"/>
    <x v="1267"/>
    <x v="0"/>
    <x v="0"/>
    <x v="1"/>
  </r>
  <r>
    <x v="1268"/>
    <x v="4"/>
    <x v="1"/>
    <x v="938"/>
    <x v="1268"/>
    <x v="73"/>
    <x v="112"/>
    <x v="1268"/>
    <x v="0"/>
    <x v="0"/>
    <x v="3"/>
  </r>
  <r>
    <x v="1269"/>
    <x v="0"/>
    <x v="10"/>
    <x v="939"/>
    <x v="1269"/>
    <x v="115"/>
    <x v="77"/>
    <x v="1269"/>
    <x v="1"/>
    <x v="251"/>
    <x v="8"/>
  </r>
  <r>
    <x v="1270"/>
    <x v="0"/>
    <x v="20"/>
    <x v="940"/>
    <x v="1270"/>
    <x v="217"/>
    <x v="87"/>
    <x v="1270"/>
    <x v="1"/>
    <x v="252"/>
    <x v="0"/>
  </r>
  <r>
    <x v="1271"/>
    <x v="0"/>
    <x v="14"/>
    <x v="941"/>
    <x v="1271"/>
    <x v="352"/>
    <x v="20"/>
    <x v="1271"/>
    <x v="0"/>
    <x v="0"/>
    <x v="1"/>
  </r>
  <r>
    <x v="1272"/>
    <x v="3"/>
    <x v="8"/>
    <x v="273"/>
    <x v="1272"/>
    <x v="238"/>
    <x v="82"/>
    <x v="1272"/>
    <x v="0"/>
    <x v="0"/>
    <x v="7"/>
  </r>
  <r>
    <x v="1273"/>
    <x v="2"/>
    <x v="5"/>
    <x v="942"/>
    <x v="1273"/>
    <x v="357"/>
    <x v="61"/>
    <x v="1273"/>
    <x v="0"/>
    <x v="0"/>
    <x v="1"/>
  </r>
  <r>
    <x v="1274"/>
    <x v="3"/>
    <x v="10"/>
    <x v="943"/>
    <x v="1274"/>
    <x v="140"/>
    <x v="128"/>
    <x v="1274"/>
    <x v="0"/>
    <x v="0"/>
    <x v="8"/>
  </r>
  <r>
    <x v="1275"/>
    <x v="0"/>
    <x v="14"/>
    <x v="944"/>
    <x v="1275"/>
    <x v="405"/>
    <x v="39"/>
    <x v="1275"/>
    <x v="0"/>
    <x v="0"/>
    <x v="1"/>
  </r>
  <r>
    <x v="1276"/>
    <x v="3"/>
    <x v="2"/>
    <x v="763"/>
    <x v="1276"/>
    <x v="82"/>
    <x v="78"/>
    <x v="1276"/>
    <x v="0"/>
    <x v="0"/>
    <x v="8"/>
  </r>
  <r>
    <x v="1277"/>
    <x v="3"/>
    <x v="19"/>
    <x v="945"/>
    <x v="1277"/>
    <x v="165"/>
    <x v="77"/>
    <x v="1277"/>
    <x v="0"/>
    <x v="0"/>
    <x v="3"/>
  </r>
  <r>
    <x v="1278"/>
    <x v="0"/>
    <x v="2"/>
    <x v="946"/>
    <x v="1278"/>
    <x v="327"/>
    <x v="94"/>
    <x v="1278"/>
    <x v="1"/>
    <x v="253"/>
    <x v="8"/>
  </r>
  <r>
    <x v="1279"/>
    <x v="2"/>
    <x v="7"/>
    <x v="142"/>
    <x v="1279"/>
    <x v="469"/>
    <x v="40"/>
    <x v="1279"/>
    <x v="0"/>
    <x v="0"/>
    <x v="2"/>
  </r>
  <r>
    <x v="1280"/>
    <x v="0"/>
    <x v="10"/>
    <x v="947"/>
    <x v="1280"/>
    <x v="237"/>
    <x v="26"/>
    <x v="1280"/>
    <x v="0"/>
    <x v="0"/>
    <x v="8"/>
  </r>
  <r>
    <x v="1281"/>
    <x v="3"/>
    <x v="8"/>
    <x v="505"/>
    <x v="1281"/>
    <x v="206"/>
    <x v="24"/>
    <x v="1281"/>
    <x v="1"/>
    <x v="254"/>
    <x v="7"/>
  </r>
  <r>
    <x v="1282"/>
    <x v="3"/>
    <x v="8"/>
    <x v="948"/>
    <x v="1282"/>
    <x v="139"/>
    <x v="40"/>
    <x v="1282"/>
    <x v="1"/>
    <x v="255"/>
    <x v="7"/>
  </r>
  <r>
    <x v="1283"/>
    <x v="4"/>
    <x v="12"/>
    <x v="114"/>
    <x v="1283"/>
    <x v="194"/>
    <x v="183"/>
    <x v="1283"/>
    <x v="0"/>
    <x v="0"/>
    <x v="4"/>
  </r>
  <r>
    <x v="1284"/>
    <x v="0"/>
    <x v="1"/>
    <x v="248"/>
    <x v="1284"/>
    <x v="473"/>
    <x v="94"/>
    <x v="1284"/>
    <x v="1"/>
    <x v="256"/>
    <x v="3"/>
  </r>
  <r>
    <x v="1285"/>
    <x v="1"/>
    <x v="7"/>
    <x v="949"/>
    <x v="1285"/>
    <x v="120"/>
    <x v="82"/>
    <x v="1285"/>
    <x v="0"/>
    <x v="0"/>
    <x v="2"/>
  </r>
  <r>
    <x v="1286"/>
    <x v="3"/>
    <x v="13"/>
    <x v="241"/>
    <x v="1286"/>
    <x v="19"/>
    <x v="82"/>
    <x v="1286"/>
    <x v="0"/>
    <x v="0"/>
    <x v="1"/>
  </r>
  <r>
    <x v="1287"/>
    <x v="3"/>
    <x v="3"/>
    <x v="950"/>
    <x v="1287"/>
    <x v="372"/>
    <x v="59"/>
    <x v="1287"/>
    <x v="0"/>
    <x v="0"/>
    <x v="6"/>
  </r>
  <r>
    <x v="1288"/>
    <x v="1"/>
    <x v="17"/>
    <x v="951"/>
    <x v="1288"/>
    <x v="474"/>
    <x v="14"/>
    <x v="1288"/>
    <x v="0"/>
    <x v="0"/>
    <x v="8"/>
  </r>
  <r>
    <x v="1289"/>
    <x v="4"/>
    <x v="16"/>
    <x v="891"/>
    <x v="1289"/>
    <x v="312"/>
    <x v="109"/>
    <x v="1289"/>
    <x v="0"/>
    <x v="0"/>
    <x v="1"/>
  </r>
  <r>
    <x v="1290"/>
    <x v="3"/>
    <x v="8"/>
    <x v="430"/>
    <x v="1290"/>
    <x v="332"/>
    <x v="26"/>
    <x v="1290"/>
    <x v="1"/>
    <x v="257"/>
    <x v="7"/>
  </r>
  <r>
    <x v="1291"/>
    <x v="4"/>
    <x v="5"/>
    <x v="889"/>
    <x v="1291"/>
    <x v="151"/>
    <x v="88"/>
    <x v="1291"/>
    <x v="0"/>
    <x v="0"/>
    <x v="1"/>
  </r>
  <r>
    <x v="1292"/>
    <x v="2"/>
    <x v="6"/>
    <x v="952"/>
    <x v="1292"/>
    <x v="257"/>
    <x v="4"/>
    <x v="1292"/>
    <x v="0"/>
    <x v="0"/>
    <x v="8"/>
  </r>
  <r>
    <x v="1293"/>
    <x v="2"/>
    <x v="15"/>
    <x v="331"/>
    <x v="1293"/>
    <x v="143"/>
    <x v="33"/>
    <x v="1293"/>
    <x v="0"/>
    <x v="0"/>
    <x v="2"/>
  </r>
  <r>
    <x v="1294"/>
    <x v="2"/>
    <x v="18"/>
    <x v="428"/>
    <x v="1294"/>
    <x v="1"/>
    <x v="87"/>
    <x v="1294"/>
    <x v="1"/>
    <x v="258"/>
    <x v="9"/>
  </r>
  <r>
    <x v="1295"/>
    <x v="2"/>
    <x v="12"/>
    <x v="953"/>
    <x v="1295"/>
    <x v="79"/>
    <x v="31"/>
    <x v="1295"/>
    <x v="0"/>
    <x v="0"/>
    <x v="4"/>
  </r>
  <r>
    <x v="1296"/>
    <x v="4"/>
    <x v="7"/>
    <x v="710"/>
    <x v="1296"/>
    <x v="264"/>
    <x v="184"/>
    <x v="1296"/>
    <x v="0"/>
    <x v="0"/>
    <x v="2"/>
  </r>
  <r>
    <x v="1297"/>
    <x v="1"/>
    <x v="19"/>
    <x v="954"/>
    <x v="1297"/>
    <x v="475"/>
    <x v="94"/>
    <x v="1297"/>
    <x v="0"/>
    <x v="0"/>
    <x v="3"/>
  </r>
  <r>
    <x v="1298"/>
    <x v="4"/>
    <x v="17"/>
    <x v="955"/>
    <x v="1298"/>
    <x v="308"/>
    <x v="185"/>
    <x v="1298"/>
    <x v="0"/>
    <x v="0"/>
    <x v="8"/>
  </r>
  <r>
    <x v="1299"/>
    <x v="3"/>
    <x v="8"/>
    <x v="956"/>
    <x v="1299"/>
    <x v="431"/>
    <x v="5"/>
    <x v="1299"/>
    <x v="1"/>
    <x v="259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F9" firstHeaderRow="0" firstDataRow="1" firstDataCol="1"/>
  <pivotFields count="15"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numFmtId="177" showAll="0"/>
    <pivotField compact="0" showAll="0"/>
    <pivotField dataField="1" compact="0" numFmtId="184" showAll="0">
      <items count="101">
        <item x="37"/>
        <item x="77"/>
        <item x="36"/>
        <item x="32"/>
        <item x="19"/>
        <item x="34"/>
        <item x="4"/>
        <item x="10"/>
        <item x="30"/>
        <item x="35"/>
        <item x="12"/>
        <item x="7"/>
        <item x="2"/>
        <item x="11"/>
        <item x="23"/>
        <item x="26"/>
        <item x="18"/>
        <item x="8"/>
        <item x="29"/>
        <item x="67"/>
        <item x="20"/>
        <item x="28"/>
        <item x="74"/>
        <item x="15"/>
        <item x="47"/>
        <item x="17"/>
        <item x="3"/>
        <item x="60"/>
        <item x="78"/>
        <item x="13"/>
        <item x="22"/>
        <item x="0"/>
        <item x="73"/>
        <item x="14"/>
        <item x="33"/>
        <item x="71"/>
        <item x="72"/>
        <item x="79"/>
        <item x="25"/>
        <item x="98"/>
        <item x="24"/>
        <item x="61"/>
        <item x="39"/>
        <item x="31"/>
        <item x="21"/>
        <item x="76"/>
        <item x="70"/>
        <item x="16"/>
        <item x="1"/>
        <item x="68"/>
        <item x="38"/>
        <item x="5"/>
        <item x="75"/>
        <item x="63"/>
        <item x="65"/>
        <item x="52"/>
        <item x="89"/>
        <item x="66"/>
        <item x="9"/>
        <item x="27"/>
        <item x="6"/>
        <item x="92"/>
        <item x="69"/>
        <item x="64"/>
        <item x="99"/>
        <item x="90"/>
        <item x="94"/>
        <item x="82"/>
        <item x="80"/>
        <item x="86"/>
        <item x="58"/>
        <item x="91"/>
        <item x="62"/>
        <item x="95"/>
        <item x="93"/>
        <item x="85"/>
        <item x="96"/>
        <item x="46"/>
        <item x="81"/>
        <item x="84"/>
        <item x="97"/>
        <item x="54"/>
        <item x="57"/>
        <item x="43"/>
        <item x="42"/>
        <item x="53"/>
        <item x="59"/>
        <item x="88"/>
        <item x="87"/>
        <item x="83"/>
        <item x="49"/>
        <item x="40"/>
        <item x="55"/>
        <item x="45"/>
        <item x="41"/>
        <item x="44"/>
        <item x="48"/>
        <item x="56"/>
        <item x="51"/>
        <item x="50"/>
        <item t="default"/>
      </items>
    </pivotField>
    <pivotField dataField="1" compact="0" numFmtId="185" showAll="0">
      <items count="85">
        <item x="18"/>
        <item x="12"/>
        <item x="7"/>
        <item x="20"/>
        <item x="19"/>
        <item x="3"/>
        <item x="58"/>
        <item x="40"/>
        <item x="29"/>
        <item x="41"/>
        <item x="11"/>
        <item x="47"/>
        <item x="0"/>
        <item x="14"/>
        <item x="23"/>
        <item x="10"/>
        <item x="44"/>
        <item x="24"/>
        <item x="21"/>
        <item x="8"/>
        <item x="4"/>
        <item x="15"/>
        <item x="30"/>
        <item x="27"/>
        <item x="6"/>
        <item x="1"/>
        <item x="57"/>
        <item x="60"/>
        <item x="17"/>
        <item x="31"/>
        <item x="56"/>
        <item x="51"/>
        <item x="34"/>
        <item x="45"/>
        <item x="26"/>
        <item x="16"/>
        <item x="52"/>
        <item x="61"/>
        <item x="46"/>
        <item x="13"/>
        <item x="28"/>
        <item x="59"/>
        <item x="33"/>
        <item x="39"/>
        <item x="82"/>
        <item x="9"/>
        <item x="2"/>
        <item x="49"/>
        <item x="62"/>
        <item x="48"/>
        <item x="25"/>
        <item x="55"/>
        <item x="64"/>
        <item x="42"/>
        <item x="38"/>
        <item x="50"/>
        <item x="78"/>
        <item x="5"/>
        <item x="22"/>
        <item x="76"/>
        <item x="74"/>
        <item x="53"/>
        <item x="54"/>
        <item x="73"/>
        <item x="32"/>
        <item x="70"/>
        <item x="79"/>
        <item x="81"/>
        <item x="63"/>
        <item x="37"/>
        <item x="65"/>
        <item x="83"/>
        <item x="80"/>
        <item x="77"/>
        <item x="71"/>
        <item x="67"/>
        <item x="68"/>
        <item x="69"/>
        <item x="43"/>
        <item x="36"/>
        <item x="75"/>
        <item x="66"/>
        <item x="35"/>
        <item x="72"/>
        <item t="default"/>
      </items>
    </pivotField>
    <pivotField dataField="1" compact="0" numFmtId="180" showAll="0">
      <items count="85">
        <item x="18"/>
        <item x="12"/>
        <item x="41"/>
        <item x="40"/>
        <item x="20"/>
        <item x="7"/>
        <item x="34"/>
        <item x="3"/>
        <item x="47"/>
        <item x="58"/>
        <item x="19"/>
        <item x="38"/>
        <item x="0"/>
        <item x="23"/>
        <item x="6"/>
        <item x="33"/>
        <item x="46"/>
        <item x="14"/>
        <item x="11"/>
        <item x="30"/>
        <item x="1"/>
        <item x="21"/>
        <item x="27"/>
        <item x="44"/>
        <item x="42"/>
        <item x="60"/>
        <item x="31"/>
        <item x="15"/>
        <item x="29"/>
        <item x="32"/>
        <item x="37"/>
        <item x="64"/>
        <item x="8"/>
        <item x="56"/>
        <item x="24"/>
        <item x="57"/>
        <item x="45"/>
        <item x="52"/>
        <item x="16"/>
        <item x="48"/>
        <item x="78"/>
        <item x="9"/>
        <item x="59"/>
        <item x="39"/>
        <item x="10"/>
        <item x="25"/>
        <item x="49"/>
        <item x="17"/>
        <item x="4"/>
        <item x="74"/>
        <item x="81"/>
        <item x="82"/>
        <item x="79"/>
        <item x="51"/>
        <item x="50"/>
        <item x="13"/>
        <item x="70"/>
        <item x="76"/>
        <item x="36"/>
        <item x="5"/>
        <item x="67"/>
        <item x="71"/>
        <item x="53"/>
        <item x="65"/>
        <item x="55"/>
        <item x="62"/>
        <item x="43"/>
        <item x="22"/>
        <item x="73"/>
        <item x="80"/>
        <item x="26"/>
        <item x="77"/>
        <item x="68"/>
        <item x="54"/>
        <item x="69"/>
        <item x="72"/>
        <item x="28"/>
        <item x="2"/>
        <item x="83"/>
        <item x="35"/>
        <item x="75"/>
        <item x="66"/>
        <item x="63"/>
        <item x="61"/>
        <item t="default"/>
      </items>
    </pivotField>
    <pivotField compact="0" numFmtId="180" showAll="0"/>
    <pivotField compact="0" numFmtId="181" showAll="0"/>
    <pivotField dataField="1" compact="0" numFmtId="176" showAll="0">
      <items count="85">
        <item x="18"/>
        <item x="12"/>
        <item x="7"/>
        <item x="20"/>
        <item x="19"/>
        <item x="58"/>
        <item x="40"/>
        <item x="29"/>
        <item x="3"/>
        <item x="41"/>
        <item x="11"/>
        <item x="47"/>
        <item x="0"/>
        <item x="14"/>
        <item x="23"/>
        <item x="10"/>
        <item x="44"/>
        <item x="21"/>
        <item x="8"/>
        <item x="4"/>
        <item x="15"/>
        <item x="24"/>
        <item x="30"/>
        <item x="60"/>
        <item x="1"/>
        <item x="17"/>
        <item x="31"/>
        <item x="27"/>
        <item x="6"/>
        <item x="57"/>
        <item x="56"/>
        <item x="34"/>
        <item x="45"/>
        <item x="51"/>
        <item x="16"/>
        <item x="52"/>
        <item x="26"/>
        <item x="46"/>
        <item x="61"/>
        <item x="13"/>
        <item x="82"/>
        <item x="39"/>
        <item x="28"/>
        <item x="59"/>
        <item x="62"/>
        <item x="33"/>
        <item x="2"/>
        <item x="49"/>
        <item x="42"/>
        <item x="48"/>
        <item x="9"/>
        <item x="78"/>
        <item x="64"/>
        <item x="25"/>
        <item x="38"/>
        <item x="55"/>
        <item x="22"/>
        <item x="50"/>
        <item x="53"/>
        <item x="5"/>
        <item x="73"/>
        <item x="76"/>
        <item x="74"/>
        <item x="54"/>
        <item x="32"/>
        <item x="81"/>
        <item x="63"/>
        <item x="70"/>
        <item x="79"/>
        <item x="83"/>
        <item x="37"/>
        <item x="65"/>
        <item x="80"/>
        <item x="43"/>
        <item x="77"/>
        <item x="67"/>
        <item x="68"/>
        <item x="69"/>
        <item x="71"/>
        <item x="36"/>
        <item x="66"/>
        <item x="72"/>
        <item x="75"/>
        <item x="35"/>
        <item t="default"/>
      </items>
    </pivotField>
    <pivotField dataField="1" compact="0" numFmtId="180" showAll="0">
      <items count="85">
        <item x="18"/>
        <item x="12"/>
        <item x="41"/>
        <item x="40"/>
        <item x="20"/>
        <item x="7"/>
        <item x="34"/>
        <item x="47"/>
        <item x="58"/>
        <item x="3"/>
        <item x="19"/>
        <item x="38"/>
        <item x="0"/>
        <item x="46"/>
        <item x="23"/>
        <item x="33"/>
        <item x="14"/>
        <item x="30"/>
        <item x="6"/>
        <item x="42"/>
        <item x="11"/>
        <item x="21"/>
        <item x="1"/>
        <item x="60"/>
        <item x="44"/>
        <item x="31"/>
        <item x="27"/>
        <item x="29"/>
        <item x="15"/>
        <item x="8"/>
        <item x="32"/>
        <item x="37"/>
        <item x="64"/>
        <item x="45"/>
        <item x="52"/>
        <item x="78"/>
        <item x="16"/>
        <item x="56"/>
        <item x="57"/>
        <item x="48"/>
        <item x="17"/>
        <item x="24"/>
        <item x="39"/>
        <item x="10"/>
        <item x="9"/>
        <item x="59"/>
        <item x="49"/>
        <item x="4"/>
        <item x="82"/>
        <item x="25"/>
        <item x="81"/>
        <item x="74"/>
        <item x="13"/>
        <item x="53"/>
        <item x="79"/>
        <item x="51"/>
        <item x="76"/>
        <item x="50"/>
        <item x="36"/>
        <item x="67"/>
        <item x="70"/>
        <item x="43"/>
        <item x="73"/>
        <item x="65"/>
        <item x="5"/>
        <item x="62"/>
        <item x="71"/>
        <item x="80"/>
        <item x="22"/>
        <item x="55"/>
        <item x="68"/>
        <item x="77"/>
        <item x="72"/>
        <item x="26"/>
        <item x="83"/>
        <item x="69"/>
        <item x="54"/>
        <item x="2"/>
        <item x="28"/>
        <item x="35"/>
        <item x="75"/>
        <item x="66"/>
        <item x="63"/>
        <item x="61"/>
        <item t="default"/>
      </items>
    </pivotField>
    <pivotField compact="0" numFmtId="176" showAll="0"/>
    <pivotField compact="0" showAll="0"/>
    <pivotField compact="0" showAll="0"/>
    <pivotField compact="0" numFmtId="10" showAll="0"/>
    <pivotField compact="0" numFmtId="1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TOTAL ADVANCES" fld="3" subtotal="average" baseField="0" baseItem="0"/>
    <dataField name="Average of GROSS NPA" fld="4" subtotal="average" baseField="0" baseItem="0"/>
    <dataField name="Average of GNPA RATIO" fld="5" subtotal="average" baseField="0" baseItem="0" numFmtId="10"/>
    <dataField name="Average of NET NPA" fld="8" subtotal="average" baseField="0" baseItem="0"/>
    <dataField name="Average of NPA RATIO" fld="9" subtotal="average" baseField="0" baseItem="0" numFmtId="10"/>
  </dataFields>
  <formats count="34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dataOnly="0" labelOnly="1" fieldPosition="0">
        <references count="1">
          <reference field="4294967294" count="1">
            <x v="1"/>
          </reference>
        </references>
      </pivotArea>
    </format>
    <format dxfId="2">
      <pivotArea dataOnly="0" labelOnly="1" fieldPosition="0">
        <references count="1">
          <reference field="4294967294" count="1">
            <x v="3"/>
          </reference>
        </references>
      </pivotArea>
    </format>
    <format dxfId="3">
      <pivotArea collapsedLevelsAreSubtotals="1" fieldPosition="0"/>
    </format>
    <format dxfId="4">
      <pivotArea dataOnly="0" labelOnly="1" fieldPosition="0">
        <references count="1">
          <reference field="4294967294" count="1">
            <x v="0"/>
          </reference>
        </references>
      </pivotArea>
    </format>
    <format dxfId="5">
      <pivotArea dataOnly="0" labelOnly="1" fieldPosition="0">
        <references count="1">
          <reference field="4294967294" count="1">
            <x v="1"/>
          </reference>
        </references>
      </pivotArea>
    </format>
    <format dxfId="6">
      <pivotArea dataOnly="0" labelOnly="1" fieldPosition="0">
        <references count="1">
          <reference field="4294967294" count="1">
            <x v="3"/>
          </reference>
        </references>
      </pivotArea>
    </format>
    <format dxfId="7">
      <pivotArea collapsedLevelsAreSubtotals="1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fieldPosition="0">
        <references count="1">
          <reference field="4294967294" count="1">
            <x v="0"/>
          </reference>
        </references>
      </pivotArea>
    </format>
    <format dxfId="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fieldPosition="0">
        <references count="1">
          <reference field="4294967294" count="1">
            <x v="1"/>
          </reference>
        </references>
      </pivotArea>
    </format>
    <format dxfId="15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dataOnly="0" labelOnly="1" fieldPosition="0">
        <references count="1">
          <reference field="4294967294" count="1">
            <x v="3"/>
          </reference>
        </references>
      </pivotArea>
    </format>
    <format dxfId="17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9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20">
      <pivotArea collapsedLevelsAreSubtotals="1" fieldPosition="0">
        <references count="2">
          <reference field="0" count="1" selected="0">
            <x v="2"/>
          </reference>
          <reference field="4294967294" count="1" selected="0">
            <x v="0"/>
          </reference>
        </references>
      </pivotArea>
    </format>
    <format dxfId="21">
      <pivotArea collapsedLevelsAreSubtotals="1" fieldPosition="0">
        <references count="2">
          <reference field="0" count="1" selected="0">
            <x v="2"/>
          </reference>
          <reference field="4294967294" count="1" selected="0">
            <x v="0"/>
          </reference>
        </references>
      </pivotArea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fieldPosition="0">
        <references count="1">
          <reference field="4294967294" count="1">
            <x v="0"/>
          </reference>
        </references>
      </pivotArea>
    </format>
    <format dxfId="25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dataOnly="0" labelOnly="1" fieldPosition="0">
        <references count="1">
          <reference field="4294967294" count="1">
            <x v="1"/>
          </reference>
        </references>
      </pivotArea>
    </format>
    <format dxfId="27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dataOnly="0" labelOnly="1" fieldPosition="0">
        <references count="1">
          <reference field="4294967294" count="1">
            <x v="1"/>
          </reference>
        </references>
      </pivotArea>
    </format>
    <format dxfId="29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fieldPosition="0">
        <references count="1">
          <reference field="4294967294" count="1">
            <x v="3"/>
          </reference>
        </references>
      </pivotArea>
    </format>
    <format dxfId="31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32">
      <pivotArea dataOnly="0" labelOnly="1" fieldPosition="0">
        <references count="1">
          <reference field="4294967294" count="1">
            <x v="3"/>
          </reference>
        </references>
      </pivotArea>
    </format>
    <format dxfId="33">
      <pivotArea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D24" firstHeaderRow="0" firstDataRow="1" firstDataCol="1" rowPageCount="1" colPageCount="1"/>
  <pivotFields count="15">
    <pivotField axis="axisPage" compact="0" multipleItemSelectionAllowed="1" showAll="0">
      <items count="6">
        <item x="0"/>
        <item h="1" x="1"/>
        <item h="1" x="2"/>
        <item h="1" x="3"/>
        <item h="1" x="4"/>
        <item t="default"/>
      </items>
    </pivotField>
    <pivotField axis="axisRow" compact="0" numFmtId="177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/>
    <pivotField dataField="1" compact="0" numFmtId="184" showAll="0">
      <items count="101">
        <item x="37"/>
        <item x="77"/>
        <item x="36"/>
        <item x="32"/>
        <item x="19"/>
        <item x="34"/>
        <item x="4"/>
        <item x="10"/>
        <item x="30"/>
        <item x="35"/>
        <item x="12"/>
        <item x="7"/>
        <item x="2"/>
        <item x="11"/>
        <item x="23"/>
        <item x="26"/>
        <item x="18"/>
        <item x="8"/>
        <item x="29"/>
        <item x="67"/>
        <item x="20"/>
        <item x="28"/>
        <item x="74"/>
        <item x="15"/>
        <item x="47"/>
        <item x="17"/>
        <item x="3"/>
        <item x="60"/>
        <item x="78"/>
        <item x="13"/>
        <item x="22"/>
        <item x="0"/>
        <item x="73"/>
        <item x="14"/>
        <item x="33"/>
        <item x="71"/>
        <item x="72"/>
        <item x="79"/>
        <item x="25"/>
        <item x="98"/>
        <item x="24"/>
        <item x="61"/>
        <item x="39"/>
        <item x="31"/>
        <item x="21"/>
        <item x="76"/>
        <item x="70"/>
        <item x="16"/>
        <item x="1"/>
        <item x="68"/>
        <item x="38"/>
        <item x="5"/>
        <item x="75"/>
        <item x="63"/>
        <item x="65"/>
        <item x="52"/>
        <item x="89"/>
        <item x="66"/>
        <item x="9"/>
        <item x="27"/>
        <item x="6"/>
        <item x="92"/>
        <item x="69"/>
        <item x="64"/>
        <item x="99"/>
        <item x="90"/>
        <item x="94"/>
        <item x="82"/>
        <item x="80"/>
        <item x="86"/>
        <item x="58"/>
        <item x="91"/>
        <item x="62"/>
        <item x="95"/>
        <item x="93"/>
        <item x="85"/>
        <item x="96"/>
        <item x="46"/>
        <item x="81"/>
        <item x="84"/>
        <item x="97"/>
        <item x="54"/>
        <item x="57"/>
        <item x="43"/>
        <item x="42"/>
        <item x="53"/>
        <item x="59"/>
        <item x="88"/>
        <item x="87"/>
        <item x="83"/>
        <item x="49"/>
        <item x="40"/>
        <item x="55"/>
        <item x="45"/>
        <item x="41"/>
        <item x="44"/>
        <item x="48"/>
        <item x="56"/>
        <item x="51"/>
        <item x="50"/>
        <item t="default"/>
      </items>
    </pivotField>
    <pivotField dataField="1" compact="0" numFmtId="185" showAll="0">
      <items count="85">
        <item x="18"/>
        <item x="12"/>
        <item x="7"/>
        <item x="20"/>
        <item x="19"/>
        <item x="3"/>
        <item x="58"/>
        <item x="40"/>
        <item x="29"/>
        <item x="41"/>
        <item x="11"/>
        <item x="47"/>
        <item x="0"/>
        <item x="14"/>
        <item x="23"/>
        <item x="10"/>
        <item x="44"/>
        <item x="24"/>
        <item x="21"/>
        <item x="8"/>
        <item x="4"/>
        <item x="15"/>
        <item x="30"/>
        <item x="27"/>
        <item x="6"/>
        <item x="1"/>
        <item x="57"/>
        <item x="60"/>
        <item x="17"/>
        <item x="31"/>
        <item x="56"/>
        <item x="51"/>
        <item x="34"/>
        <item x="45"/>
        <item x="26"/>
        <item x="16"/>
        <item x="52"/>
        <item x="61"/>
        <item x="46"/>
        <item x="13"/>
        <item x="28"/>
        <item x="59"/>
        <item x="33"/>
        <item x="39"/>
        <item x="82"/>
        <item x="9"/>
        <item x="2"/>
        <item x="49"/>
        <item x="62"/>
        <item x="48"/>
        <item x="25"/>
        <item x="55"/>
        <item x="64"/>
        <item x="42"/>
        <item x="38"/>
        <item x="50"/>
        <item x="78"/>
        <item x="5"/>
        <item x="22"/>
        <item x="76"/>
        <item x="74"/>
        <item x="53"/>
        <item x="54"/>
        <item x="73"/>
        <item x="32"/>
        <item x="70"/>
        <item x="79"/>
        <item x="81"/>
        <item x="63"/>
        <item x="37"/>
        <item x="65"/>
        <item x="83"/>
        <item x="80"/>
        <item x="77"/>
        <item x="71"/>
        <item x="67"/>
        <item x="68"/>
        <item x="69"/>
        <item x="43"/>
        <item x="36"/>
        <item x="75"/>
        <item x="66"/>
        <item x="35"/>
        <item x="72"/>
        <item t="default"/>
      </items>
    </pivotField>
    <pivotField compact="0" numFmtId="180" showAll="0"/>
    <pivotField compact="0" numFmtId="180" showAll="0"/>
    <pivotField compact="0" numFmtId="181" showAll="0"/>
    <pivotField compact="0" numFmtId="176" showAll="0"/>
    <pivotField compact="0" numFmtId="180" showAll="0"/>
    <pivotField dataField="1" compact="0" numFmtId="176" showAll="0">
      <items count="85">
        <item x="18"/>
        <item x="12"/>
        <item x="20"/>
        <item x="19"/>
        <item x="58"/>
        <item x="3"/>
        <item x="10"/>
        <item x="47"/>
        <item x="29"/>
        <item x="41"/>
        <item x="1"/>
        <item x="11"/>
        <item x="8"/>
        <item x="40"/>
        <item x="60"/>
        <item x="7"/>
        <item x="23"/>
        <item x="34"/>
        <item x="24"/>
        <item x="21"/>
        <item x="51"/>
        <item x="0"/>
        <item x="30"/>
        <item x="15"/>
        <item x="6"/>
        <item x="44"/>
        <item x="82"/>
        <item x="61"/>
        <item x="4"/>
        <item x="45"/>
        <item x="57"/>
        <item x="46"/>
        <item x="52"/>
        <item x="17"/>
        <item x="16"/>
        <item x="27"/>
        <item x="62"/>
        <item x="56"/>
        <item x="31"/>
        <item x="33"/>
        <item x="49"/>
        <item x="26"/>
        <item x="64"/>
        <item x="2"/>
        <item x="81"/>
        <item x="9"/>
        <item x="50"/>
        <item x="13"/>
        <item x="14"/>
        <item x="28"/>
        <item x="55"/>
        <item x="59"/>
        <item x="38"/>
        <item x="22"/>
        <item x="25"/>
        <item x="48"/>
        <item x="39"/>
        <item x="5"/>
        <item x="35"/>
        <item x="78"/>
        <item x="76"/>
        <item x="54"/>
        <item x="53"/>
        <item x="79"/>
        <item x="74"/>
        <item x="32"/>
        <item x="70"/>
        <item x="73"/>
        <item x="42"/>
        <item x="83"/>
        <item x="67"/>
        <item x="68"/>
        <item x="63"/>
        <item x="80"/>
        <item x="69"/>
        <item x="65"/>
        <item x="66"/>
        <item x="71"/>
        <item x="37"/>
        <item x="36"/>
        <item x="77"/>
        <item x="43"/>
        <item x="72"/>
        <item x="75"/>
        <item t="default"/>
      </items>
    </pivotField>
    <pivotField compact="0" showAll="0"/>
    <pivotField compact="0" showAll="0"/>
    <pivotField compact="0" numFmtId="10" showAll="0"/>
    <pivotField compact="0" numFmtId="10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/>
  </pageFields>
  <dataFields count="3">
    <dataField name="Sum of TOTAL ADVANCES" fld="3" baseField="0" baseItem="0"/>
    <dataField name="Sum of GROSS NPA" fld="4" baseField="0" baseItem="0" numFmtId="176"/>
    <dataField name="Sum of RECOVERY" fld="10" baseField="0" baseItem="0" numFmtId="18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6" firstHeaderRow="0" firstDataRow="1" firstDataCol="1"/>
  <pivotFields count="11">
    <pivotField compact="0" showAll="0">
      <items count="1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1095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160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090"/>
        <item x="128"/>
        <item x="129"/>
        <item x="130"/>
        <item x="131"/>
        <item x="132"/>
        <item x="133"/>
        <item x="134"/>
        <item x="135"/>
        <item x="136"/>
        <item x="137"/>
        <item x="127"/>
        <item x="139"/>
        <item x="140"/>
        <item x="725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11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38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310"/>
        <item x="220"/>
        <item x="221"/>
        <item x="665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602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338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4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697"/>
        <item x="339"/>
        <item x="172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797"/>
        <item x="388"/>
        <item x="389"/>
        <item x="390"/>
        <item x="391"/>
        <item x="392"/>
        <item x="393"/>
        <item x="394"/>
        <item x="395"/>
        <item x="570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864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103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09"/>
        <item x="464"/>
        <item x="465"/>
        <item x="466"/>
        <item x="467"/>
        <item x="468"/>
        <item x="469"/>
        <item x="470"/>
        <item x="471"/>
        <item x="472"/>
        <item x="872"/>
        <item x="474"/>
        <item x="475"/>
        <item x="476"/>
        <item x="477"/>
        <item x="478"/>
        <item x="954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387"/>
        <item x="510"/>
        <item x="511"/>
        <item x="512"/>
        <item x="967"/>
        <item x="514"/>
        <item x="515"/>
        <item x="516"/>
        <item x="553"/>
        <item x="518"/>
        <item x="519"/>
        <item x="520"/>
        <item x="1055"/>
        <item x="522"/>
        <item x="523"/>
        <item x="524"/>
        <item x="525"/>
        <item x="526"/>
        <item x="992"/>
        <item x="528"/>
        <item x="529"/>
        <item x="530"/>
        <item x="531"/>
        <item x="532"/>
        <item x="533"/>
        <item x="534"/>
        <item x="463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1251"/>
        <item x="554"/>
        <item x="555"/>
        <item x="925"/>
        <item x="557"/>
        <item x="558"/>
        <item x="559"/>
        <item x="672"/>
        <item x="889"/>
        <item x="562"/>
        <item x="563"/>
        <item x="564"/>
        <item x="565"/>
        <item x="473"/>
        <item x="567"/>
        <item x="698"/>
        <item x="569"/>
        <item x="970"/>
        <item x="571"/>
        <item x="572"/>
        <item x="573"/>
        <item x="574"/>
        <item x="575"/>
        <item x="576"/>
        <item x="577"/>
        <item x="578"/>
        <item x="579"/>
        <item x="1100"/>
        <item x="580"/>
        <item x="804"/>
        <item x="583"/>
        <item x="584"/>
        <item x="585"/>
        <item x="586"/>
        <item x="587"/>
        <item x="891"/>
        <item x="589"/>
        <item x="590"/>
        <item x="732"/>
        <item x="592"/>
        <item x="593"/>
        <item x="594"/>
        <item x="595"/>
        <item x="596"/>
        <item x="597"/>
        <item x="396"/>
        <item x="599"/>
        <item x="600"/>
        <item x="601"/>
        <item x="1000"/>
        <item x="603"/>
        <item x="604"/>
        <item x="605"/>
        <item x="700"/>
        <item x="607"/>
        <item x="608"/>
        <item x="609"/>
        <item x="610"/>
        <item x="611"/>
        <item x="612"/>
        <item x="613"/>
        <item x="614"/>
        <item x="615"/>
        <item x="616"/>
        <item x="827"/>
        <item x="618"/>
        <item x="619"/>
        <item x="620"/>
        <item x="621"/>
        <item x="622"/>
        <item x="623"/>
        <item x="624"/>
        <item x="625"/>
        <item x="626"/>
        <item x="627"/>
        <item x="141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1253"/>
        <item x="646"/>
        <item x="647"/>
        <item x="648"/>
        <item x="649"/>
        <item x="650"/>
        <item x="651"/>
        <item x="652"/>
        <item x="653"/>
        <item x="654"/>
        <item x="556"/>
        <item x="656"/>
        <item x="657"/>
        <item x="658"/>
        <item x="659"/>
        <item x="660"/>
        <item x="661"/>
        <item x="662"/>
        <item x="663"/>
        <item x="664"/>
        <item x="1103"/>
        <item x="666"/>
        <item x="667"/>
        <item x="668"/>
        <item x="669"/>
        <item x="670"/>
        <item x="671"/>
        <item x="1109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219"/>
        <item x="976"/>
        <item x="699"/>
        <item x="1025"/>
        <item x="701"/>
        <item x="702"/>
        <item x="703"/>
        <item x="704"/>
        <item x="705"/>
        <item x="706"/>
        <item x="924"/>
        <item x="708"/>
        <item x="1161"/>
        <item x="710"/>
        <item x="711"/>
        <item x="712"/>
        <item x="713"/>
        <item x="714"/>
        <item x="715"/>
        <item x="716"/>
        <item x="717"/>
        <item x="718"/>
        <item x="719"/>
        <item x="1175"/>
        <item x="721"/>
        <item x="722"/>
        <item x="723"/>
        <item x="724"/>
        <item x="72"/>
        <item x="726"/>
        <item x="727"/>
        <item x="728"/>
        <item x="729"/>
        <item x="730"/>
        <item x="731"/>
        <item x="427"/>
        <item x="1225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847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598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1036"/>
        <item x="798"/>
        <item x="799"/>
        <item x="800"/>
        <item x="801"/>
        <item x="802"/>
        <item x="803"/>
        <item x="1265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1078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606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1139"/>
        <item x="865"/>
        <item x="1281"/>
        <item x="867"/>
        <item x="868"/>
        <item x="869"/>
        <item x="870"/>
        <item x="871"/>
        <item x="1151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617"/>
        <item x="887"/>
        <item x="888"/>
        <item x="157"/>
        <item x="890"/>
        <item x="707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733"/>
        <item x="938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1242"/>
        <item x="939"/>
        <item x="940"/>
        <item x="509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1162"/>
        <item x="955"/>
        <item x="956"/>
        <item x="957"/>
        <item x="958"/>
        <item x="959"/>
        <item x="960"/>
        <item x="961"/>
        <item x="962"/>
        <item x="1043"/>
        <item x="964"/>
        <item x="965"/>
        <item x="966"/>
        <item x="1243"/>
        <item x="968"/>
        <item x="969"/>
        <item x="628"/>
        <item x="971"/>
        <item x="972"/>
        <item x="973"/>
        <item x="974"/>
        <item x="975"/>
        <item x="113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241"/>
        <item x="993"/>
        <item x="994"/>
        <item x="995"/>
        <item x="996"/>
        <item x="997"/>
        <item x="998"/>
        <item x="999"/>
        <item x="479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246"/>
        <item x="1026"/>
        <item x="1027"/>
        <item x="1028"/>
        <item x="1029"/>
        <item x="1030"/>
        <item x="1031"/>
        <item x="1032"/>
        <item x="1033"/>
        <item x="1034"/>
        <item x="1035"/>
        <item x="1182"/>
        <item x="1037"/>
        <item x="1038"/>
        <item x="1039"/>
        <item x="1045"/>
        <item x="1041"/>
        <item x="1042"/>
        <item x="866"/>
        <item x="1044"/>
        <item x="560"/>
        <item x="1046"/>
        <item x="1187"/>
        <item x="1048"/>
        <item x="1049"/>
        <item x="1050"/>
        <item x="1051"/>
        <item x="1052"/>
        <item x="1053"/>
        <item x="1054"/>
        <item x="513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749"/>
        <item x="1079"/>
        <item x="1080"/>
        <item x="1081"/>
        <item x="1082"/>
        <item x="1083"/>
        <item x="1084"/>
        <item x="1085"/>
        <item x="1086"/>
        <item x="1217"/>
        <item x="1088"/>
        <item x="1089"/>
        <item x="269"/>
        <item x="1091"/>
        <item x="1092"/>
        <item x="1093"/>
        <item x="1094"/>
        <item x="1144"/>
        <item x="1096"/>
        <item x="1097"/>
        <item x="1098"/>
        <item x="1099"/>
        <item x="581"/>
        <item x="1101"/>
        <item x="1102"/>
        <item x="561"/>
        <item x="1104"/>
        <item x="1105"/>
        <item x="1106"/>
        <item x="1107"/>
        <item x="1108"/>
        <item x="582"/>
        <item x="1110"/>
        <item x="1111"/>
        <item x="1112"/>
        <item x="1113"/>
        <item x="1114"/>
        <item x="1115"/>
        <item x="1116"/>
        <item x="941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48"/>
        <item x="1137"/>
        <item x="1138"/>
        <item x="527"/>
        <item x="1140"/>
        <item x="1141"/>
        <item x="1142"/>
        <item x="1143"/>
        <item x="517"/>
        <item x="1145"/>
        <item x="1146"/>
        <item x="1147"/>
        <item x="709"/>
        <item x="1149"/>
        <item x="1150"/>
        <item x="535"/>
        <item x="1152"/>
        <item x="1153"/>
        <item x="1154"/>
        <item x="1155"/>
        <item x="1156"/>
        <item x="1157"/>
        <item x="1158"/>
        <item x="1159"/>
        <item x="645"/>
        <item x="1040"/>
        <item x="566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720"/>
        <item x="1176"/>
        <item x="1177"/>
        <item x="1178"/>
        <item x="1179"/>
        <item x="1180"/>
        <item x="1181"/>
        <item x="886"/>
        <item x="1183"/>
        <item x="1184"/>
        <item x="1185"/>
        <item x="1186"/>
        <item x="521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655"/>
        <item x="1218"/>
        <item x="1219"/>
        <item x="1220"/>
        <item x="1221"/>
        <item x="1222"/>
        <item x="1223"/>
        <item x="1224"/>
        <item x="1047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087"/>
        <item x="963"/>
        <item x="1244"/>
        <item x="1245"/>
        <item x="769"/>
        <item x="1247"/>
        <item x="1248"/>
        <item x="1249"/>
        <item x="1282"/>
        <item x="222"/>
        <item x="1252"/>
        <item x="588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90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568"/>
        <item x="591"/>
        <item x="1283"/>
        <item x="1284"/>
        <item x="1285"/>
        <item x="1286"/>
        <item x="1287"/>
        <item x="1288"/>
        <item x="1289"/>
        <item x="1299"/>
        <item x="1291"/>
        <item x="1292"/>
        <item x="1293"/>
        <item x="1294"/>
        <item x="1295"/>
        <item x="1296"/>
        <item x="1297"/>
        <item x="1298"/>
        <item x="1250"/>
        <item t="default"/>
      </items>
    </pivotField>
    <pivotField compact="0" showAll="0"/>
    <pivotField compact="0" showAll="0"/>
    <pivotField compact="0" numFmtId="177" showAll="0"/>
    <pivotField dataField="1" compact="0" numFmtId="178" showAll="0">
      <items count="1301">
        <item x="621"/>
        <item x="1068"/>
        <item x="1022"/>
        <item x="1050"/>
        <item x="1237"/>
        <item x="1258"/>
        <item x="1019"/>
        <item x="60"/>
        <item x="19"/>
        <item x="461"/>
        <item x="505"/>
        <item x="217"/>
        <item x="972"/>
        <item x="389"/>
        <item x="577"/>
        <item x="624"/>
        <item x="916"/>
        <item x="956"/>
        <item x="905"/>
        <item x="534"/>
        <item x="280"/>
        <item x="326"/>
        <item x="499"/>
        <item x="685"/>
        <item x="179"/>
        <item x="180"/>
        <item x="139"/>
        <item x="696"/>
        <item x="39"/>
        <item x="135"/>
        <item x="219"/>
        <item x="978"/>
        <item x="615"/>
        <item x="673"/>
        <item x="571"/>
        <item x="328"/>
        <item x="690"/>
        <item x="855"/>
        <item x="652"/>
        <item x="97"/>
        <item x="935"/>
        <item x="802"/>
        <item x="1151"/>
        <item x="510"/>
        <item x="893"/>
        <item x="220"/>
        <item x="694"/>
        <item x="267"/>
        <item x="1267"/>
        <item x="873"/>
        <item x="563"/>
        <item x="1216"/>
        <item x="1210"/>
        <item x="182"/>
        <item x="270"/>
        <item x="1028"/>
        <item x="1072"/>
        <item x="110"/>
        <item x="1178"/>
        <item x="1077"/>
        <item x="1230"/>
        <item x="1074"/>
        <item x="1266"/>
        <item x="773"/>
        <item x="859"/>
        <item x="944"/>
        <item x="0"/>
        <item x="931"/>
        <item x="705"/>
        <item x="2"/>
        <item x="1080"/>
        <item x="355"/>
        <item x="494"/>
        <item x="212"/>
        <item x="704"/>
        <item x="89"/>
        <item x="1142"/>
        <item x="446"/>
        <item x="1096"/>
        <item x="1278"/>
        <item x="174"/>
        <item x="1086"/>
        <item x="232"/>
        <item x="626"/>
        <item x="1226"/>
        <item x="305"/>
        <item x="667"/>
        <item x="1284"/>
        <item x="1263"/>
        <item x="858"/>
        <item x="114"/>
        <item x="223"/>
        <item x="930"/>
        <item x="191"/>
        <item x="203"/>
        <item x="51"/>
        <item x="264"/>
        <item x="1269"/>
        <item x="612"/>
        <item x="901"/>
        <item x="603"/>
        <item x="434"/>
        <item x="84"/>
        <item x="994"/>
        <item x="1217"/>
        <item x="1133"/>
        <item x="1057"/>
        <item x="910"/>
        <item x="1032"/>
        <item x="637"/>
        <item x="1033"/>
        <item x="160"/>
        <item x="1280"/>
        <item x="1256"/>
        <item x="653"/>
        <item x="56"/>
        <item x="575"/>
        <item x="249"/>
        <item x="321"/>
        <item x="392"/>
        <item x="132"/>
        <item x="688"/>
        <item x="921"/>
        <item x="258"/>
        <item x="1013"/>
        <item x="546"/>
        <item x="485"/>
        <item x="1270"/>
        <item x="677"/>
        <item x="66"/>
        <item x="491"/>
        <item x="831"/>
        <item x="638"/>
        <item x="169"/>
        <item x="316"/>
        <item x="208"/>
        <item x="945"/>
        <item x="211"/>
        <item x="100"/>
        <item x="375"/>
        <item x="518"/>
        <item x="819"/>
        <item x="946"/>
        <item x="868"/>
        <item x="701"/>
        <item x="950"/>
        <item x="448"/>
        <item x="1017"/>
        <item x="728"/>
        <item x="314"/>
        <item x="815"/>
        <item x="1255"/>
        <item x="885"/>
        <item x="1282"/>
        <item x="386"/>
        <item x="327"/>
        <item x="153"/>
        <item x="28"/>
        <item x="872"/>
        <item x="369"/>
        <item x="693"/>
        <item x="159"/>
        <item x="923"/>
        <item x="1232"/>
        <item x="671"/>
        <item x="627"/>
        <item x="1191"/>
        <item x="365"/>
        <item x="407"/>
        <item x="929"/>
        <item x="839"/>
        <item x="762"/>
        <item x="1066"/>
        <item x="980"/>
        <item x="1271"/>
        <item x="405"/>
        <item x="105"/>
        <item x="720"/>
        <item x="760"/>
        <item x="903"/>
        <item x="64"/>
        <item x="1260"/>
        <item x="1197"/>
        <item x="1143"/>
        <item x="711"/>
        <item x="464"/>
        <item x="692"/>
        <item x="1006"/>
        <item x="231"/>
        <item x="870"/>
        <item x="1081"/>
        <item x="805"/>
        <item x="337"/>
        <item x="997"/>
        <item x="1161"/>
        <item x="478"/>
        <item x="617"/>
        <item x="1234"/>
        <item x="301"/>
        <item x="746"/>
        <item x="162"/>
        <item x="892"/>
        <item x="333"/>
        <item x="559"/>
        <item x="973"/>
        <item x="895"/>
        <item x="76"/>
        <item x="1104"/>
        <item x="194"/>
        <item x="372"/>
        <item x="62"/>
        <item x="1273"/>
        <item x="1055"/>
        <item x="167"/>
        <item x="342"/>
        <item x="1245"/>
        <item x="401"/>
        <item x="654"/>
        <item x="949"/>
        <item x="1"/>
        <item x="1198"/>
        <item x="1012"/>
        <item x="1279"/>
        <item x="1292"/>
        <item x="750"/>
        <item x="257"/>
        <item x="142"/>
        <item x="451"/>
        <item x="131"/>
        <item x="789"/>
        <item x="296"/>
        <item x="471"/>
        <item x="112"/>
        <item x="210"/>
        <item x="1046"/>
        <item x="607"/>
        <item x="44"/>
        <item x="1177"/>
        <item x="849"/>
        <item x="1147"/>
        <item x="200"/>
        <item x="332"/>
        <item x="821"/>
        <item x="1042"/>
        <item x="1275"/>
        <item x="661"/>
        <item x="1029"/>
        <item x="832"/>
        <item x="1053"/>
        <item x="1041"/>
        <item x="1294"/>
        <item x="788"/>
        <item x="725"/>
        <item x="702"/>
        <item x="339"/>
        <item x="660"/>
        <item x="867"/>
        <item x="151"/>
        <item x="545"/>
        <item x="1253"/>
        <item x="454"/>
        <item x="4"/>
        <item x="1018"/>
        <item x="398"/>
        <item x="482"/>
        <item x="555"/>
        <item x="65"/>
        <item x="1257"/>
        <item x="689"/>
        <item x="147"/>
        <item x="530"/>
        <item x="500"/>
        <item x="278"/>
        <item x="1244"/>
        <item x="876"/>
        <item x="1065"/>
        <item x="453"/>
        <item x="1110"/>
        <item x="948"/>
        <item x="1024"/>
        <item x="964"/>
        <item x="843"/>
        <item x="920"/>
        <item x="119"/>
        <item x="354"/>
        <item x="186"/>
        <item x="106"/>
        <item x="703"/>
        <item x="558"/>
        <item x="869"/>
        <item x="363"/>
        <item x="1192"/>
        <item x="937"/>
        <item x="865"/>
        <item x="1125"/>
        <item x="960"/>
        <item x="291"/>
        <item x="1195"/>
        <item x="415"/>
        <item x="290"/>
        <item x="1135"/>
        <item x="262"/>
        <item x="790"/>
        <item x="650"/>
        <item x="421"/>
        <item x="413"/>
        <item x="1166"/>
        <item x="1106"/>
        <item x="1027"/>
        <item x="1247"/>
        <item x="966"/>
        <item x="1100"/>
        <item x="437"/>
        <item x="215"/>
        <item x="597"/>
        <item x="254"/>
        <item x="1064"/>
        <item x="492"/>
        <item x="902"/>
        <item x="641"/>
        <item x="209"/>
        <item x="1231"/>
        <item x="247"/>
        <item x="576"/>
        <item x="1205"/>
        <item x="537"/>
        <item x="1170"/>
        <item x="1220"/>
        <item x="896"/>
        <item x="439"/>
        <item x="1236"/>
        <item x="602"/>
        <item x="463"/>
        <item x="452"/>
        <item x="822"/>
        <item x="117"/>
        <item x="1010"/>
        <item x="1058"/>
        <item x="759"/>
        <item x="986"/>
        <item x="40"/>
        <item x="1201"/>
        <item x="42"/>
        <item x="350"/>
        <item x="1014"/>
        <item x="523"/>
        <item x="835"/>
        <item x="265"/>
        <item x="308"/>
        <item x="29"/>
        <item x="998"/>
        <item x="288"/>
        <item x="552"/>
        <item x="399"/>
        <item x="919"/>
        <item x="683"/>
        <item x="1108"/>
        <item x="1250"/>
        <item x="276"/>
        <item x="824"/>
        <item x="1048"/>
        <item x="512"/>
        <item x="503"/>
        <item x="609"/>
        <item x="803"/>
        <item x="772"/>
        <item x="1054"/>
        <item x="744"/>
        <item x="425"/>
        <item x="810"/>
        <item x="700"/>
        <item x="80"/>
        <item x="715"/>
        <item x="1145"/>
        <item x="14"/>
        <item x="86"/>
        <item x="1172"/>
        <item x="468"/>
        <item x="248"/>
        <item x="854"/>
        <item x="410"/>
        <item x="432"/>
        <item x="622"/>
        <item x="1101"/>
        <item x="176"/>
        <item x="709"/>
        <item x="918"/>
        <item x="1063"/>
        <item x="795"/>
        <item x="1204"/>
        <item x="1000"/>
        <item x="1051"/>
        <item x="995"/>
        <item x="394"/>
        <item x="1285"/>
        <item x="256"/>
        <item x="3"/>
        <item x="554"/>
        <item x="1148"/>
        <item x="45"/>
        <item x="542"/>
        <item x="1082"/>
        <item x="49"/>
        <item x="1227"/>
        <item x="727"/>
        <item x="9"/>
        <item x="1162"/>
        <item x="1153"/>
        <item x="1004"/>
        <item x="904"/>
        <item x="777"/>
        <item x="395"/>
        <item x="204"/>
        <item x="1262"/>
        <item x="31"/>
        <item x="377"/>
        <item x="1097"/>
        <item x="583"/>
        <item x="1223"/>
        <item x="526"/>
        <item x="1113"/>
        <item x="856"/>
        <item x="584"/>
        <item x="981"/>
        <item x="993"/>
        <item x="374"/>
        <item x="449"/>
        <item x="590"/>
        <item x="239"/>
        <item x="1238"/>
        <item x="479"/>
        <item x="884"/>
        <item x="188"/>
        <item x="601"/>
        <item x="457"/>
        <item x="573"/>
        <item x="524"/>
        <item x="567"/>
        <item x="54"/>
        <item x="1091"/>
        <item x="329"/>
        <item x="336"/>
        <item x="1138"/>
        <item x="1007"/>
        <item x="540"/>
        <item x="1185"/>
        <item x="244"/>
        <item x="753"/>
        <item x="1038"/>
        <item x="99"/>
        <item x="932"/>
        <item x="286"/>
        <item x="549"/>
        <item x="1212"/>
        <item x="488"/>
        <item x="698"/>
        <item x="1109"/>
        <item x="883"/>
        <item x="729"/>
        <item x="121"/>
        <item x="852"/>
        <item x="1130"/>
        <item x="59"/>
        <item x="605"/>
        <item x="927"/>
        <item x="1092"/>
        <item x="675"/>
        <item x="742"/>
        <item x="629"/>
        <item x="206"/>
        <item x="1011"/>
        <item x="982"/>
        <item x="888"/>
        <item x="368"/>
        <item x="1183"/>
        <item x="1156"/>
        <item x="881"/>
        <item x="137"/>
        <item x="1134"/>
        <item x="237"/>
        <item x="1045"/>
        <item x="924"/>
        <item x="857"/>
        <item x="315"/>
        <item x="252"/>
        <item x="473"/>
        <item x="1208"/>
        <item x="794"/>
        <item x="1105"/>
        <item x="635"/>
        <item x="984"/>
        <item x="680"/>
        <item x="1001"/>
        <item x="751"/>
        <item x="860"/>
        <item x="433"/>
        <item x="691"/>
        <item x="1119"/>
        <item x="1061"/>
        <item x="999"/>
        <item x="77"/>
        <item x="778"/>
        <item x="568"/>
        <item x="154"/>
        <item x="962"/>
        <item x="737"/>
        <item x="400"/>
        <item x="879"/>
        <item x="739"/>
        <item x="71"/>
        <item x="201"/>
        <item x="1023"/>
        <item x="776"/>
        <item x="214"/>
        <item x="992"/>
        <item x="317"/>
        <item x="1241"/>
        <item x="298"/>
        <item x="293"/>
        <item x="871"/>
        <item x="1099"/>
        <item x="599"/>
        <item x="579"/>
        <item x="1158"/>
        <item x="979"/>
        <item x="458"/>
        <item x="340"/>
        <item x="148"/>
        <item x="636"/>
        <item x="456"/>
        <item x="600"/>
        <item x="1233"/>
        <item x="79"/>
        <item x="833"/>
        <item x="420"/>
        <item x="63"/>
        <item x="1228"/>
        <item x="495"/>
        <item x="1037"/>
        <item x="731"/>
        <item x="409"/>
        <item x="1040"/>
        <item x="656"/>
        <item x="1088"/>
        <item x="1240"/>
        <item x="474"/>
        <item x="52"/>
        <item x="418"/>
        <item x="165"/>
        <item x="10"/>
        <item x="640"/>
        <item x="24"/>
        <item x="140"/>
        <item x="866"/>
        <item x="367"/>
        <item x="7"/>
        <item x="279"/>
        <item x="36"/>
        <item x="520"/>
        <item x="387"/>
        <item x="187"/>
        <item x="240"/>
        <item x="430"/>
        <item x="1129"/>
        <item x="878"/>
        <item x="118"/>
        <item x="20"/>
        <item x="745"/>
        <item x="1276"/>
        <item x="996"/>
        <item x="936"/>
        <item x="306"/>
        <item x="134"/>
        <item x="91"/>
        <item x="424"/>
        <item x="347"/>
        <item x="83"/>
        <item x="726"/>
        <item x="366"/>
        <item x="1175"/>
        <item x="307"/>
        <item x="646"/>
        <item x="323"/>
        <item x="442"/>
        <item x="593"/>
        <item x="381"/>
        <item x="359"/>
        <item x="1203"/>
        <item x="1039"/>
        <item x="511"/>
        <item x="498"/>
        <item x="78"/>
        <item x="330"/>
        <item x="664"/>
        <item x="642"/>
        <item x="1052"/>
        <item x="596"/>
        <item x="938"/>
        <item x="1290"/>
        <item x="954"/>
        <item x="818"/>
        <item x="743"/>
        <item x="591"/>
        <item x="768"/>
        <item x="990"/>
        <item x="370"/>
        <item x="416"/>
        <item x="17"/>
        <item x="1152"/>
        <item x="483"/>
        <item x="273"/>
        <item x="1160"/>
        <item x="12"/>
        <item x="1288"/>
        <item x="16"/>
        <item x="1209"/>
        <item x="630"/>
        <item x="1030"/>
        <item x="70"/>
        <item x="1049"/>
        <item x="120"/>
        <item x="1194"/>
        <item x="598"/>
        <item x="1184"/>
        <item x="506"/>
        <item x="480"/>
        <item x="1299"/>
        <item x="800"/>
        <item x="721"/>
        <item x="562"/>
        <item x="235"/>
        <item x="88"/>
        <item x="443"/>
        <item x="758"/>
        <item x="806"/>
        <item x="909"/>
        <item x="197"/>
        <item x="595"/>
        <item x="403"/>
        <item x="205"/>
        <item x="259"/>
        <item x="225"/>
        <item x="971"/>
        <item x="275"/>
        <item x="261"/>
        <item x="378"/>
        <item x="274"/>
        <item x="183"/>
        <item x="1173"/>
        <item x="1060"/>
        <item x="1222"/>
        <item x="144"/>
        <item x="229"/>
        <item x="202"/>
        <item x="127"/>
        <item x="1034"/>
        <item x="527"/>
        <item x="740"/>
        <item x="1139"/>
        <item x="823"/>
        <item x="529"/>
        <item x="41"/>
        <item x="614"/>
        <item x="190"/>
        <item x="149"/>
        <item x="497"/>
        <item x="1215"/>
        <item x="771"/>
        <item x="983"/>
        <item x="107"/>
        <item x="756"/>
        <item x="47"/>
        <item x="344"/>
        <item x="550"/>
        <item x="411"/>
        <item x="1112"/>
        <item x="198"/>
        <item x="989"/>
        <item x="486"/>
        <item x="1127"/>
        <item x="830"/>
        <item x="166"/>
        <item x="679"/>
        <item x="1115"/>
        <item x="1102"/>
        <item x="402"/>
        <item x="11"/>
        <item x="651"/>
        <item x="95"/>
        <item x="269"/>
        <item x="619"/>
        <item x="566"/>
        <item x="312"/>
        <item x="816"/>
        <item x="578"/>
        <item x="238"/>
        <item x="785"/>
        <item x="1200"/>
        <item x="193"/>
        <item x="897"/>
        <item x="109"/>
        <item x="618"/>
        <item x="158"/>
        <item x="1043"/>
        <item x="1211"/>
        <item x="346"/>
        <item x="985"/>
        <item x="508"/>
        <item x="295"/>
        <item x="156"/>
        <item x="741"/>
        <item x="289"/>
        <item x="844"/>
        <item x="113"/>
        <item x="1297"/>
        <item x="25"/>
        <item x="94"/>
        <item x="1186"/>
        <item x="360"/>
        <item x="697"/>
        <item x="1090"/>
        <item x="535"/>
        <item x="829"/>
        <item x="426"/>
        <item x="284"/>
        <item x="539"/>
        <item x="934"/>
        <item x="266"/>
        <item x="1167"/>
        <item x="391"/>
        <item x="465"/>
        <item x="196"/>
        <item x="687"/>
        <item x="678"/>
        <item x="173"/>
        <item x="122"/>
        <item x="850"/>
        <item x="90"/>
        <item x="531"/>
        <item x="1171"/>
        <item x="610"/>
        <item x="43"/>
        <item x="136"/>
        <item x="1293"/>
        <item x="1190"/>
        <item x="459"/>
        <item x="889"/>
        <item x="384"/>
        <item x="1047"/>
        <item x="53"/>
        <item x="1016"/>
        <item x="551"/>
        <item x="230"/>
        <item x="556"/>
        <item x="48"/>
        <item x="441"/>
        <item x="1062"/>
        <item x="991"/>
        <item x="1254"/>
        <item x="915"/>
        <item x="349"/>
        <item x="620"/>
        <item x="6"/>
        <item x="116"/>
        <item x="184"/>
        <item x="233"/>
        <item x="1264"/>
        <item x="57"/>
        <item x="1076"/>
        <item x="719"/>
        <item x="241"/>
        <item x="1120"/>
        <item x="263"/>
        <item x="143"/>
        <item x="1248"/>
        <item x="1069"/>
        <item x="767"/>
        <item x="227"/>
        <item x="1165"/>
        <item x="81"/>
        <item x="757"/>
        <item x="175"/>
        <item x="8"/>
        <item x="723"/>
        <item x="942"/>
        <item x="234"/>
        <item x="754"/>
        <item x="300"/>
        <item x="1140"/>
        <item x="755"/>
        <item x="357"/>
        <item x="714"/>
        <item x="974"/>
        <item x="811"/>
        <item x="462"/>
        <item x="32"/>
        <item x="838"/>
        <item x="817"/>
        <item x="343"/>
        <item x="338"/>
        <item x="319"/>
        <item x="419"/>
        <item x="969"/>
        <item x="581"/>
        <item x="863"/>
        <item x="126"/>
        <item x="907"/>
        <item x="801"/>
        <item x="1179"/>
        <item x="616"/>
        <item x="663"/>
        <item x="404"/>
        <item x="371"/>
        <item x="797"/>
        <item x="781"/>
        <item x="1084"/>
        <item x="185"/>
        <item x="38"/>
        <item x="1199"/>
        <item x="435"/>
        <item x="782"/>
        <item x="172"/>
        <item x="517"/>
        <item x="283"/>
        <item x="145"/>
        <item x="129"/>
        <item x="253"/>
        <item x="940"/>
        <item x="13"/>
        <item x="226"/>
        <item x="422"/>
        <item x="108"/>
        <item x="388"/>
        <item x="484"/>
        <item x="1128"/>
        <item x="260"/>
        <item x="1137"/>
        <item x="766"/>
        <item x="631"/>
        <item x="287"/>
        <item x="1146"/>
        <item x="572"/>
        <item x="251"/>
        <item x="644"/>
        <item x="712"/>
        <item x="1116"/>
        <item x="356"/>
        <item x="837"/>
        <item x="128"/>
        <item x="50"/>
        <item x="1025"/>
        <item x="428"/>
        <item x="481"/>
        <item x="1070"/>
        <item x="101"/>
        <item x="1239"/>
        <item x="255"/>
        <item x="820"/>
        <item x="674"/>
        <item x="73"/>
        <item x="103"/>
        <item x="85"/>
        <item x="1095"/>
        <item x="406"/>
        <item x="397"/>
        <item x="33"/>
        <item x="22"/>
        <item x="543"/>
        <item x="730"/>
        <item x="842"/>
        <item x="311"/>
        <item x="588"/>
        <item x="383"/>
        <item x="102"/>
        <item x="1295"/>
        <item x="1157"/>
        <item x="164"/>
        <item x="228"/>
        <item x="1141"/>
        <item x="27"/>
        <item x="1079"/>
        <item x="466"/>
        <item x="74"/>
        <item x="55"/>
        <item x="947"/>
        <item x="639"/>
        <item x="23"/>
        <item x="382"/>
        <item x="522"/>
        <item x="351"/>
        <item x="1176"/>
        <item x="913"/>
        <item x="177"/>
        <item x="487"/>
        <item x="152"/>
        <item x="657"/>
        <item x="1180"/>
        <item x="472"/>
        <item x="634"/>
        <item x="460"/>
        <item x="786"/>
        <item x="92"/>
        <item x="477"/>
        <item x="887"/>
        <item x="243"/>
        <item x="1150"/>
        <item x="952"/>
        <item x="436"/>
        <item x="1281"/>
        <item x="431"/>
        <item x="412"/>
        <item x="150"/>
        <item x="393"/>
        <item x="5"/>
        <item x="1122"/>
        <item x="304"/>
        <item x="324"/>
        <item x="1235"/>
        <item x="1003"/>
        <item x="808"/>
        <item x="303"/>
        <item x="665"/>
        <item x="87"/>
        <item x="61"/>
        <item x="320"/>
        <item x="1265"/>
        <item x="75"/>
        <item x="285"/>
        <item x="900"/>
        <item x="396"/>
        <item x="104"/>
        <item x="271"/>
        <item x="299"/>
        <item x="213"/>
        <item x="313"/>
        <item x="470"/>
        <item x="496"/>
        <item x="525"/>
        <item x="268"/>
        <item x="335"/>
        <item x="570"/>
        <item x="281"/>
        <item x="292"/>
        <item x="318"/>
        <item x="161"/>
        <item x="352"/>
        <item x="277"/>
        <item x="469"/>
        <item x="170"/>
        <item x="611"/>
        <item x="547"/>
        <item x="178"/>
        <item x="455"/>
        <item x="684"/>
        <item x="1073"/>
        <item x="341"/>
        <item x="98"/>
        <item x="1107"/>
        <item x="1206"/>
        <item x="922"/>
        <item x="348"/>
        <item x="877"/>
        <item x="710"/>
        <item x="1225"/>
        <item x="1189"/>
        <item x="250"/>
        <item x="1015"/>
        <item x="181"/>
        <item x="362"/>
        <item x="476"/>
        <item x="1168"/>
        <item x="1008"/>
        <item x="429"/>
        <item x="376"/>
        <item x="408"/>
        <item x="192"/>
        <item x="58"/>
        <item x="18"/>
        <item x="379"/>
        <item x="373"/>
        <item x="847"/>
        <item x="115"/>
        <item x="489"/>
        <item x="224"/>
        <item x="414"/>
        <item x="245"/>
        <item x="361"/>
        <item x="246"/>
        <item x="111"/>
        <item x="364"/>
        <item x="69"/>
        <item x="841"/>
        <item x="218"/>
        <item x="195"/>
        <item x="96"/>
        <item x="272"/>
        <item x="242"/>
        <item x="965"/>
        <item x="207"/>
        <item x="334"/>
        <item x="15"/>
        <item x="35"/>
        <item x="133"/>
        <item x="21"/>
        <item x="390"/>
        <item x="216"/>
        <item x="146"/>
        <item x="302"/>
        <item x="864"/>
        <item x="467"/>
        <item x="1117"/>
        <item x="157"/>
        <item x="130"/>
        <item x="541"/>
        <item x="380"/>
        <item x="325"/>
        <item x="533"/>
        <item x="358"/>
        <item x="444"/>
        <item x="553"/>
        <item x="46"/>
        <item x="662"/>
        <item x="68"/>
        <item x="163"/>
        <item x="30"/>
        <item x="493"/>
        <item x="124"/>
        <item x="423"/>
        <item x="310"/>
        <item x="886"/>
        <item x="138"/>
        <item x="345"/>
        <item x="199"/>
        <item x="67"/>
        <item x="168"/>
        <item x="236"/>
        <item x="862"/>
        <item x="717"/>
        <item x="450"/>
        <item x="1243"/>
        <item x="297"/>
        <item x="294"/>
        <item x="189"/>
        <item x="155"/>
        <item x="331"/>
        <item x="37"/>
        <item x="445"/>
        <item x="417"/>
        <item x="513"/>
        <item x="792"/>
        <item x="490"/>
        <item x="501"/>
        <item x="26"/>
        <item x="125"/>
        <item x="890"/>
        <item x="475"/>
        <item x="385"/>
        <item x="440"/>
        <item x="171"/>
        <item x="282"/>
        <item x="82"/>
        <item x="353"/>
        <item x="309"/>
        <item x="322"/>
        <item x="34"/>
        <item x="123"/>
        <item x="1188"/>
        <item x="93"/>
        <item x="221"/>
        <item x="438"/>
        <item x="1287"/>
        <item x="447"/>
        <item x="752"/>
        <item x="1202"/>
        <item x="1026"/>
        <item x="963"/>
        <item x="1126"/>
        <item x="1207"/>
        <item x="882"/>
        <item x="812"/>
        <item x="1252"/>
        <item x="874"/>
        <item x="1020"/>
        <item x="925"/>
        <item x="713"/>
        <item x="548"/>
        <item x="1059"/>
        <item x="898"/>
        <item x="706"/>
        <item x="764"/>
        <item x="769"/>
        <item x="774"/>
        <item x="1071"/>
        <item x="1136"/>
        <item x="861"/>
        <item x="804"/>
        <item x="911"/>
        <item x="722"/>
        <item x="977"/>
        <item x="604"/>
        <item x="1118"/>
        <item x="1181"/>
        <item x="557"/>
        <item x="1044"/>
        <item x="763"/>
        <item x="836"/>
        <item x="846"/>
        <item x="516"/>
        <item x="1098"/>
        <item x="666"/>
        <item x="1159"/>
        <item x="1154"/>
        <item x="826"/>
        <item x="783"/>
        <item x="1182"/>
        <item x="970"/>
        <item x="732"/>
        <item x="894"/>
        <item x="875"/>
        <item x="536"/>
        <item x="1277"/>
        <item x="1103"/>
        <item x="1085"/>
        <item x="967"/>
        <item x="1242"/>
        <item x="1291"/>
        <item x="1121"/>
        <item x="659"/>
        <item x="926"/>
        <item x="961"/>
        <item x="72"/>
        <item x="507"/>
        <item x="574"/>
        <item x="632"/>
        <item x="1087"/>
        <item x="976"/>
        <item x="796"/>
        <item x="222"/>
        <item x="606"/>
        <item x="585"/>
        <item x="749"/>
        <item x="707"/>
        <item x="733"/>
        <item x="594"/>
        <item x="880"/>
        <item x="959"/>
        <item x="1075"/>
        <item x="658"/>
        <item x="716"/>
        <item x="141"/>
        <item x="1056"/>
        <item x="1132"/>
        <item x="1251"/>
        <item x="1123"/>
        <item x="538"/>
        <item x="1187"/>
        <item x="580"/>
        <item x="1246"/>
        <item x="851"/>
        <item x="770"/>
        <item x="951"/>
        <item x="1224"/>
        <item x="814"/>
        <item x="807"/>
        <item x="561"/>
        <item x="747"/>
        <item x="761"/>
        <item x="1036"/>
        <item x="827"/>
        <item x="941"/>
        <item x="1083"/>
        <item x="514"/>
        <item x="695"/>
        <item x="908"/>
        <item x="427"/>
        <item x="623"/>
        <item x="672"/>
        <item x="586"/>
        <item x="582"/>
        <item x="891"/>
        <item x="988"/>
        <item x="628"/>
        <item x="958"/>
        <item x="648"/>
        <item x="809"/>
        <item x="825"/>
        <item x="735"/>
        <item x="987"/>
        <item x="1035"/>
        <item x="1272"/>
        <item x="613"/>
        <item x="780"/>
        <item x="734"/>
        <item x="1144"/>
        <item x="1214"/>
        <item x="1169"/>
        <item x="643"/>
        <item x="848"/>
        <item x="1005"/>
        <item x="738"/>
        <item x="645"/>
        <item x="798"/>
        <item x="592"/>
        <item x="955"/>
        <item x="1286"/>
        <item x="1078"/>
        <item x="1093"/>
        <item x="939"/>
        <item x="1067"/>
        <item x="560"/>
        <item x="544"/>
        <item x="521"/>
        <item x="834"/>
        <item x="1268"/>
        <item x="957"/>
        <item x="515"/>
        <item x="532"/>
        <item x="655"/>
        <item x="928"/>
        <item x="1274"/>
        <item x="509"/>
        <item x="779"/>
        <item x="564"/>
        <item x="528"/>
        <item x="1296"/>
        <item x="1221"/>
        <item x="828"/>
        <item x="504"/>
        <item x="765"/>
        <item x="649"/>
        <item x="633"/>
        <item x="1219"/>
        <item x="589"/>
        <item x="933"/>
        <item x="676"/>
        <item x="736"/>
        <item x="608"/>
        <item x="1002"/>
        <item x="1009"/>
        <item x="1114"/>
        <item x="1218"/>
        <item x="914"/>
        <item x="968"/>
        <item x="775"/>
        <item x="1021"/>
        <item x="1193"/>
        <item x="1131"/>
        <item x="647"/>
        <item x="1089"/>
        <item x="845"/>
        <item x="906"/>
        <item x="1249"/>
        <item x="686"/>
        <item x="1163"/>
        <item x="943"/>
        <item x="912"/>
        <item x="1213"/>
        <item x="502"/>
        <item x="1155"/>
        <item x="853"/>
        <item x="1289"/>
        <item x="670"/>
        <item x="708"/>
        <item x="1283"/>
        <item x="699"/>
        <item x="1298"/>
        <item x="1149"/>
        <item x="569"/>
        <item x="1094"/>
        <item x="519"/>
        <item x="668"/>
        <item x="724"/>
        <item x="787"/>
        <item x="1259"/>
        <item x="587"/>
        <item x="953"/>
        <item x="669"/>
        <item x="791"/>
        <item x="625"/>
        <item x="840"/>
        <item x="899"/>
        <item x="917"/>
        <item x="1111"/>
        <item x="1031"/>
        <item x="975"/>
        <item x="748"/>
        <item x="718"/>
        <item x="793"/>
        <item x="565"/>
        <item x="813"/>
        <item x="784"/>
        <item x="799"/>
        <item x="1261"/>
        <item x="681"/>
        <item x="1124"/>
        <item x="1164"/>
        <item x="1196"/>
        <item x="682"/>
        <item x="1174"/>
        <item x="1229"/>
        <item t="default"/>
      </items>
    </pivotField>
    <pivotField dataField="1" compact="0" showAll="0">
      <items count="477">
        <item x="356"/>
        <item x="447"/>
        <item x="344"/>
        <item x="406"/>
        <item x="404"/>
        <item x="422"/>
        <item x="352"/>
        <item x="359"/>
        <item x="466"/>
        <item x="457"/>
        <item x="462"/>
        <item x="425"/>
        <item x="333"/>
        <item x="375"/>
        <item x="415"/>
        <item x="376"/>
        <item x="327"/>
        <item x="343"/>
        <item x="429"/>
        <item x="394"/>
        <item x="471"/>
        <item x="368"/>
        <item x="381"/>
        <item x="419"/>
        <item x="473"/>
        <item x="389"/>
        <item x="275"/>
        <item x="269"/>
        <item x="312"/>
        <item x="221"/>
        <item x="365"/>
        <item x="287"/>
        <item x="282"/>
        <item x="24"/>
        <item x="428"/>
        <item x="137"/>
        <item x="260"/>
        <item x="217"/>
        <item x="396"/>
        <item x="277"/>
        <item x="197"/>
        <item x="184"/>
        <item x="418"/>
        <item x="296"/>
        <item x="405"/>
        <item x="382"/>
        <item x="146"/>
        <item x="223"/>
        <item x="338"/>
        <item x="209"/>
        <item x="73"/>
        <item x="240"/>
        <item x="39"/>
        <item x="200"/>
        <item x="211"/>
        <item x="323"/>
        <item x="241"/>
        <item x="264"/>
        <item x="115"/>
        <item x="334"/>
        <item x="289"/>
        <item x="26"/>
        <item x="43"/>
        <item x="310"/>
        <item x="155"/>
        <item x="308"/>
        <item x="27"/>
        <item x="232"/>
        <item x="379"/>
        <item x="235"/>
        <item x="250"/>
        <item x="36"/>
        <item x="183"/>
        <item x="132"/>
        <item x="328"/>
        <item x="147"/>
        <item x="307"/>
        <item x="258"/>
        <item x="168"/>
        <item x="5"/>
        <item x="117"/>
        <item x="299"/>
        <item x="295"/>
        <item x="220"/>
        <item x="281"/>
        <item x="173"/>
        <item x="174"/>
        <item x="400"/>
        <item x="14"/>
        <item x="69"/>
        <item x="194"/>
        <item x="245"/>
        <item x="175"/>
        <item x="438"/>
        <item x="263"/>
        <item x="3"/>
        <item x="273"/>
        <item x="81"/>
        <item x="255"/>
        <item x="0"/>
        <item x="341"/>
        <item x="195"/>
        <item x="21"/>
        <item x="44"/>
        <item x="210"/>
        <item x="90"/>
        <item x="33"/>
        <item x="10"/>
        <item x="246"/>
        <item x="113"/>
        <item x="134"/>
        <item x="237"/>
        <item x="7"/>
        <item x="78"/>
        <item x="187"/>
        <item x="254"/>
        <item x="151"/>
        <item x="29"/>
        <item x="11"/>
        <item x="150"/>
        <item x="152"/>
        <item x="459"/>
        <item x="17"/>
        <item x="226"/>
        <item x="316"/>
        <item x="125"/>
        <item x="313"/>
        <item x="290"/>
        <item x="234"/>
        <item x="212"/>
        <item x="306"/>
        <item x="164"/>
        <item x="472"/>
        <item x="233"/>
        <item x="15"/>
        <item x="56"/>
        <item x="190"/>
        <item x="270"/>
        <item x="94"/>
        <item x="198"/>
        <item x="443"/>
        <item x="451"/>
        <item x="76"/>
        <item x="84"/>
        <item x="189"/>
        <item x="13"/>
        <item x="268"/>
        <item x="163"/>
        <item x="126"/>
        <item x="300"/>
        <item x="331"/>
        <item x="165"/>
        <item x="182"/>
        <item x="135"/>
        <item x="28"/>
        <item x="77"/>
        <item x="105"/>
        <item x="63"/>
        <item x="149"/>
        <item x="100"/>
        <item x="116"/>
        <item x="60"/>
        <item x="158"/>
        <item x="192"/>
        <item x="66"/>
        <item x="228"/>
        <item x="61"/>
        <item x="230"/>
        <item x="231"/>
        <item x="442"/>
        <item x="97"/>
        <item x="169"/>
        <item x="34"/>
        <item x="121"/>
        <item x="153"/>
        <item x="99"/>
        <item x="136"/>
        <item x="159"/>
        <item x="2"/>
        <item x="362"/>
        <item x="238"/>
        <item x="6"/>
        <item x="399"/>
        <item x="1"/>
        <item x="62"/>
        <item x="19"/>
        <item x="91"/>
        <item x="38"/>
        <item x="236"/>
        <item x="244"/>
        <item x="82"/>
        <item x="154"/>
        <item x="374"/>
        <item x="285"/>
        <item x="102"/>
        <item x="71"/>
        <item x="253"/>
        <item x="162"/>
        <item x="47"/>
        <item x="252"/>
        <item x="294"/>
        <item x="219"/>
        <item x="225"/>
        <item x="276"/>
        <item x="106"/>
        <item x="104"/>
        <item x="305"/>
        <item x="127"/>
        <item x="393"/>
        <item x="138"/>
        <item x="427"/>
        <item x="110"/>
        <item x="31"/>
        <item x="196"/>
        <item x="216"/>
        <item x="131"/>
        <item x="16"/>
        <item x="413"/>
        <item x="267"/>
        <item x="42"/>
        <item x="453"/>
        <item x="292"/>
        <item x="208"/>
        <item x="388"/>
        <item x="64"/>
        <item x="265"/>
        <item x="342"/>
        <item x="461"/>
        <item x="142"/>
        <item x="408"/>
        <item x="88"/>
        <item x="371"/>
        <item x="439"/>
        <item x="85"/>
        <item x="203"/>
        <item x="348"/>
        <item x="449"/>
        <item x="12"/>
        <item x="176"/>
        <item x="424"/>
        <item x="215"/>
        <item x="345"/>
        <item x="369"/>
        <item x="103"/>
        <item x="387"/>
        <item x="446"/>
        <item x="448"/>
        <item x="40"/>
        <item x="22"/>
        <item x="141"/>
        <item x="139"/>
        <item x="391"/>
        <item x="385"/>
        <item x="444"/>
        <item x="111"/>
        <item x="98"/>
        <item x="409"/>
        <item x="314"/>
        <item x="286"/>
        <item x="213"/>
        <item x="456"/>
        <item x="332"/>
        <item x="58"/>
        <item x="278"/>
        <item x="188"/>
        <item x="463"/>
        <item x="470"/>
        <item x="143"/>
        <item x="243"/>
        <item x="166"/>
        <item x="191"/>
        <item x="262"/>
        <item x="20"/>
        <item x="161"/>
        <item x="222"/>
        <item x="318"/>
        <item x="8"/>
        <item x="322"/>
        <item x="339"/>
        <item x="130"/>
        <item x="468"/>
        <item x="351"/>
        <item x="109"/>
        <item x="4"/>
        <item x="65"/>
        <item x="431"/>
        <item x="30"/>
        <item x="101"/>
        <item x="349"/>
        <item x="55"/>
        <item x="426"/>
        <item x="53"/>
        <item x="114"/>
        <item x="202"/>
        <item x="35"/>
        <item x="383"/>
        <item x="372"/>
        <item x="9"/>
        <item x="301"/>
        <item x="239"/>
        <item x="119"/>
        <item x="437"/>
        <item x="247"/>
        <item x="93"/>
        <item x="370"/>
        <item x="74"/>
        <item x="330"/>
        <item x="469"/>
        <item x="249"/>
        <item x="354"/>
        <item x="315"/>
        <item x="324"/>
        <item x="271"/>
        <item x="346"/>
        <item x="454"/>
        <item x="224"/>
        <item x="148"/>
        <item x="378"/>
        <item x="206"/>
        <item x="25"/>
        <item x="380"/>
        <item x="48"/>
        <item x="140"/>
        <item x="95"/>
        <item x="458"/>
        <item x="156"/>
        <item x="355"/>
        <item x="207"/>
        <item x="178"/>
        <item x="363"/>
        <item x="392"/>
        <item x="257"/>
        <item x="434"/>
        <item x="279"/>
        <item x="80"/>
        <item x="304"/>
        <item x="205"/>
        <item x="403"/>
        <item x="353"/>
        <item x="248"/>
        <item x="214"/>
        <item x="92"/>
        <item x="54"/>
        <item x="297"/>
        <item x="133"/>
        <item x="284"/>
        <item x="441"/>
        <item x="367"/>
        <item x="227"/>
        <item x="242"/>
        <item x="144"/>
        <item x="395"/>
        <item x="445"/>
        <item x="475"/>
        <item x="129"/>
        <item x="171"/>
        <item x="180"/>
        <item x="179"/>
        <item x="193"/>
        <item x="83"/>
        <item x="337"/>
        <item x="160"/>
        <item x="321"/>
        <item x="177"/>
        <item x="303"/>
        <item x="398"/>
        <item x="128"/>
        <item x="218"/>
        <item x="350"/>
        <item x="112"/>
        <item x="416"/>
        <item x="390"/>
        <item x="319"/>
        <item x="450"/>
        <item x="266"/>
        <item x="311"/>
        <item x="386"/>
        <item x="120"/>
        <item x="57"/>
        <item x="68"/>
        <item x="407"/>
        <item x="70"/>
        <item x="325"/>
        <item x="347"/>
        <item x="412"/>
        <item x="229"/>
        <item x="357"/>
        <item x="384"/>
        <item x="122"/>
        <item x="172"/>
        <item x="45"/>
        <item x="67"/>
        <item x="79"/>
        <item x="157"/>
        <item x="199"/>
        <item x="397"/>
        <item x="280"/>
        <item x="460"/>
        <item x="298"/>
        <item x="145"/>
        <item x="358"/>
        <item x="414"/>
        <item x="432"/>
        <item x="455"/>
        <item x="309"/>
        <item x="259"/>
        <item x="326"/>
        <item x="373"/>
        <item x="474"/>
        <item x="118"/>
        <item x="465"/>
        <item x="440"/>
        <item x="251"/>
        <item x="50"/>
        <item x="288"/>
        <item x="86"/>
        <item x="317"/>
        <item x="51"/>
        <item x="18"/>
        <item x="181"/>
        <item x="186"/>
        <item x="402"/>
        <item x="377"/>
        <item x="467"/>
        <item x="49"/>
        <item x="291"/>
        <item x="124"/>
        <item x="72"/>
        <item x="436"/>
        <item x="420"/>
        <item x="283"/>
        <item x="336"/>
        <item x="123"/>
        <item x="75"/>
        <item x="411"/>
        <item x="410"/>
        <item x="32"/>
        <item x="204"/>
        <item x="87"/>
        <item x="52"/>
        <item x="366"/>
        <item x="417"/>
        <item x="41"/>
        <item x="201"/>
        <item x="108"/>
        <item x="272"/>
        <item x="302"/>
        <item x="464"/>
        <item x="170"/>
        <item x="46"/>
        <item x="59"/>
        <item x="421"/>
        <item x="433"/>
        <item x="256"/>
        <item x="320"/>
        <item x="167"/>
        <item x="329"/>
        <item x="452"/>
        <item x="435"/>
        <item x="261"/>
        <item x="185"/>
        <item x="23"/>
        <item x="361"/>
        <item x="274"/>
        <item x="293"/>
        <item x="37"/>
        <item x="96"/>
        <item x="335"/>
        <item x="360"/>
        <item x="401"/>
        <item x="364"/>
        <item x="89"/>
        <item x="430"/>
        <item x="423"/>
        <item x="340"/>
        <item x="107"/>
        <item t="default"/>
      </items>
    </pivotField>
    <pivotField dataField="1" compact="0" showAll="0">
      <items count="187">
        <item x="87"/>
        <item x="78"/>
        <item x="81"/>
        <item x="94"/>
        <item x="77"/>
        <item x="82"/>
        <item x="20"/>
        <item x="52"/>
        <item x="64"/>
        <item x="56"/>
        <item x="1"/>
        <item x="33"/>
        <item x="61"/>
        <item x="26"/>
        <item x="6"/>
        <item x="67"/>
        <item x="73"/>
        <item x="50"/>
        <item x="4"/>
        <item x="31"/>
        <item x="47"/>
        <item x="41"/>
        <item x="18"/>
        <item x="11"/>
        <item x="40"/>
        <item x="15"/>
        <item x="43"/>
        <item x="72"/>
        <item x="14"/>
        <item x="59"/>
        <item x="35"/>
        <item x="74"/>
        <item x="38"/>
        <item x="39"/>
        <item x="34"/>
        <item x="54"/>
        <item x="21"/>
        <item x="0"/>
        <item x="53"/>
        <item x="28"/>
        <item x="7"/>
        <item x="23"/>
        <item x="68"/>
        <item x="58"/>
        <item x="29"/>
        <item x="57"/>
        <item x="8"/>
        <item x="49"/>
        <item x="37"/>
        <item x="3"/>
        <item x="75"/>
        <item x="62"/>
        <item x="63"/>
        <item x="32"/>
        <item x="5"/>
        <item x="25"/>
        <item x="69"/>
        <item x="36"/>
        <item x="22"/>
        <item x="70"/>
        <item x="12"/>
        <item x="66"/>
        <item x="42"/>
        <item x="19"/>
        <item x="51"/>
        <item x="60"/>
        <item x="46"/>
        <item x="24"/>
        <item x="16"/>
        <item x="9"/>
        <item x="55"/>
        <item x="27"/>
        <item x="48"/>
        <item x="30"/>
        <item x="45"/>
        <item x="2"/>
        <item x="13"/>
        <item x="10"/>
        <item x="17"/>
        <item x="114"/>
        <item x="104"/>
        <item x="108"/>
        <item x="105"/>
        <item x="109"/>
        <item x="99"/>
        <item x="173"/>
        <item x="91"/>
        <item x="167"/>
        <item x="127"/>
        <item x="95"/>
        <item x="166"/>
        <item x="178"/>
        <item x="65"/>
        <item x="118"/>
        <item x="177"/>
        <item x="103"/>
        <item x="148"/>
        <item x="133"/>
        <item x="161"/>
        <item x="71"/>
        <item x="142"/>
        <item x="76"/>
        <item x="44"/>
        <item x="128"/>
        <item x="169"/>
        <item x="130"/>
        <item x="123"/>
        <item x="126"/>
        <item x="129"/>
        <item x="100"/>
        <item x="102"/>
        <item x="115"/>
        <item x="183"/>
        <item x="146"/>
        <item x="157"/>
        <item x="154"/>
        <item x="120"/>
        <item x="139"/>
        <item x="84"/>
        <item x="145"/>
        <item x="179"/>
        <item x="124"/>
        <item x="85"/>
        <item x="117"/>
        <item x="122"/>
        <item x="80"/>
        <item x="170"/>
        <item x="171"/>
        <item x="98"/>
        <item x="176"/>
        <item x="159"/>
        <item x="93"/>
        <item x="90"/>
        <item x="172"/>
        <item x="165"/>
        <item x="96"/>
        <item x="144"/>
        <item x="125"/>
        <item x="153"/>
        <item x="151"/>
        <item x="152"/>
        <item x="141"/>
        <item x="147"/>
        <item x="175"/>
        <item x="182"/>
        <item x="92"/>
        <item x="101"/>
        <item x="89"/>
        <item x="160"/>
        <item x="181"/>
        <item x="135"/>
        <item x="158"/>
        <item x="163"/>
        <item x="149"/>
        <item x="156"/>
        <item x="174"/>
        <item x="113"/>
        <item x="119"/>
        <item x="136"/>
        <item x="106"/>
        <item x="185"/>
        <item x="168"/>
        <item x="162"/>
        <item x="131"/>
        <item x="79"/>
        <item x="97"/>
        <item x="110"/>
        <item x="107"/>
        <item x="150"/>
        <item x="155"/>
        <item x="83"/>
        <item x="86"/>
        <item x="112"/>
        <item x="138"/>
        <item x="134"/>
        <item x="88"/>
        <item x="180"/>
        <item x="116"/>
        <item x="132"/>
        <item x="184"/>
        <item x="143"/>
        <item x="111"/>
        <item x="137"/>
        <item x="121"/>
        <item x="140"/>
        <item x="164"/>
        <item t="default"/>
      </items>
    </pivotField>
    <pivotField compact="0" numFmtId="178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OAN AMOUNT" fld="4" subtotal="average" baseField="0" baseItem="0" numFmtId="176"/>
    <dataField name="Average of TENURE(MONTHS)" fld="6" subtotal="average" baseField="0" baseItem="0" numFmtId="1"/>
    <dataField name="Average of INTEREST RATE" fld="5" subtotal="average" baseField="0" baseItem="0" numFmtId="9"/>
  </dataFields>
  <formats count="18">
    <format dxfId="34">
      <pivotArea dataOnly="0" labelOnly="1" fieldPosition="0">
        <references count="1">
          <reference field="4294967294" count="1">
            <x v="2"/>
          </reference>
        </references>
      </pivotArea>
    </format>
    <format dxfId="35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36">
      <pivotArea collapsedLevelsAreSubtotals="1" fieldPosition="0">
        <references count="2">
          <reference field="8" count="1" selected="0">
            <x v="0"/>
          </reference>
          <reference field="4294967294" count="1" selected="0">
            <x v="2"/>
          </reference>
        </references>
      </pivotArea>
    </format>
    <format dxfId="37">
      <pivotArea collapsedLevelsAreSubtotals="1" fieldPosition="0">
        <references count="2">
          <reference field="8" count="1" selected="0">
            <x v="1"/>
          </reference>
          <reference field="4294967294" count="1" selected="0">
            <x v="2"/>
          </reference>
        </references>
      </pivotArea>
    </format>
    <format dxfId="38">
      <pivotArea collapsedLevelsAreSubtotals="1" fieldPosition="0">
        <references count="2">
          <reference field="8" count="1" selected="0">
            <x v="0"/>
          </reference>
          <reference field="4294967294" count="1" selected="0">
            <x v="2"/>
          </reference>
        </references>
      </pivotArea>
    </format>
    <format dxfId="39">
      <pivotArea collapsedLevelsAreSubtotals="1" fieldPosition="0">
        <references count="2">
          <reference field="8" count="1" selected="0">
            <x v="1"/>
          </reference>
          <reference field="4294967294" count="1" selected="0">
            <x v="2"/>
          </reference>
        </references>
      </pivotArea>
    </format>
    <format dxfId="40">
      <pivotArea collapsedLevelsAreSubtotals="1" fieldPosition="0">
        <references count="2">
          <reference field="8" count="1" selected="0">
            <x v="0"/>
          </reference>
          <reference field="4294967294" count="1" selected="0">
            <x v="2"/>
          </reference>
        </references>
      </pivotArea>
    </format>
    <format dxfId="41">
      <pivotArea collapsedLevelsAreSubtotals="1" fieldPosition="0">
        <references count="2">
          <reference field="8" count="1" selected="0">
            <x v="1"/>
          </reference>
          <reference field="4294967294" count="1" selected="0">
            <x v="2"/>
          </reference>
        </references>
      </pivotArea>
    </format>
    <format dxfId="42">
      <pivotArea collapsedLevelsAreSubtotals="1" fieldPosition="0">
        <references count="2">
          <reference field="8" count="1" selected="0">
            <x v="0"/>
          </reference>
          <reference field="4294967294" count="1" selected="0">
            <x v="2"/>
          </reference>
        </references>
      </pivotArea>
    </format>
    <format dxfId="43">
      <pivotArea collapsedLevelsAreSubtotals="1" fieldPosition="0">
        <references count="2">
          <reference field="8" count="1" selected="0">
            <x v="1"/>
          </reference>
          <reference field="4294967294" count="1" selected="0">
            <x v="2"/>
          </reference>
        </references>
      </pivotArea>
    </format>
    <format dxfId="44">
      <pivotArea collapsedLevelsAreSubtotals="1" fieldPosition="0">
        <references count="2">
          <reference field="8" count="1" selected="0">
            <x v="0"/>
          </reference>
          <reference field="4294967294" count="1" selected="0">
            <x v="2"/>
          </reference>
        </references>
      </pivotArea>
    </format>
    <format dxfId="45">
      <pivotArea collapsedLevelsAreSubtotals="1" fieldPosition="0">
        <references count="2">
          <reference field="8" count="1" selected="0">
            <x v="1"/>
          </reference>
          <reference field="4294967294" count="1" selected="0">
            <x v="2"/>
          </reference>
        </references>
      </pivotArea>
    </format>
    <format dxfId="46">
      <pivotArea collapsedLevelsAreSubtotals="1" fieldPosition="0">
        <references count="2">
          <reference field="8" count="1" selected="0">
            <x v="0"/>
          </reference>
          <reference field="4294967294" count="1" selected="0">
            <x v="2"/>
          </reference>
        </references>
      </pivotArea>
    </format>
    <format dxfId="47">
      <pivotArea collapsedLevelsAreSubtotals="1" fieldPosition="0">
        <references count="2">
          <reference field="8" count="1" selected="0">
            <x v="1"/>
          </reference>
          <reference field="4294967294" count="1" selected="0">
            <x v="2"/>
          </reference>
        </references>
      </pivotArea>
    </format>
    <format dxfId="48">
      <pivotArea collapsedLevelsAreSubtotals="1" fieldPosition="0">
        <references count="2">
          <reference field="8" count="1" selected="0">
            <x v="0"/>
          </reference>
          <reference field="4294967294" count="1" selected="0">
            <x v="2"/>
          </reference>
        </references>
      </pivotArea>
    </format>
    <format dxfId="49">
      <pivotArea collapsedLevelsAreSubtotals="1" fieldPosition="0">
        <references count="2">
          <reference field="8" count="1" selected="0">
            <x v="1"/>
          </reference>
          <reference field="4294967294" count="1" selected="0">
            <x v="2"/>
          </reference>
        </references>
      </pivotArea>
    </format>
    <format dxfId="50">
      <pivotArea collapsedLevelsAreSubtotals="1" fieldPosition="0">
        <references count="2">
          <reference field="8" count="1" selected="0">
            <x v="0"/>
          </reference>
          <reference field="4294967294" count="1" selected="0">
            <x v="2"/>
          </reference>
        </references>
      </pivotArea>
    </format>
    <format dxfId="51">
      <pivotArea collapsedLevelsAreSubtotals="1" fieldPosition="0">
        <references count="2">
          <reference field="8" count="1" selected="0">
            <x v="1"/>
          </reference>
          <reference field="4294967294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101" totalsRowShown="0">
  <autoFilter xmlns:etc="http://www.wps.cn/officeDocument/2017/etCustomData" ref="A1:O101" etc:filterBottomFollowUsedRange="0"/>
  <tableColumns count="15">
    <tableColumn id="1" name="LOAN TYPE" dataDxfId="52"/>
    <tableColumn id="2" name="QUARTER-END-DATE"/>
    <tableColumn id="3" name="QUARTERS"/>
    <tableColumn id="4" name="TOTAL ADVANCES"/>
    <tableColumn id="5" name="GROSS NPA"/>
    <tableColumn id="6" name="GNPA RATIO">
      <calculatedColumnFormula>E2/D2</calculatedColumnFormula>
    </tableColumn>
    <tableColumn id="7" name="PROVISION RATE"/>
    <tableColumn id="8" name="PROVISION">
      <calculatedColumnFormula>E2*G2</calculatedColumnFormula>
    </tableColumn>
    <tableColumn id="9" name="NET NPA">
      <calculatedColumnFormula>E2-H2</calculatedColumnFormula>
    </tableColumn>
    <tableColumn id="10" name="NPA RATIO">
      <calculatedColumnFormula>I2/D2</calculatedColumnFormula>
    </tableColumn>
    <tableColumn id="11" name="RECOVERY"/>
    <tableColumn id="12" name="NO.OF ACCOUNTS"/>
    <tableColumn id="13" name="REPO RATES"/>
    <tableColumn id="14" name="CPI"/>
    <tableColumn id="15" name="GDP"/>
  </tableColumns>
  <tableStyleInfo name="TableStylePreset8_Accent1" showFirstColumn="1" showLastColumn="0" showRowStripes="0" showColumnStripes="0"/>
</table>
</file>

<file path=xl/tables/table2.xml><?xml version="1.0" encoding="utf-8"?>
<table xmlns="http://schemas.openxmlformats.org/spreadsheetml/2006/main" id="2" name="Table2" displayName="Table2" ref="A1:H21" totalsRowShown="0">
  <autoFilter xmlns:etc="http://www.wps.cn/officeDocument/2017/etCustomData" ref="A1:H21" etc:filterBottomFollowUsedRange="0"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2" name="QUARTERS" dataDxfId="53"/>
    <tableColumn id="3" name="REPO RATE" dataDxfId="54"/>
    <tableColumn id="4" name="INFLATION RATE(YOY)" dataDxfId="55"/>
    <tableColumn id="5" name="GDP(YOY)" dataDxfId="56"/>
    <tableColumn id="6" name="CPI INFLATION" dataDxfId="57"/>
    <tableColumn id="7" name="UNEMPLOYMENT RATE (%)" dataDxfId="58"/>
    <tableColumn id="8" name="AGRI OUTPUT INDEX( BASE 100)" dataDxfId="59"/>
    <tableColumn id="9" name="INDUSTRIAL GROWTH (%)" dataDxfId="60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3" name="Table1_4" displayName="Table1_4" ref="A1:Q101" totalsRowShown="0">
  <autoFilter xmlns:etc="http://www.wps.cn/officeDocument/2017/etCustomData" ref="A1:Q101" etc:filterBottomFollowUsedRange="0"/>
  <sortState ref="A1:Q101">
    <sortCondition ref="C1"/>
  </sortState>
  <tableColumns count="17">
    <tableColumn id="1" name="LOAN TYPE"/>
    <tableColumn id="2" name="QUARTERS"/>
    <tableColumn id="3" name="QUARTER-END-DATE"/>
    <tableColumn id="4" name="TOTAL ADVANCES"/>
    <tableColumn id="5" name="GROSS NPA"/>
    <tableColumn id="6" name="GNPA RATIO" dataDxfId="61">
      <calculatedColumnFormula>E2/D2</calculatedColumnFormula>
    </tableColumn>
    <tableColumn id="16" name="GNPA CAL" dataDxfId="62">
      <calculatedColumnFormula>IFERROR(Table1_4[[#This Row],[GROSS NPA]]/Table1_4[[#This Row],[TOTAL ADVANCES]],"")</calculatedColumnFormula>
    </tableColumn>
    <tableColumn id="17" name="GNPA DIFF">
      <calculatedColumnFormula>ABS(Table1_4[[#This Row],[GNPA RATIO]]-G2)</calculatedColumnFormula>
    </tableColumn>
    <tableColumn id="7" name="PROVISION RATE"/>
    <tableColumn id="8" name="PROVISION">
      <calculatedColumnFormula>E2*I2</calculatedColumnFormula>
    </tableColumn>
    <tableColumn id="9" name="NET NPA">
      <calculatedColumnFormula>E2-J2</calculatedColumnFormula>
    </tableColumn>
    <tableColumn id="10" name="NPA RATIO">
      <calculatedColumnFormula>K2/D2</calculatedColumnFormula>
    </tableColumn>
    <tableColumn id="11" name="RECOVERY"/>
    <tableColumn id="12" name="NO.OF ACCOUNTS"/>
    <tableColumn id="13" name="REPO RATES"/>
    <tableColumn id="14" name="CPI"/>
    <tableColumn id="15" name="GDP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1301" totalsRowShown="0">
  <autoFilter xmlns:etc="http://www.wps.cn/officeDocument/2017/etCustomData" ref="A1:K1301" etc:filterBottomFollowUsedRange="0"/>
  <sortState ref="A1:K1301">
    <sortCondition ref="A1"/>
  </sortState>
  <tableColumns count="11">
    <tableColumn id="1" name="LOAN ID" dataDxfId="63"/>
    <tableColumn id="2" name="LOAN TYPE" dataDxfId="64"/>
    <tableColumn id="3" name="QUARTER" dataDxfId="65"/>
    <tableColumn id="10" name="LOAN START DATE" dataDxfId="66">
      <calculatedColumnFormula>RANDBETWEEN(DATE(2019,1,1),DATE(2019,3,31))</calculatedColumnFormula>
    </tableColumn>
    <tableColumn id="4" name="LOAN AMOUNT" dataDxfId="67"/>
    <tableColumn id="5" name="INTEREST RATE" dataDxfId="68"/>
    <tableColumn id="6" name="TENURE(MONTHS)" dataDxfId="69"/>
    <tableColumn id="7" name="OUTSTANDING LOAN" dataDxfId="70"/>
    <tableColumn id="8" name="DEFAULT STATUS" dataDxfId="71"/>
    <tableColumn id="9" name="RECOVERY AMOUNT" dataDxfId="72"/>
    <tableColumn id="11" name="PROVISION RATE(%)"/>
  </tableColumns>
  <tableStyleInfo name="TableStylePreset1_Accent3" showFirstColumn="0" showLastColumn="0" showRowStripes="1" showColumnStripes="0"/>
</table>
</file>

<file path=xl/tables/table5.xml><?xml version="1.0" encoding="utf-8"?>
<table xmlns="http://schemas.openxmlformats.org/spreadsheetml/2006/main" id="11" name="Table11" displayName="Table11" ref="A1:N1001" totalsRowShown="0">
  <autoFilter xmlns:etc="http://www.wps.cn/officeDocument/2017/etCustomData" ref="A1:N1001" etc:filterBottomFollowUsedRange="0">
    <filterColumn colId="1">
      <customFilters>
        <customFilter operator="equal" val="AGRICULTURE"/>
      </customFilters>
    </filterColumn>
  </autoFilter>
  <tableColumns count="14">
    <tableColumn id="1" name="LOAN_ID"/>
    <tableColumn id="2" name="LOAN_TYPE"/>
    <tableColumn id="3" name="QUARTER"/>
    <tableColumn id="4" name="INTEREST_RATE"/>
    <tableColumn id="5" name="LOAN_AMOUNT" dataDxfId="73"/>
    <tableColumn id="6" name="OUTSTANDING_LOAN" dataDxfId="74"/>
    <tableColumn id="7" name="DEFAULT_STATUS"/>
    <tableColumn id="8" name="RECOVERY_AMOUNT" dataDxfId="75"/>
    <tableColumn id="13" name="AGRI_OUTPUT_INDEX"/>
    <tableColumn id="9" name="REPO_RATE"/>
    <tableColumn id="10" name="INFLATION_RATE"/>
    <tableColumn id="11" name="GDP_YoY"/>
    <tableColumn id="12" name="UNEMPLOYMENT_RATE"/>
    <tableColumn id="14" name="INDUSTRIAL_GROWTH"/>
  </tableColumns>
  <tableStyleInfo name="TableStylePreset3_Accen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9"/>
  <sheetViews>
    <sheetView workbookViewId="0">
      <selection activeCell="E13" sqref="E13"/>
    </sheetView>
  </sheetViews>
  <sheetFormatPr defaultColWidth="9" defaultRowHeight="16.8" outlineLevelCol="5"/>
  <cols>
    <col min="1" max="1" width="16.6640625" customWidth="1"/>
    <col min="2" max="2" width="26.8203125" style="116" customWidth="1"/>
    <col min="3" max="3" width="24.8671875" style="117" customWidth="1"/>
    <col min="4" max="4" width="27.1875"/>
    <col min="5" max="5" width="27.1875" style="1"/>
    <col min="6" max="7" width="27.1875"/>
  </cols>
  <sheetData>
    <row r="3" spans="1:6">
      <c r="A3" t="s">
        <v>0</v>
      </c>
      <c r="B3" s="118" t="s">
        <v>1</v>
      </c>
      <c r="C3" s="119" t="s">
        <v>2</v>
      </c>
      <c r="D3" t="s">
        <v>3</v>
      </c>
      <c r="E3" s="44" t="s">
        <v>4</v>
      </c>
      <c r="F3" t="s">
        <v>5</v>
      </c>
    </row>
    <row r="4" spans="1:6">
      <c r="A4" t="s">
        <v>6</v>
      </c>
      <c r="B4" s="118">
        <v>5962361.2</v>
      </c>
      <c r="C4" s="119">
        <v>868774.8</v>
      </c>
      <c r="D4" s="54">
        <v>0.143249971035596</v>
      </c>
      <c r="E4" s="44">
        <v>253422.528</v>
      </c>
      <c r="F4" s="54">
        <v>0.0412032380485671</v>
      </c>
    </row>
    <row r="5" spans="1:6">
      <c r="A5" t="s">
        <v>7</v>
      </c>
      <c r="B5" s="118">
        <v>5664406.85</v>
      </c>
      <c r="C5" s="119">
        <v>677389.3</v>
      </c>
      <c r="D5" s="54">
        <v>0.113638631506844</v>
      </c>
      <c r="E5" s="44">
        <v>198176.3776</v>
      </c>
      <c r="F5" s="54">
        <v>0.033492082640505</v>
      </c>
    </row>
    <row r="6" spans="1:6">
      <c r="A6" t="s">
        <v>8</v>
      </c>
      <c r="B6" s="118">
        <v>24317139.05</v>
      </c>
      <c r="C6" s="119">
        <v>2377429.3</v>
      </c>
      <c r="D6" s="54">
        <v>0.0999386339800512</v>
      </c>
      <c r="E6" s="44">
        <v>675835.07815</v>
      </c>
      <c r="F6" s="54">
        <v>0.0284881256570424</v>
      </c>
    </row>
    <row r="7" spans="1:6">
      <c r="A7" t="s">
        <v>9</v>
      </c>
      <c r="B7" s="118">
        <v>8361284.1</v>
      </c>
      <c r="C7" s="119">
        <v>1832659.3</v>
      </c>
      <c r="D7" s="54">
        <v>0.246464973824493</v>
      </c>
      <c r="E7" s="44">
        <v>515751.649</v>
      </c>
      <c r="F7" s="54">
        <v>0.0698733702095649</v>
      </c>
    </row>
    <row r="8" spans="1:6">
      <c r="A8" t="s">
        <v>10</v>
      </c>
      <c r="B8" s="118">
        <v>17210334.4</v>
      </c>
      <c r="C8" s="119">
        <v>5855161.3</v>
      </c>
      <c r="D8" s="54">
        <v>0.337553783895724</v>
      </c>
      <c r="E8" s="44">
        <v>1664923.7078</v>
      </c>
      <c r="F8" s="54">
        <v>0.0954214716004202</v>
      </c>
    </row>
    <row r="9" spans="1:6">
      <c r="A9" t="s">
        <v>11</v>
      </c>
      <c r="B9" s="118">
        <v>12303105.12</v>
      </c>
      <c r="C9" s="119">
        <v>2322282.8</v>
      </c>
      <c r="D9" s="54">
        <v>0.188169198848542</v>
      </c>
      <c r="E9" s="44">
        <v>661621.86811</v>
      </c>
      <c r="F9" s="54">
        <v>0.0536956576312199</v>
      </c>
    </row>
  </sheetData>
  <conditionalFormatting sqref="D4:D8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2">
      <colorScale>
        <cfvo type="min"/>
        <cfvo type="max"/>
        <color rgb="FFFFEF9C"/>
        <color rgb="FF63BE7B"/>
      </colorScale>
    </cfRule>
  </conditionalFormatting>
  <conditionalFormatting sqref="F4:F8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zoomScale="80" zoomScaleNormal="80" topLeftCell="B1" workbookViewId="0">
      <selection activeCell="C9" sqref="C9"/>
    </sheetView>
  </sheetViews>
  <sheetFormatPr defaultColWidth="9" defaultRowHeight="16.8" outlineLevelCol="3"/>
  <cols>
    <col min="1" max="1" width="22.9375"/>
    <col min="2" max="4" width="24.1875"/>
  </cols>
  <sheetData>
    <row r="1" spans="1:2">
      <c r="A1" t="s">
        <v>0</v>
      </c>
      <c r="B1" t="s">
        <v>6</v>
      </c>
    </row>
    <row r="3" spans="1:4">
      <c r="A3" t="s">
        <v>12</v>
      </c>
      <c r="B3" t="s">
        <v>13</v>
      </c>
      <c r="C3" t="s">
        <v>14</v>
      </c>
      <c r="D3" t="s">
        <v>15</v>
      </c>
    </row>
    <row r="4" spans="1:4">
      <c r="A4" s="114">
        <v>43555</v>
      </c>
      <c r="B4">
        <v>6548273</v>
      </c>
      <c r="C4" s="1">
        <v>506171</v>
      </c>
      <c r="D4" s="115">
        <v>280034</v>
      </c>
    </row>
    <row r="5" spans="1:4">
      <c r="A5" s="114">
        <v>43646</v>
      </c>
      <c r="B5">
        <v>8713332</v>
      </c>
      <c r="C5" s="1">
        <v>930142</v>
      </c>
      <c r="D5" s="115">
        <v>212550</v>
      </c>
    </row>
    <row r="6" spans="1:4">
      <c r="A6" s="114">
        <v>43738</v>
      </c>
      <c r="B6">
        <v>3962509</v>
      </c>
      <c r="C6" s="1">
        <v>1879384</v>
      </c>
      <c r="D6" s="115">
        <v>787767</v>
      </c>
    </row>
    <row r="7" spans="1:4">
      <c r="A7" s="114">
        <v>43830</v>
      </c>
      <c r="B7">
        <v>5648772</v>
      </c>
      <c r="C7" s="1">
        <v>264939</v>
      </c>
      <c r="D7" s="115">
        <v>125797</v>
      </c>
    </row>
    <row r="8" spans="1:4">
      <c r="A8" s="114">
        <v>43921</v>
      </c>
      <c r="B8">
        <v>3369719</v>
      </c>
      <c r="C8" s="1">
        <v>728726</v>
      </c>
      <c r="D8" s="115">
        <v>503748</v>
      </c>
    </row>
    <row r="9" spans="1:4">
      <c r="A9" s="114">
        <v>44012</v>
      </c>
      <c r="B9">
        <v>9270866</v>
      </c>
      <c r="C9" s="1">
        <v>2652668</v>
      </c>
      <c r="D9" s="115">
        <v>1271531</v>
      </c>
    </row>
    <row r="10" spans="1:4">
      <c r="A10" s="114">
        <v>44104</v>
      </c>
      <c r="B10">
        <v>11175335</v>
      </c>
      <c r="C10" s="1">
        <v>923476</v>
      </c>
      <c r="D10" s="115">
        <v>330919</v>
      </c>
    </row>
    <row r="11" spans="1:4">
      <c r="A11" s="114">
        <v>44196</v>
      </c>
      <c r="B11">
        <v>3885260</v>
      </c>
      <c r="C11" s="1">
        <v>115112</v>
      </c>
      <c r="D11" s="115">
        <v>241982</v>
      </c>
    </row>
    <row r="12" spans="1:4">
      <c r="A12" s="114">
        <v>44286</v>
      </c>
      <c r="B12">
        <v>4656290</v>
      </c>
      <c r="C12" s="1">
        <v>707282</v>
      </c>
      <c r="D12" s="115">
        <v>224184</v>
      </c>
    </row>
    <row r="13" spans="1:4">
      <c r="A13" s="114">
        <v>44377</v>
      </c>
      <c r="B13">
        <v>10566236</v>
      </c>
      <c r="C13" s="1">
        <v>1847185</v>
      </c>
      <c r="D13" s="115">
        <v>827685</v>
      </c>
    </row>
    <row r="14" spans="1:4">
      <c r="A14" s="114">
        <v>44469</v>
      </c>
      <c r="B14">
        <v>3452054</v>
      </c>
      <c r="C14" s="1">
        <v>646819</v>
      </c>
      <c r="D14" s="115">
        <v>167083</v>
      </c>
    </row>
    <row r="15" spans="1:4">
      <c r="A15" s="114">
        <v>44561</v>
      </c>
      <c r="B15">
        <v>4112083</v>
      </c>
      <c r="C15" s="1">
        <v>398667</v>
      </c>
      <c r="D15" s="115">
        <v>213893</v>
      </c>
    </row>
    <row r="16" spans="1:4">
      <c r="A16" s="114">
        <v>44651</v>
      </c>
      <c r="B16">
        <v>3709826</v>
      </c>
      <c r="C16" s="1">
        <v>28996</v>
      </c>
      <c r="D16" s="115">
        <v>20640</v>
      </c>
    </row>
    <row r="17" spans="1:4">
      <c r="A17" s="114">
        <v>44742</v>
      </c>
      <c r="B17">
        <v>6408410</v>
      </c>
      <c r="C17" s="1">
        <v>1613918</v>
      </c>
      <c r="D17" s="115">
        <v>912314</v>
      </c>
    </row>
    <row r="18" spans="1:4">
      <c r="A18" s="114">
        <v>44834</v>
      </c>
      <c r="B18">
        <v>6768020</v>
      </c>
      <c r="C18" s="1">
        <v>592239</v>
      </c>
      <c r="D18" s="115">
        <v>935978</v>
      </c>
    </row>
    <row r="19" spans="1:4">
      <c r="A19" s="114">
        <v>44926</v>
      </c>
      <c r="B19">
        <v>5394686</v>
      </c>
      <c r="C19" s="1">
        <v>766669</v>
      </c>
      <c r="D19" s="115">
        <v>305446</v>
      </c>
    </row>
    <row r="20" spans="1:4">
      <c r="A20" s="114">
        <v>45016</v>
      </c>
      <c r="B20">
        <v>8700689</v>
      </c>
      <c r="C20" s="1">
        <v>1432985</v>
      </c>
      <c r="D20" s="115">
        <v>605445</v>
      </c>
    </row>
    <row r="21" spans="1:4">
      <c r="A21" s="114">
        <v>45107</v>
      </c>
      <c r="B21">
        <v>5499902</v>
      </c>
      <c r="C21" s="1">
        <v>1124218</v>
      </c>
      <c r="D21" s="115">
        <v>602870</v>
      </c>
    </row>
    <row r="22" spans="1:4">
      <c r="A22" s="114">
        <v>45199</v>
      </c>
      <c r="B22">
        <v>4552265</v>
      </c>
      <c r="C22" s="1">
        <v>0</v>
      </c>
      <c r="D22" s="115">
        <v>0</v>
      </c>
    </row>
    <row r="23" spans="1:4">
      <c r="A23" s="114">
        <v>45291</v>
      </c>
      <c r="B23">
        <v>2852697</v>
      </c>
      <c r="C23" s="1">
        <v>215900</v>
      </c>
      <c r="D23" s="115">
        <v>116855</v>
      </c>
    </row>
    <row r="24" spans="1:4">
      <c r="A24" t="s">
        <v>11</v>
      </c>
      <c r="B24">
        <v>119247224</v>
      </c>
      <c r="C24" s="1">
        <v>17375496</v>
      </c>
      <c r="D24" s="115">
        <v>8686721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2"/>
  <sheetViews>
    <sheetView tabSelected="1" zoomScale="76" zoomScaleNormal="76" workbookViewId="0">
      <selection activeCell="B7" sqref="B7"/>
    </sheetView>
  </sheetViews>
  <sheetFormatPr defaultColWidth="9" defaultRowHeight="16.8"/>
  <cols>
    <col min="1" max="1" width="17.3125" style="65" customWidth="1"/>
    <col min="2" max="2" width="24.5" style="14" customWidth="1"/>
    <col min="3" max="3" width="11.3359375" customWidth="1"/>
    <col min="4" max="4" width="23.15625" style="66" customWidth="1"/>
    <col min="5" max="5" width="17.5390625" style="67" customWidth="1"/>
    <col min="6" max="6" width="14.96875" style="68" customWidth="1"/>
    <col min="7" max="7" width="17.0625" style="68" customWidth="1"/>
    <col min="8" max="8" width="17.46875" style="45" customWidth="1"/>
    <col min="9" max="9" width="11.4375" style="44" customWidth="1"/>
    <col min="10" max="10" width="13.4375" style="68" customWidth="1"/>
    <col min="11" max="11" width="17.3359375" style="44" customWidth="1"/>
    <col min="12" max="12" width="17.3359375" style="13" customWidth="1"/>
    <col min="13" max="13" width="12.46875" style="13" customWidth="1"/>
    <col min="14" max="15" width="9" style="13"/>
  </cols>
  <sheetData>
    <row r="1" ht="17.55" spans="1:15">
      <c r="A1" s="69" t="s">
        <v>0</v>
      </c>
      <c r="B1" s="70" t="s">
        <v>12</v>
      </c>
      <c r="C1" s="71" t="s">
        <v>16</v>
      </c>
      <c r="D1" s="72" t="s">
        <v>17</v>
      </c>
      <c r="E1" s="85" t="s">
        <v>18</v>
      </c>
      <c r="F1" s="86" t="s">
        <v>19</v>
      </c>
      <c r="G1" s="86" t="s">
        <v>20</v>
      </c>
      <c r="H1" s="87" t="s">
        <v>21</v>
      </c>
      <c r="I1" s="98" t="s">
        <v>22</v>
      </c>
      <c r="J1" s="86" t="s">
        <v>23</v>
      </c>
      <c r="K1" s="98" t="s">
        <v>24</v>
      </c>
      <c r="L1" s="99" t="s">
        <v>25</v>
      </c>
      <c r="M1" s="99" t="s">
        <v>26</v>
      </c>
      <c r="N1" s="99" t="s">
        <v>27</v>
      </c>
      <c r="O1" s="99" t="s">
        <v>28</v>
      </c>
    </row>
    <row r="2" spans="1:15">
      <c r="A2" s="73" t="s">
        <v>6</v>
      </c>
      <c r="B2" s="74">
        <v>43555</v>
      </c>
      <c r="C2" s="75" t="s">
        <v>29</v>
      </c>
      <c r="D2" s="76">
        <v>6548273</v>
      </c>
      <c r="E2" s="88">
        <v>506171</v>
      </c>
      <c r="F2" s="89">
        <f t="shared" ref="F2:F65" si="0">E2/D2</f>
        <v>0.0772983960809209</v>
      </c>
      <c r="G2" s="89">
        <v>0.71</v>
      </c>
      <c r="H2" s="90">
        <f t="shared" ref="H2:H65" si="1">E2*G2</f>
        <v>359381.41</v>
      </c>
      <c r="I2" s="100">
        <f t="shared" ref="I2:I65" si="2">E2-H2</f>
        <v>146789.59</v>
      </c>
      <c r="J2" s="89">
        <f t="shared" ref="J2:J65" si="3">I2/D2</f>
        <v>0.0224165348634671</v>
      </c>
      <c r="K2" s="100">
        <v>280034</v>
      </c>
      <c r="L2" s="75">
        <v>13</v>
      </c>
      <c r="M2" s="103">
        <v>0.06</v>
      </c>
      <c r="N2" s="104">
        <v>0.0198</v>
      </c>
      <c r="O2" s="104">
        <v>0.0387</v>
      </c>
    </row>
    <row r="3" spans="1:15">
      <c r="A3" s="77" t="s">
        <v>6</v>
      </c>
      <c r="B3" s="78">
        <v>43646</v>
      </c>
      <c r="C3" s="79" t="s">
        <v>30</v>
      </c>
      <c r="D3" s="80">
        <v>8713332</v>
      </c>
      <c r="E3" s="91">
        <v>930142</v>
      </c>
      <c r="F3" s="92">
        <f t="shared" si="0"/>
        <v>0.106749289479616</v>
      </c>
      <c r="G3" s="92">
        <v>0.71</v>
      </c>
      <c r="H3" s="93">
        <f t="shared" si="1"/>
        <v>660400.82</v>
      </c>
      <c r="I3" s="101">
        <f t="shared" si="2"/>
        <v>269741.18</v>
      </c>
      <c r="J3" s="92">
        <f t="shared" si="3"/>
        <v>0.0309572939490886</v>
      </c>
      <c r="K3" s="101">
        <v>212550</v>
      </c>
      <c r="L3" s="79">
        <v>20</v>
      </c>
      <c r="M3" s="105">
        <v>0.0575</v>
      </c>
      <c r="N3" s="105">
        <v>0.0205</v>
      </c>
      <c r="O3" s="105">
        <v>0.0387</v>
      </c>
    </row>
    <row r="4" spans="1:15">
      <c r="A4" s="81" t="s">
        <v>6</v>
      </c>
      <c r="B4" s="82">
        <v>43738</v>
      </c>
      <c r="C4" s="83" t="s">
        <v>31</v>
      </c>
      <c r="D4" s="84">
        <v>3962509</v>
      </c>
      <c r="E4" s="94">
        <v>1879384</v>
      </c>
      <c r="F4" s="95">
        <f t="shared" si="0"/>
        <v>0.474291414858616</v>
      </c>
      <c r="G4" s="95">
        <v>0.7</v>
      </c>
      <c r="H4" s="96">
        <f t="shared" si="1"/>
        <v>1315568.8</v>
      </c>
      <c r="I4" s="102">
        <f t="shared" si="2"/>
        <v>563815.2</v>
      </c>
      <c r="J4" s="95">
        <f t="shared" si="3"/>
        <v>0.142287424457585</v>
      </c>
      <c r="K4" s="102">
        <v>787767</v>
      </c>
      <c r="L4" s="83">
        <v>14</v>
      </c>
      <c r="M4" s="106">
        <v>0.054</v>
      </c>
      <c r="N4" s="106">
        <v>0.0201</v>
      </c>
      <c r="O4" s="106">
        <v>0.0387</v>
      </c>
    </row>
    <row r="5" spans="1:15">
      <c r="A5" s="77" t="s">
        <v>6</v>
      </c>
      <c r="B5" s="78">
        <v>43830</v>
      </c>
      <c r="C5" s="79" t="s">
        <v>32</v>
      </c>
      <c r="D5" s="80">
        <v>5648772</v>
      </c>
      <c r="E5" s="91">
        <v>264939</v>
      </c>
      <c r="F5" s="92">
        <f t="shared" si="0"/>
        <v>0.0469020523398714</v>
      </c>
      <c r="G5" s="92">
        <v>0.68</v>
      </c>
      <c r="H5" s="93">
        <f t="shared" si="1"/>
        <v>180158.52</v>
      </c>
      <c r="I5" s="101">
        <f t="shared" si="2"/>
        <v>84780.48</v>
      </c>
      <c r="J5" s="92">
        <f t="shared" si="3"/>
        <v>0.0150086567487588</v>
      </c>
      <c r="K5" s="101">
        <v>125797</v>
      </c>
      <c r="L5" s="79">
        <v>13</v>
      </c>
      <c r="M5" s="105">
        <v>0.0515</v>
      </c>
      <c r="N5" s="105">
        <v>0.0228</v>
      </c>
      <c r="O5" s="105">
        <v>0.0387</v>
      </c>
    </row>
    <row r="6" spans="1:15">
      <c r="A6" s="81" t="s">
        <v>6</v>
      </c>
      <c r="B6" s="82">
        <v>43921</v>
      </c>
      <c r="C6" s="83" t="s">
        <v>33</v>
      </c>
      <c r="D6" s="84">
        <v>3369719</v>
      </c>
      <c r="E6" s="94">
        <v>728726</v>
      </c>
      <c r="F6" s="95">
        <f t="shared" si="0"/>
        <v>0.216257201268118</v>
      </c>
      <c r="G6" s="95">
        <v>0.72</v>
      </c>
      <c r="H6" s="96">
        <f t="shared" si="1"/>
        <v>524682.72</v>
      </c>
      <c r="I6" s="102">
        <f t="shared" si="2"/>
        <v>204043.28</v>
      </c>
      <c r="J6" s="95">
        <f t="shared" si="3"/>
        <v>0.0605520163550729</v>
      </c>
      <c r="K6" s="102">
        <v>503748</v>
      </c>
      <c r="L6" s="83">
        <v>13</v>
      </c>
      <c r="M6" s="106">
        <v>0.044</v>
      </c>
      <c r="N6" s="106">
        <v>0.001</v>
      </c>
      <c r="O6" s="106">
        <v>-0.0578</v>
      </c>
    </row>
    <row r="7" spans="1:15">
      <c r="A7" s="77" t="s">
        <v>6</v>
      </c>
      <c r="B7" s="78">
        <v>44012</v>
      </c>
      <c r="C7" s="79" t="s">
        <v>34</v>
      </c>
      <c r="D7" s="80">
        <v>9270866</v>
      </c>
      <c r="E7" s="91">
        <v>2652668</v>
      </c>
      <c r="F7" s="92">
        <f t="shared" si="0"/>
        <v>0.286129472694352</v>
      </c>
      <c r="G7" s="92">
        <v>0.68</v>
      </c>
      <c r="H7" s="93">
        <f t="shared" si="1"/>
        <v>1803814.24</v>
      </c>
      <c r="I7" s="101">
        <f t="shared" si="2"/>
        <v>848853.76</v>
      </c>
      <c r="J7" s="92">
        <f t="shared" si="3"/>
        <v>0.0915614312621927</v>
      </c>
      <c r="K7" s="101">
        <v>1271531</v>
      </c>
      <c r="L7" s="79">
        <v>19</v>
      </c>
      <c r="M7" s="107">
        <v>0.04</v>
      </c>
      <c r="N7" s="105">
        <v>0.0071</v>
      </c>
      <c r="O7" s="105">
        <v>-0.0578</v>
      </c>
    </row>
    <row r="8" spans="1:15">
      <c r="A8" s="81" t="s">
        <v>6</v>
      </c>
      <c r="B8" s="82">
        <v>44104</v>
      </c>
      <c r="C8" s="83" t="s">
        <v>35</v>
      </c>
      <c r="D8" s="84">
        <v>11175335</v>
      </c>
      <c r="E8" s="94">
        <v>923476</v>
      </c>
      <c r="F8" s="95">
        <f t="shared" si="0"/>
        <v>0.082635196170853</v>
      </c>
      <c r="G8" s="95">
        <v>0.68</v>
      </c>
      <c r="H8" s="96">
        <f t="shared" si="1"/>
        <v>627963.68</v>
      </c>
      <c r="I8" s="102">
        <f t="shared" si="2"/>
        <v>295512.32</v>
      </c>
      <c r="J8" s="95">
        <f t="shared" si="3"/>
        <v>0.026443262774673</v>
      </c>
      <c r="K8" s="102">
        <v>330919</v>
      </c>
      <c r="L8" s="83">
        <v>18</v>
      </c>
      <c r="M8" s="108">
        <v>0.04</v>
      </c>
      <c r="N8" s="106">
        <v>0.0233</v>
      </c>
      <c r="O8" s="106">
        <v>-0.0578</v>
      </c>
    </row>
    <row r="9" spans="1:15">
      <c r="A9" s="77" t="s">
        <v>6</v>
      </c>
      <c r="B9" s="78">
        <v>44196</v>
      </c>
      <c r="C9" s="79" t="s">
        <v>36</v>
      </c>
      <c r="D9" s="80">
        <v>3885260</v>
      </c>
      <c r="E9" s="91">
        <v>115112</v>
      </c>
      <c r="F9" s="92">
        <f t="shared" si="0"/>
        <v>0.0296278756119282</v>
      </c>
      <c r="G9" s="92">
        <v>0.744</v>
      </c>
      <c r="H9" s="93">
        <f t="shared" si="1"/>
        <v>85643.328</v>
      </c>
      <c r="I9" s="101">
        <f t="shared" si="2"/>
        <v>29468.672</v>
      </c>
      <c r="J9" s="92">
        <f t="shared" si="3"/>
        <v>0.00758473615665361</v>
      </c>
      <c r="K9" s="101">
        <v>241982</v>
      </c>
      <c r="L9" s="79">
        <v>12</v>
      </c>
      <c r="M9" s="107">
        <v>0.04</v>
      </c>
      <c r="N9" s="105">
        <v>0.0172</v>
      </c>
      <c r="O9" s="105">
        <v>-0.0578</v>
      </c>
    </row>
    <row r="10" spans="1:15">
      <c r="A10" s="81" t="s">
        <v>6</v>
      </c>
      <c r="B10" s="82">
        <v>44286</v>
      </c>
      <c r="C10" s="83" t="s">
        <v>37</v>
      </c>
      <c r="D10" s="84">
        <v>4656290</v>
      </c>
      <c r="E10" s="94">
        <v>707282</v>
      </c>
      <c r="F10" s="95">
        <f t="shared" si="0"/>
        <v>0.151898185035726</v>
      </c>
      <c r="G10" s="95">
        <v>0.72</v>
      </c>
      <c r="H10" s="96">
        <f t="shared" si="1"/>
        <v>509243.04</v>
      </c>
      <c r="I10" s="102">
        <f t="shared" si="2"/>
        <v>198038.96</v>
      </c>
      <c r="J10" s="95">
        <f t="shared" si="3"/>
        <v>0.0425314918100032</v>
      </c>
      <c r="K10" s="102">
        <v>224184</v>
      </c>
      <c r="L10" s="83">
        <v>20</v>
      </c>
      <c r="M10" s="109">
        <v>0.04</v>
      </c>
      <c r="N10" s="106">
        <v>-0.0039</v>
      </c>
      <c r="O10" s="106">
        <v>0.0969</v>
      </c>
    </row>
    <row r="11" spans="1:15">
      <c r="A11" s="77" t="s">
        <v>6</v>
      </c>
      <c r="B11" s="78">
        <v>44377</v>
      </c>
      <c r="C11" s="79" t="s">
        <v>38</v>
      </c>
      <c r="D11" s="80">
        <v>10566236</v>
      </c>
      <c r="E11" s="91">
        <v>1847185</v>
      </c>
      <c r="F11" s="92">
        <f t="shared" si="0"/>
        <v>0.174819585706774</v>
      </c>
      <c r="G11" s="92">
        <v>0.68</v>
      </c>
      <c r="H11" s="93">
        <f t="shared" si="1"/>
        <v>1256085.8</v>
      </c>
      <c r="I11" s="101">
        <f t="shared" si="2"/>
        <v>591099.2</v>
      </c>
      <c r="J11" s="92">
        <f t="shared" si="3"/>
        <v>0.0559422674261676</v>
      </c>
      <c r="K11" s="101">
        <v>827685</v>
      </c>
      <c r="L11" s="79">
        <v>15</v>
      </c>
      <c r="M11" s="110">
        <v>0.04</v>
      </c>
      <c r="N11" s="105">
        <v>0.0156</v>
      </c>
      <c r="O11" s="105">
        <v>0.0969</v>
      </c>
    </row>
    <row r="12" spans="1:15">
      <c r="A12" s="81" t="s">
        <v>6</v>
      </c>
      <c r="B12" s="82">
        <v>44469</v>
      </c>
      <c r="C12" s="83" t="s">
        <v>39</v>
      </c>
      <c r="D12" s="84">
        <v>3452054</v>
      </c>
      <c r="E12" s="94">
        <v>646819</v>
      </c>
      <c r="F12" s="95">
        <f t="shared" si="0"/>
        <v>0.187372213760271</v>
      </c>
      <c r="G12" s="95">
        <v>0.71</v>
      </c>
      <c r="H12" s="96">
        <f t="shared" si="1"/>
        <v>459241.49</v>
      </c>
      <c r="I12" s="102">
        <f t="shared" si="2"/>
        <v>187577.51</v>
      </c>
      <c r="J12" s="95">
        <f t="shared" si="3"/>
        <v>0.0543379419904787</v>
      </c>
      <c r="K12" s="102">
        <v>167083</v>
      </c>
      <c r="L12" s="83">
        <v>12</v>
      </c>
      <c r="M12" s="109">
        <v>0.04</v>
      </c>
      <c r="N12" s="106">
        <v>0.0184</v>
      </c>
      <c r="O12" s="106">
        <v>0.0969</v>
      </c>
    </row>
    <row r="13" spans="1:15">
      <c r="A13" s="77" t="s">
        <v>6</v>
      </c>
      <c r="B13" s="78">
        <v>44561</v>
      </c>
      <c r="C13" s="79" t="s">
        <v>40</v>
      </c>
      <c r="D13" s="80">
        <v>4112083</v>
      </c>
      <c r="E13" s="91">
        <v>398667</v>
      </c>
      <c r="F13" s="92">
        <f t="shared" si="0"/>
        <v>0.0969501345181992</v>
      </c>
      <c r="G13" s="92">
        <v>0.71</v>
      </c>
      <c r="H13" s="93">
        <f t="shared" si="1"/>
        <v>283053.57</v>
      </c>
      <c r="I13" s="101">
        <f t="shared" si="2"/>
        <v>115613.43</v>
      </c>
      <c r="J13" s="92">
        <f t="shared" si="3"/>
        <v>0.0281155390102778</v>
      </c>
      <c r="K13" s="101">
        <v>213893</v>
      </c>
      <c r="L13" s="79">
        <v>13</v>
      </c>
      <c r="M13" s="110">
        <v>0.04</v>
      </c>
      <c r="N13" s="105">
        <v>0.0186</v>
      </c>
      <c r="O13" s="105">
        <v>0.0969</v>
      </c>
    </row>
    <row r="14" spans="1:15">
      <c r="A14" s="81" t="s">
        <v>6</v>
      </c>
      <c r="B14" s="82">
        <v>44651</v>
      </c>
      <c r="C14" s="83" t="s">
        <v>41</v>
      </c>
      <c r="D14" s="84">
        <v>3709826</v>
      </c>
      <c r="E14" s="94">
        <v>28996</v>
      </c>
      <c r="F14" s="95">
        <f t="shared" si="0"/>
        <v>0.00781599999568713</v>
      </c>
      <c r="G14" s="95">
        <v>0.727</v>
      </c>
      <c r="H14" s="96">
        <f t="shared" si="1"/>
        <v>21080.092</v>
      </c>
      <c r="I14" s="102">
        <f t="shared" si="2"/>
        <v>7915.908</v>
      </c>
      <c r="J14" s="95">
        <f t="shared" si="3"/>
        <v>0.00213376799882259</v>
      </c>
      <c r="K14" s="102">
        <v>20640</v>
      </c>
      <c r="L14" s="83">
        <v>20</v>
      </c>
      <c r="M14" s="109">
        <v>0.04</v>
      </c>
      <c r="N14" s="106">
        <v>0.0002</v>
      </c>
      <c r="O14" s="106">
        <v>0.0699</v>
      </c>
    </row>
    <row r="15" spans="1:15">
      <c r="A15" s="77" t="s">
        <v>6</v>
      </c>
      <c r="B15" s="78">
        <v>44742</v>
      </c>
      <c r="C15" s="79" t="s">
        <v>42</v>
      </c>
      <c r="D15" s="80">
        <v>6408410</v>
      </c>
      <c r="E15" s="91">
        <v>1613918</v>
      </c>
      <c r="F15" s="92">
        <f t="shared" si="0"/>
        <v>0.251843749073483</v>
      </c>
      <c r="G15" s="92">
        <v>0.73</v>
      </c>
      <c r="H15" s="93">
        <f t="shared" si="1"/>
        <v>1178160.14</v>
      </c>
      <c r="I15" s="101">
        <f t="shared" si="2"/>
        <v>435757.86</v>
      </c>
      <c r="J15" s="92">
        <f t="shared" si="3"/>
        <v>0.0679978122498405</v>
      </c>
      <c r="K15" s="101">
        <v>912314</v>
      </c>
      <c r="L15" s="79">
        <v>15</v>
      </c>
      <c r="M15" s="105">
        <v>0.049</v>
      </c>
      <c r="N15" s="105">
        <v>0.026</v>
      </c>
      <c r="O15" s="105">
        <v>0.0699</v>
      </c>
    </row>
    <row r="16" spans="1:15">
      <c r="A16" s="81" t="s">
        <v>6</v>
      </c>
      <c r="B16" s="82">
        <v>44834</v>
      </c>
      <c r="C16" s="83" t="s">
        <v>43</v>
      </c>
      <c r="D16" s="84">
        <v>6768020</v>
      </c>
      <c r="E16" s="94">
        <v>592239</v>
      </c>
      <c r="F16" s="95">
        <f t="shared" si="0"/>
        <v>0.0875055038253433</v>
      </c>
      <c r="G16" s="95">
        <v>0.71</v>
      </c>
      <c r="H16" s="96">
        <f t="shared" si="1"/>
        <v>420489.69</v>
      </c>
      <c r="I16" s="102">
        <f t="shared" si="2"/>
        <v>171749.31</v>
      </c>
      <c r="J16" s="95">
        <f t="shared" si="3"/>
        <v>0.0253765961093496</v>
      </c>
      <c r="K16" s="102">
        <v>935978</v>
      </c>
      <c r="L16" s="83">
        <v>12</v>
      </c>
      <c r="M16" s="106">
        <v>0.059</v>
      </c>
      <c r="N16" s="106">
        <v>0.0142</v>
      </c>
      <c r="O16" s="106">
        <v>0.0699</v>
      </c>
    </row>
    <row r="17" spans="1:15">
      <c r="A17" s="77" t="s">
        <v>6</v>
      </c>
      <c r="B17" s="78">
        <v>44926</v>
      </c>
      <c r="C17" s="79" t="s">
        <v>44</v>
      </c>
      <c r="D17" s="80">
        <v>5394686</v>
      </c>
      <c r="E17" s="91">
        <v>766669</v>
      </c>
      <c r="F17" s="92">
        <f t="shared" si="0"/>
        <v>0.142115593011345</v>
      </c>
      <c r="G17" s="92">
        <v>0.73</v>
      </c>
      <c r="H17" s="93">
        <f t="shared" si="1"/>
        <v>559668.37</v>
      </c>
      <c r="I17" s="101">
        <f t="shared" si="2"/>
        <v>207000.63</v>
      </c>
      <c r="J17" s="92">
        <f t="shared" si="3"/>
        <v>0.0383712101130631</v>
      </c>
      <c r="K17" s="101">
        <v>305446</v>
      </c>
      <c r="L17" s="79">
        <v>13</v>
      </c>
      <c r="M17" s="105">
        <v>0.0625</v>
      </c>
      <c r="N17" s="105">
        <v>0.015</v>
      </c>
      <c r="O17" s="105">
        <v>0.0699</v>
      </c>
    </row>
    <row r="18" spans="1:15">
      <c r="A18" s="81" t="s">
        <v>6</v>
      </c>
      <c r="B18" s="82">
        <v>45016</v>
      </c>
      <c r="C18" s="83" t="s">
        <v>45</v>
      </c>
      <c r="D18" s="84">
        <v>8700689</v>
      </c>
      <c r="E18" s="94">
        <v>1432985</v>
      </c>
      <c r="F18" s="95">
        <f t="shared" si="0"/>
        <v>0.164697876225664</v>
      </c>
      <c r="G18" s="95">
        <v>0.73</v>
      </c>
      <c r="H18" s="96">
        <f t="shared" si="1"/>
        <v>1046079.05</v>
      </c>
      <c r="I18" s="102">
        <f t="shared" si="2"/>
        <v>386905.95</v>
      </c>
      <c r="J18" s="95">
        <f t="shared" si="3"/>
        <v>0.0444684265809294</v>
      </c>
      <c r="K18" s="102">
        <v>605445</v>
      </c>
      <c r="L18" s="83">
        <v>21</v>
      </c>
      <c r="M18" s="106">
        <v>0.065</v>
      </c>
      <c r="N18" s="106">
        <v>0.0037</v>
      </c>
      <c r="O18" s="106">
        <v>0.0815</v>
      </c>
    </row>
    <row r="19" spans="1:15">
      <c r="A19" s="77" t="s">
        <v>6</v>
      </c>
      <c r="B19" s="78">
        <v>45107</v>
      </c>
      <c r="C19" s="79" t="s">
        <v>46</v>
      </c>
      <c r="D19" s="80">
        <v>5499902</v>
      </c>
      <c r="E19" s="91">
        <v>1124218</v>
      </c>
      <c r="F19" s="92">
        <f t="shared" si="0"/>
        <v>0.204406914886847</v>
      </c>
      <c r="G19" s="92">
        <v>0.76</v>
      </c>
      <c r="H19" s="93">
        <f t="shared" si="1"/>
        <v>854405.68</v>
      </c>
      <c r="I19" s="101">
        <f t="shared" si="2"/>
        <v>269812.32</v>
      </c>
      <c r="J19" s="92">
        <f t="shared" si="3"/>
        <v>0.0490576595728433</v>
      </c>
      <c r="K19" s="101">
        <v>602870</v>
      </c>
      <c r="L19" s="79">
        <v>15</v>
      </c>
      <c r="M19" s="105">
        <v>0.065</v>
      </c>
      <c r="N19" s="105">
        <v>0.0162</v>
      </c>
      <c r="O19" s="105">
        <v>0.0815</v>
      </c>
    </row>
    <row r="20" spans="1:15">
      <c r="A20" s="81" t="s">
        <v>6</v>
      </c>
      <c r="B20" s="82">
        <v>45199</v>
      </c>
      <c r="C20" s="83" t="s">
        <v>47</v>
      </c>
      <c r="D20" s="84">
        <v>4552265</v>
      </c>
      <c r="E20" s="94">
        <v>0</v>
      </c>
      <c r="F20" s="95">
        <f t="shared" si="0"/>
        <v>0</v>
      </c>
      <c r="G20" s="97">
        <v>0.74</v>
      </c>
      <c r="H20" s="96">
        <f t="shared" si="1"/>
        <v>0</v>
      </c>
      <c r="I20" s="102">
        <f t="shared" si="2"/>
        <v>0</v>
      </c>
      <c r="J20" s="95">
        <f t="shared" si="3"/>
        <v>0</v>
      </c>
      <c r="K20" s="102">
        <v>0</v>
      </c>
      <c r="L20" s="83">
        <v>9</v>
      </c>
      <c r="M20" s="106">
        <v>0.065</v>
      </c>
      <c r="N20" s="106">
        <v>0.0273</v>
      </c>
      <c r="O20" s="106">
        <v>0.0815</v>
      </c>
    </row>
    <row r="21" spans="1:15">
      <c r="A21" s="77" t="s">
        <v>6</v>
      </c>
      <c r="B21" s="78">
        <v>45291</v>
      </c>
      <c r="C21" s="79" t="s">
        <v>48</v>
      </c>
      <c r="D21" s="80">
        <v>2852697</v>
      </c>
      <c r="E21" s="91">
        <v>215900</v>
      </c>
      <c r="F21" s="92">
        <f t="shared" si="0"/>
        <v>0.0756827661682962</v>
      </c>
      <c r="G21" s="92">
        <v>0.75</v>
      </c>
      <c r="H21" s="93">
        <f t="shared" si="1"/>
        <v>161925</v>
      </c>
      <c r="I21" s="101">
        <f t="shared" si="2"/>
        <v>53975</v>
      </c>
      <c r="J21" s="92">
        <f t="shared" si="3"/>
        <v>0.018920691542074</v>
      </c>
      <c r="K21" s="101">
        <v>116855</v>
      </c>
      <c r="L21" s="79">
        <v>12</v>
      </c>
      <c r="M21" s="105">
        <v>0.065</v>
      </c>
      <c r="N21" s="105">
        <v>0.0154</v>
      </c>
      <c r="O21" s="105">
        <v>0.0815</v>
      </c>
    </row>
    <row r="22" spans="1:15">
      <c r="A22" s="81" t="s">
        <v>7</v>
      </c>
      <c r="B22" s="82">
        <v>43555</v>
      </c>
      <c r="C22" s="83" t="s">
        <v>29</v>
      </c>
      <c r="D22" s="84">
        <v>4797725</v>
      </c>
      <c r="E22" s="94">
        <v>0</v>
      </c>
      <c r="F22" s="95">
        <f t="shared" si="0"/>
        <v>0</v>
      </c>
      <c r="G22" s="95">
        <v>0.71</v>
      </c>
      <c r="H22" s="96">
        <f t="shared" si="1"/>
        <v>0</v>
      </c>
      <c r="I22" s="102">
        <f t="shared" si="2"/>
        <v>0</v>
      </c>
      <c r="J22" s="95">
        <f t="shared" si="3"/>
        <v>0</v>
      </c>
      <c r="K22" s="102">
        <v>0</v>
      </c>
      <c r="L22" s="83">
        <v>9</v>
      </c>
      <c r="M22" s="109">
        <v>0.06</v>
      </c>
      <c r="N22" s="106">
        <v>0.0198</v>
      </c>
      <c r="O22" s="106">
        <v>0.0387</v>
      </c>
    </row>
    <row r="23" spans="1:15">
      <c r="A23" s="77" t="s">
        <v>7</v>
      </c>
      <c r="B23" s="78">
        <v>43921</v>
      </c>
      <c r="C23" s="79" t="s">
        <v>33</v>
      </c>
      <c r="D23" s="80">
        <v>8216585</v>
      </c>
      <c r="E23" s="91">
        <v>190520</v>
      </c>
      <c r="F23" s="92">
        <f t="shared" si="0"/>
        <v>0.0231872487170765</v>
      </c>
      <c r="G23" s="92">
        <v>0.72</v>
      </c>
      <c r="H23" s="93">
        <f t="shared" si="1"/>
        <v>137174.4</v>
      </c>
      <c r="I23" s="101">
        <f t="shared" si="2"/>
        <v>53345.6</v>
      </c>
      <c r="J23" s="92">
        <f t="shared" si="3"/>
        <v>0.00649242964078142</v>
      </c>
      <c r="K23" s="101">
        <v>26239</v>
      </c>
      <c r="L23" s="79">
        <v>16</v>
      </c>
      <c r="M23" s="105">
        <v>0.044</v>
      </c>
      <c r="N23" s="105">
        <v>0.001</v>
      </c>
      <c r="O23" s="105">
        <v>-0.0578</v>
      </c>
    </row>
    <row r="24" spans="1:15">
      <c r="A24" s="81" t="s">
        <v>7</v>
      </c>
      <c r="B24" s="82">
        <v>44286</v>
      </c>
      <c r="C24" s="83" t="s">
        <v>37</v>
      </c>
      <c r="D24" s="84">
        <v>6486569</v>
      </c>
      <c r="E24" s="94">
        <v>700244</v>
      </c>
      <c r="F24" s="95">
        <f t="shared" si="0"/>
        <v>0.107952910082356</v>
      </c>
      <c r="G24" s="95">
        <v>0.72</v>
      </c>
      <c r="H24" s="96">
        <f t="shared" si="1"/>
        <v>504175.68</v>
      </c>
      <c r="I24" s="102">
        <f t="shared" si="2"/>
        <v>196068.32</v>
      </c>
      <c r="J24" s="95">
        <f t="shared" si="3"/>
        <v>0.0302268148230598</v>
      </c>
      <c r="K24" s="102">
        <v>268459</v>
      </c>
      <c r="L24" s="83">
        <v>8</v>
      </c>
      <c r="M24" s="109">
        <v>0.04</v>
      </c>
      <c r="N24" s="106">
        <v>-0.0039</v>
      </c>
      <c r="O24" s="106">
        <v>0.0969</v>
      </c>
    </row>
    <row r="25" spans="1:15">
      <c r="A25" s="77" t="s">
        <v>7</v>
      </c>
      <c r="B25" s="78">
        <v>44651</v>
      </c>
      <c r="C25" s="79" t="s">
        <v>41</v>
      </c>
      <c r="D25" s="80">
        <v>4348619</v>
      </c>
      <c r="E25" s="91">
        <v>0</v>
      </c>
      <c r="F25" s="92">
        <f t="shared" si="0"/>
        <v>0</v>
      </c>
      <c r="G25" s="92">
        <v>0.727</v>
      </c>
      <c r="H25" s="93">
        <f t="shared" si="1"/>
        <v>0</v>
      </c>
      <c r="I25" s="101">
        <f t="shared" si="2"/>
        <v>0</v>
      </c>
      <c r="J25" s="92">
        <f t="shared" si="3"/>
        <v>0</v>
      </c>
      <c r="K25" s="101">
        <v>0</v>
      </c>
      <c r="L25" s="79">
        <v>8</v>
      </c>
      <c r="M25" s="110">
        <v>0.04</v>
      </c>
      <c r="N25" s="105">
        <v>0.0002</v>
      </c>
      <c r="O25" s="105">
        <v>0.0699</v>
      </c>
    </row>
    <row r="26" spans="1:15">
      <c r="A26" s="81" t="s">
        <v>7</v>
      </c>
      <c r="B26" s="82">
        <v>45016</v>
      </c>
      <c r="C26" s="83" t="s">
        <v>45</v>
      </c>
      <c r="D26" s="84">
        <v>7955504</v>
      </c>
      <c r="E26" s="94">
        <v>2922599</v>
      </c>
      <c r="F26" s="95">
        <f t="shared" si="0"/>
        <v>0.367368176799358</v>
      </c>
      <c r="G26" s="95">
        <v>0.73</v>
      </c>
      <c r="H26" s="96">
        <f t="shared" si="1"/>
        <v>2133497.27</v>
      </c>
      <c r="I26" s="102">
        <f t="shared" si="2"/>
        <v>789101.73</v>
      </c>
      <c r="J26" s="95">
        <f t="shared" si="3"/>
        <v>0.0991894077358267</v>
      </c>
      <c r="K26" s="102">
        <v>1186841</v>
      </c>
      <c r="L26" s="83">
        <v>12</v>
      </c>
      <c r="M26" s="106">
        <v>0.065</v>
      </c>
      <c r="N26" s="106">
        <v>0.0037</v>
      </c>
      <c r="O26" s="106">
        <v>0.0815</v>
      </c>
    </row>
    <row r="27" spans="1:15">
      <c r="A27" s="77" t="s">
        <v>7</v>
      </c>
      <c r="B27" s="78">
        <v>43646</v>
      </c>
      <c r="C27" s="79" t="s">
        <v>30</v>
      </c>
      <c r="D27" s="80">
        <v>7545576</v>
      </c>
      <c r="E27" s="91">
        <v>621353</v>
      </c>
      <c r="F27" s="92">
        <f t="shared" si="0"/>
        <v>0.08234666246818</v>
      </c>
      <c r="G27" s="92">
        <v>0.71</v>
      </c>
      <c r="H27" s="93">
        <f t="shared" si="1"/>
        <v>441160.63</v>
      </c>
      <c r="I27" s="101">
        <f t="shared" si="2"/>
        <v>180192.37</v>
      </c>
      <c r="J27" s="92">
        <f t="shared" si="3"/>
        <v>0.0238805321157722</v>
      </c>
      <c r="K27" s="101">
        <v>250000</v>
      </c>
      <c r="L27" s="79">
        <v>11</v>
      </c>
      <c r="M27" s="105">
        <v>0.0575</v>
      </c>
      <c r="N27" s="105">
        <v>0.0205</v>
      </c>
      <c r="O27" s="105">
        <v>0.0387</v>
      </c>
    </row>
    <row r="28" spans="1:15">
      <c r="A28" s="81" t="s">
        <v>7</v>
      </c>
      <c r="B28" s="82">
        <v>44012</v>
      </c>
      <c r="C28" s="83" t="s">
        <v>34</v>
      </c>
      <c r="D28" s="84">
        <v>4363991</v>
      </c>
      <c r="E28" s="94">
        <v>678986</v>
      </c>
      <c r="F28" s="95">
        <f t="shared" si="0"/>
        <v>0.155588313541435</v>
      </c>
      <c r="G28" s="95">
        <v>0.68</v>
      </c>
      <c r="H28" s="96">
        <f t="shared" si="1"/>
        <v>461710.48</v>
      </c>
      <c r="I28" s="102">
        <f t="shared" si="2"/>
        <v>217275.52</v>
      </c>
      <c r="J28" s="95">
        <f t="shared" si="3"/>
        <v>0.0497882603332592</v>
      </c>
      <c r="K28" s="102">
        <v>262032</v>
      </c>
      <c r="L28" s="83">
        <v>14</v>
      </c>
      <c r="M28" s="108">
        <v>0.04</v>
      </c>
      <c r="N28" s="106">
        <v>0.0071</v>
      </c>
      <c r="O28" s="106">
        <v>-0.0578</v>
      </c>
    </row>
    <row r="29" spans="1:15">
      <c r="A29" s="77" t="s">
        <v>7</v>
      </c>
      <c r="B29" s="78">
        <v>44377</v>
      </c>
      <c r="C29" s="79" t="s">
        <v>38</v>
      </c>
      <c r="D29" s="80">
        <v>11032293</v>
      </c>
      <c r="E29" s="91">
        <v>2201941</v>
      </c>
      <c r="F29" s="92">
        <f t="shared" si="0"/>
        <v>0.199590511238235</v>
      </c>
      <c r="G29" s="92">
        <v>0.68</v>
      </c>
      <c r="H29" s="93">
        <f t="shared" si="1"/>
        <v>1497319.88</v>
      </c>
      <c r="I29" s="101">
        <f t="shared" si="2"/>
        <v>704621.12</v>
      </c>
      <c r="J29" s="92">
        <f t="shared" si="3"/>
        <v>0.0638689635962351</v>
      </c>
      <c r="K29" s="101">
        <v>1199627</v>
      </c>
      <c r="L29" s="79">
        <v>16</v>
      </c>
      <c r="M29" s="110">
        <v>0.04</v>
      </c>
      <c r="N29" s="105">
        <v>0.0156</v>
      </c>
      <c r="O29" s="105">
        <v>0.0969</v>
      </c>
    </row>
    <row r="30" spans="1:15">
      <c r="A30" s="81" t="s">
        <v>7</v>
      </c>
      <c r="B30" s="82">
        <v>44742</v>
      </c>
      <c r="C30" s="83" t="s">
        <v>42</v>
      </c>
      <c r="D30" s="84">
        <v>4915554</v>
      </c>
      <c r="E30" s="94">
        <v>0</v>
      </c>
      <c r="F30" s="95">
        <f t="shared" si="0"/>
        <v>0</v>
      </c>
      <c r="G30" s="95">
        <v>0.73</v>
      </c>
      <c r="H30" s="96">
        <f t="shared" si="1"/>
        <v>0</v>
      </c>
      <c r="I30" s="102">
        <f t="shared" si="2"/>
        <v>0</v>
      </c>
      <c r="J30" s="95">
        <f t="shared" si="3"/>
        <v>0</v>
      </c>
      <c r="K30" s="102">
        <v>0</v>
      </c>
      <c r="L30" s="83">
        <v>16</v>
      </c>
      <c r="M30" s="106">
        <v>0.049</v>
      </c>
      <c r="N30" s="106">
        <v>0.026</v>
      </c>
      <c r="O30" s="106">
        <v>0.0699</v>
      </c>
    </row>
    <row r="31" spans="1:15">
      <c r="A31" s="77" t="s">
        <v>7</v>
      </c>
      <c r="B31" s="78">
        <v>45107</v>
      </c>
      <c r="C31" s="79" t="s">
        <v>46</v>
      </c>
      <c r="D31" s="80">
        <v>4680130</v>
      </c>
      <c r="E31" s="91">
        <v>0</v>
      </c>
      <c r="F31" s="92">
        <f t="shared" si="0"/>
        <v>0</v>
      </c>
      <c r="G31" s="92">
        <v>0.76</v>
      </c>
      <c r="H31" s="93">
        <f t="shared" si="1"/>
        <v>0</v>
      </c>
      <c r="I31" s="101">
        <f t="shared" si="2"/>
        <v>0</v>
      </c>
      <c r="J31" s="92">
        <f t="shared" si="3"/>
        <v>0</v>
      </c>
      <c r="K31" s="101">
        <v>0</v>
      </c>
      <c r="L31" s="79">
        <v>8</v>
      </c>
      <c r="M31" s="105">
        <v>0.065</v>
      </c>
      <c r="N31" s="105">
        <v>0.0162</v>
      </c>
      <c r="O31" s="105">
        <v>0.0815</v>
      </c>
    </row>
    <row r="32" spans="1:15">
      <c r="A32" s="81" t="s">
        <v>7</v>
      </c>
      <c r="B32" s="82">
        <v>43738</v>
      </c>
      <c r="C32" s="83" t="s">
        <v>31</v>
      </c>
      <c r="D32" s="84">
        <v>3507430</v>
      </c>
      <c r="E32" s="94">
        <v>1358269</v>
      </c>
      <c r="F32" s="95">
        <f t="shared" si="0"/>
        <v>0.387254770587011</v>
      </c>
      <c r="G32" s="95">
        <v>0.7</v>
      </c>
      <c r="H32" s="96">
        <f t="shared" si="1"/>
        <v>950788.3</v>
      </c>
      <c r="I32" s="102">
        <f t="shared" si="2"/>
        <v>407480.7</v>
      </c>
      <c r="J32" s="95">
        <f t="shared" si="3"/>
        <v>0.116176431176103</v>
      </c>
      <c r="K32" s="102">
        <v>701009</v>
      </c>
      <c r="L32" s="83">
        <v>9</v>
      </c>
      <c r="M32" s="106">
        <v>0.054</v>
      </c>
      <c r="N32" s="106">
        <v>0.0201</v>
      </c>
      <c r="O32" s="106">
        <v>0.0387</v>
      </c>
    </row>
    <row r="33" spans="1:15">
      <c r="A33" s="77" t="s">
        <v>7</v>
      </c>
      <c r="B33" s="78">
        <v>44104</v>
      </c>
      <c r="C33" s="79" t="s">
        <v>35</v>
      </c>
      <c r="D33" s="80">
        <v>8193301</v>
      </c>
      <c r="E33" s="91">
        <v>907497</v>
      </c>
      <c r="F33" s="92">
        <f t="shared" si="0"/>
        <v>0.110760852066829</v>
      </c>
      <c r="G33" s="92">
        <v>0.68</v>
      </c>
      <c r="H33" s="93">
        <f t="shared" si="1"/>
        <v>617097.96</v>
      </c>
      <c r="I33" s="101">
        <f t="shared" si="2"/>
        <v>290399.04</v>
      </c>
      <c r="J33" s="92">
        <f t="shared" si="3"/>
        <v>0.0354434726613852</v>
      </c>
      <c r="K33" s="101">
        <v>608811</v>
      </c>
      <c r="L33" s="79">
        <v>9</v>
      </c>
      <c r="M33" s="107">
        <v>0.04</v>
      </c>
      <c r="N33" s="105">
        <v>0.0233</v>
      </c>
      <c r="O33" s="105">
        <v>-0.0578</v>
      </c>
    </row>
    <row r="34" spans="1:15">
      <c r="A34" s="81" t="s">
        <v>7</v>
      </c>
      <c r="B34" s="82">
        <v>44469</v>
      </c>
      <c r="C34" s="83" t="s">
        <v>39</v>
      </c>
      <c r="D34" s="84">
        <v>2752333</v>
      </c>
      <c r="E34" s="94">
        <v>0</v>
      </c>
      <c r="F34" s="95">
        <f t="shared" si="0"/>
        <v>0</v>
      </c>
      <c r="G34" s="95">
        <v>0.71</v>
      </c>
      <c r="H34" s="96">
        <f t="shared" si="1"/>
        <v>0</v>
      </c>
      <c r="I34" s="102">
        <f t="shared" si="2"/>
        <v>0</v>
      </c>
      <c r="J34" s="95">
        <f t="shared" si="3"/>
        <v>0</v>
      </c>
      <c r="K34" s="102">
        <v>0</v>
      </c>
      <c r="L34" s="83">
        <v>5</v>
      </c>
      <c r="M34" s="109">
        <v>0.04</v>
      </c>
      <c r="N34" s="106">
        <v>0.0184</v>
      </c>
      <c r="O34" s="106">
        <v>0.0969</v>
      </c>
    </row>
    <row r="35" spans="1:15">
      <c r="A35" s="77" t="s">
        <v>7</v>
      </c>
      <c r="B35" s="78">
        <v>44834</v>
      </c>
      <c r="C35" s="79" t="s">
        <v>43</v>
      </c>
      <c r="D35" s="80">
        <v>6772448</v>
      </c>
      <c r="E35" s="91">
        <v>0</v>
      </c>
      <c r="F35" s="92">
        <f t="shared" si="0"/>
        <v>0</v>
      </c>
      <c r="G35" s="92">
        <v>0.71</v>
      </c>
      <c r="H35" s="93">
        <f t="shared" si="1"/>
        <v>0</v>
      </c>
      <c r="I35" s="101">
        <f t="shared" si="2"/>
        <v>0</v>
      </c>
      <c r="J35" s="92">
        <f t="shared" si="3"/>
        <v>0</v>
      </c>
      <c r="K35" s="101">
        <v>0</v>
      </c>
      <c r="L35" s="79">
        <v>5</v>
      </c>
      <c r="M35" s="105">
        <v>0.059</v>
      </c>
      <c r="N35" s="105">
        <v>0.0142</v>
      </c>
      <c r="O35" s="105">
        <v>0.0699</v>
      </c>
    </row>
    <row r="36" spans="1:15">
      <c r="A36" s="81" t="s">
        <v>7</v>
      </c>
      <c r="B36" s="82">
        <v>45199</v>
      </c>
      <c r="C36" s="83" t="s">
        <v>47</v>
      </c>
      <c r="D36" s="84">
        <v>2994940</v>
      </c>
      <c r="E36" s="94">
        <v>0</v>
      </c>
      <c r="F36" s="95">
        <f t="shared" si="0"/>
        <v>0</v>
      </c>
      <c r="G36" s="97">
        <v>0.74</v>
      </c>
      <c r="H36" s="96">
        <f t="shared" si="1"/>
        <v>0</v>
      </c>
      <c r="I36" s="102">
        <f t="shared" si="2"/>
        <v>0</v>
      </c>
      <c r="J36" s="95">
        <f t="shared" si="3"/>
        <v>0</v>
      </c>
      <c r="K36" s="102">
        <v>0</v>
      </c>
      <c r="L36" s="83">
        <v>9</v>
      </c>
      <c r="M36" s="106">
        <v>0.065</v>
      </c>
      <c r="N36" s="106">
        <v>0.0273</v>
      </c>
      <c r="O36" s="106">
        <v>0.0815</v>
      </c>
    </row>
    <row r="37" spans="1:15">
      <c r="A37" s="77" t="s">
        <v>7</v>
      </c>
      <c r="B37" s="78">
        <v>43830</v>
      </c>
      <c r="C37" s="79" t="s">
        <v>32</v>
      </c>
      <c r="D37" s="80">
        <v>3520783</v>
      </c>
      <c r="E37" s="91">
        <v>1624097</v>
      </c>
      <c r="F37" s="92">
        <f t="shared" si="0"/>
        <v>0.46128858268175</v>
      </c>
      <c r="G37" s="92">
        <v>0.68</v>
      </c>
      <c r="H37" s="93">
        <f t="shared" si="1"/>
        <v>1104385.96</v>
      </c>
      <c r="I37" s="101">
        <f t="shared" si="2"/>
        <v>519711.04</v>
      </c>
      <c r="J37" s="92">
        <f t="shared" si="3"/>
        <v>0.14761234645816</v>
      </c>
      <c r="K37" s="101">
        <v>1009000</v>
      </c>
      <c r="L37" s="79">
        <v>6</v>
      </c>
      <c r="M37" s="105">
        <v>0.0515</v>
      </c>
      <c r="N37" s="105">
        <v>0.0228</v>
      </c>
      <c r="O37" s="105">
        <v>0.0387</v>
      </c>
    </row>
    <row r="38" spans="1:15">
      <c r="A38" s="81" t="s">
        <v>7</v>
      </c>
      <c r="B38" s="82">
        <v>44196</v>
      </c>
      <c r="C38" s="83" t="s">
        <v>36</v>
      </c>
      <c r="D38" s="84">
        <v>2280302</v>
      </c>
      <c r="E38" s="94">
        <v>324162</v>
      </c>
      <c r="F38" s="95">
        <f t="shared" si="0"/>
        <v>0.142157486157535</v>
      </c>
      <c r="G38" s="95">
        <v>0.744</v>
      </c>
      <c r="H38" s="96">
        <f t="shared" si="1"/>
        <v>241176.528</v>
      </c>
      <c r="I38" s="102">
        <f t="shared" si="2"/>
        <v>82985.472</v>
      </c>
      <c r="J38" s="95">
        <f t="shared" si="3"/>
        <v>0.036392316456329</v>
      </c>
      <c r="K38" s="102">
        <v>178815</v>
      </c>
      <c r="L38" s="83">
        <v>9</v>
      </c>
      <c r="M38" s="108">
        <v>0.04</v>
      </c>
      <c r="N38" s="106">
        <v>0.0172</v>
      </c>
      <c r="O38" s="106">
        <v>-0.0578</v>
      </c>
    </row>
    <row r="39" spans="1:15">
      <c r="A39" s="77" t="s">
        <v>7</v>
      </c>
      <c r="B39" s="78">
        <v>44561</v>
      </c>
      <c r="C39" s="79" t="s">
        <v>40</v>
      </c>
      <c r="D39" s="80">
        <v>1607681</v>
      </c>
      <c r="E39" s="91">
        <v>0</v>
      </c>
      <c r="F39" s="92">
        <f t="shared" si="0"/>
        <v>0</v>
      </c>
      <c r="G39" s="92">
        <v>0.71</v>
      </c>
      <c r="H39" s="93">
        <f t="shared" si="1"/>
        <v>0</v>
      </c>
      <c r="I39" s="101">
        <f t="shared" si="2"/>
        <v>0</v>
      </c>
      <c r="J39" s="92">
        <f t="shared" si="3"/>
        <v>0</v>
      </c>
      <c r="K39" s="101">
        <v>0</v>
      </c>
      <c r="L39" s="79">
        <v>6</v>
      </c>
      <c r="M39" s="110">
        <v>0.04</v>
      </c>
      <c r="N39" s="105">
        <v>0.0186</v>
      </c>
      <c r="O39" s="105">
        <v>0.0969</v>
      </c>
    </row>
    <row r="40" spans="1:15">
      <c r="A40" s="81" t="s">
        <v>7</v>
      </c>
      <c r="B40" s="82">
        <v>44926</v>
      </c>
      <c r="C40" s="83" t="s">
        <v>44</v>
      </c>
      <c r="D40" s="84">
        <v>9130445</v>
      </c>
      <c r="E40" s="94">
        <v>890857</v>
      </c>
      <c r="F40" s="95">
        <f t="shared" si="0"/>
        <v>0.0975699431955398</v>
      </c>
      <c r="G40" s="95">
        <v>0.73</v>
      </c>
      <c r="H40" s="96">
        <f t="shared" si="1"/>
        <v>650325.61</v>
      </c>
      <c r="I40" s="102">
        <f t="shared" si="2"/>
        <v>240531.39</v>
      </c>
      <c r="J40" s="95">
        <f t="shared" si="3"/>
        <v>0.0263438846627957</v>
      </c>
      <c r="K40" s="102">
        <v>290796</v>
      </c>
      <c r="L40" s="83">
        <v>6</v>
      </c>
      <c r="M40" s="106">
        <v>0.0625</v>
      </c>
      <c r="N40" s="106">
        <v>0.015</v>
      </c>
      <c r="O40" s="106">
        <v>0.0699</v>
      </c>
    </row>
    <row r="41" spans="1:15">
      <c r="A41" s="77" t="s">
        <v>7</v>
      </c>
      <c r="B41" s="78">
        <v>45291</v>
      </c>
      <c r="C41" s="79" t="s">
        <v>48</v>
      </c>
      <c r="D41" s="80">
        <v>8185928</v>
      </c>
      <c r="E41" s="91">
        <v>1127261</v>
      </c>
      <c r="F41" s="92">
        <f t="shared" si="0"/>
        <v>0.137707172601567</v>
      </c>
      <c r="G41" s="92">
        <v>0.75</v>
      </c>
      <c r="H41" s="93">
        <f t="shared" si="1"/>
        <v>845445.75</v>
      </c>
      <c r="I41" s="101">
        <f t="shared" si="2"/>
        <v>281815.25</v>
      </c>
      <c r="J41" s="92">
        <f t="shared" si="3"/>
        <v>0.0344267931503917</v>
      </c>
      <c r="K41" s="101">
        <v>641533</v>
      </c>
      <c r="L41" s="79">
        <v>12</v>
      </c>
      <c r="M41" s="105">
        <v>0.065</v>
      </c>
      <c r="N41" s="105">
        <v>0.0154</v>
      </c>
      <c r="O41" s="105">
        <v>0.0815</v>
      </c>
    </row>
    <row r="42" spans="1:15">
      <c r="A42" s="81" t="s">
        <v>8</v>
      </c>
      <c r="B42" s="82">
        <v>43555</v>
      </c>
      <c r="C42" s="83" t="s">
        <v>29</v>
      </c>
      <c r="D42" s="84">
        <v>26982321</v>
      </c>
      <c r="E42" s="94">
        <v>3979172</v>
      </c>
      <c r="F42" s="95">
        <f t="shared" si="0"/>
        <v>0.147473302982349</v>
      </c>
      <c r="G42" s="95">
        <v>0.71</v>
      </c>
      <c r="H42" s="96">
        <f t="shared" si="1"/>
        <v>2825212.12</v>
      </c>
      <c r="I42" s="102">
        <f t="shared" si="2"/>
        <v>1153959.88</v>
      </c>
      <c r="J42" s="95">
        <f t="shared" si="3"/>
        <v>0.0427672578648812</v>
      </c>
      <c r="K42" s="102">
        <v>1702767</v>
      </c>
      <c r="L42" s="83">
        <v>16</v>
      </c>
      <c r="M42" s="109">
        <v>0.06</v>
      </c>
      <c r="N42" s="106">
        <v>0.0198</v>
      </c>
      <c r="O42" s="106">
        <v>0.0387</v>
      </c>
    </row>
    <row r="43" spans="1:15">
      <c r="A43" s="77" t="s">
        <v>8</v>
      </c>
      <c r="B43" s="78">
        <v>43646</v>
      </c>
      <c r="C43" s="79" t="s">
        <v>30</v>
      </c>
      <c r="D43" s="80">
        <v>29833677</v>
      </c>
      <c r="E43" s="91">
        <v>0</v>
      </c>
      <c r="F43" s="92">
        <f t="shared" si="0"/>
        <v>0</v>
      </c>
      <c r="G43" s="92">
        <v>0.71</v>
      </c>
      <c r="H43" s="93">
        <f t="shared" si="1"/>
        <v>0</v>
      </c>
      <c r="I43" s="101">
        <f t="shared" si="2"/>
        <v>0</v>
      </c>
      <c r="J43" s="92">
        <f t="shared" si="3"/>
        <v>0</v>
      </c>
      <c r="K43" s="101">
        <v>0</v>
      </c>
      <c r="L43" s="79">
        <v>11</v>
      </c>
      <c r="M43" s="105">
        <v>0.0575</v>
      </c>
      <c r="N43" s="105">
        <v>0.0205</v>
      </c>
      <c r="O43" s="105">
        <v>0.0387</v>
      </c>
    </row>
    <row r="44" spans="1:15">
      <c r="A44" s="81" t="s">
        <v>8</v>
      </c>
      <c r="B44" s="82">
        <v>43738</v>
      </c>
      <c r="C44" s="83" t="s">
        <v>31</v>
      </c>
      <c r="D44" s="84">
        <v>21853567</v>
      </c>
      <c r="E44" s="94">
        <v>1819907</v>
      </c>
      <c r="F44" s="95">
        <f t="shared" si="0"/>
        <v>0.0832773432364611</v>
      </c>
      <c r="G44" s="95">
        <v>0.7</v>
      </c>
      <c r="H44" s="96">
        <f t="shared" si="1"/>
        <v>1273934.9</v>
      </c>
      <c r="I44" s="102">
        <f t="shared" si="2"/>
        <v>545972.1</v>
      </c>
      <c r="J44" s="95">
        <f t="shared" si="3"/>
        <v>0.0249832029709383</v>
      </c>
      <c r="K44" s="102">
        <v>645350</v>
      </c>
      <c r="L44" s="83">
        <v>11</v>
      </c>
      <c r="M44" s="106">
        <v>0.054</v>
      </c>
      <c r="N44" s="106">
        <v>0.0201</v>
      </c>
      <c r="O44" s="106">
        <v>0.0387</v>
      </c>
    </row>
    <row r="45" spans="1:15">
      <c r="A45" s="77" t="s">
        <v>8</v>
      </c>
      <c r="B45" s="78">
        <v>43830</v>
      </c>
      <c r="C45" s="79" t="s">
        <v>32</v>
      </c>
      <c r="D45" s="80">
        <v>21839031</v>
      </c>
      <c r="E45" s="91">
        <v>0</v>
      </c>
      <c r="F45" s="92">
        <f t="shared" si="0"/>
        <v>0</v>
      </c>
      <c r="G45" s="92">
        <v>0.68</v>
      </c>
      <c r="H45" s="93">
        <f t="shared" si="1"/>
        <v>0</v>
      </c>
      <c r="I45" s="101">
        <f t="shared" si="2"/>
        <v>0</v>
      </c>
      <c r="J45" s="92">
        <f t="shared" si="3"/>
        <v>0</v>
      </c>
      <c r="K45" s="101">
        <v>0</v>
      </c>
      <c r="L45" s="79">
        <v>11</v>
      </c>
      <c r="M45" s="105">
        <v>0.0515</v>
      </c>
      <c r="N45" s="105">
        <v>0.0228</v>
      </c>
      <c r="O45" s="105">
        <v>0.0387</v>
      </c>
    </row>
    <row r="46" spans="1:15">
      <c r="A46" s="81" t="s">
        <v>8</v>
      </c>
      <c r="B46" s="82">
        <v>43921</v>
      </c>
      <c r="C46" s="83" t="s">
        <v>33</v>
      </c>
      <c r="D46" s="84">
        <v>30631459</v>
      </c>
      <c r="E46" s="94">
        <v>1230051</v>
      </c>
      <c r="F46" s="95">
        <f t="shared" si="0"/>
        <v>0.0401564613686864</v>
      </c>
      <c r="G46" s="95">
        <v>0.72</v>
      </c>
      <c r="H46" s="96">
        <f t="shared" si="1"/>
        <v>885636.72</v>
      </c>
      <c r="I46" s="102">
        <f t="shared" si="2"/>
        <v>344414.28</v>
      </c>
      <c r="J46" s="95">
        <f t="shared" si="3"/>
        <v>0.0112438091832322</v>
      </c>
      <c r="K46" s="102">
        <v>258059</v>
      </c>
      <c r="L46" s="83">
        <v>11</v>
      </c>
      <c r="M46" s="106">
        <v>0.044</v>
      </c>
      <c r="N46" s="106">
        <v>0.001</v>
      </c>
      <c r="O46" s="106">
        <v>-0.0578</v>
      </c>
    </row>
    <row r="47" spans="1:15">
      <c r="A47" s="77" t="s">
        <v>8</v>
      </c>
      <c r="B47" s="78">
        <v>44012</v>
      </c>
      <c r="C47" s="79" t="s">
        <v>34</v>
      </c>
      <c r="D47" s="80">
        <v>28637258</v>
      </c>
      <c r="E47" s="91">
        <v>0</v>
      </c>
      <c r="F47" s="92">
        <f t="shared" si="0"/>
        <v>0</v>
      </c>
      <c r="G47" s="92">
        <v>0.68</v>
      </c>
      <c r="H47" s="93">
        <f t="shared" si="1"/>
        <v>0</v>
      </c>
      <c r="I47" s="101">
        <f t="shared" si="2"/>
        <v>0</v>
      </c>
      <c r="J47" s="92">
        <f t="shared" si="3"/>
        <v>0</v>
      </c>
      <c r="K47" s="101">
        <v>0</v>
      </c>
      <c r="L47" s="79">
        <v>7</v>
      </c>
      <c r="M47" s="107">
        <v>0.04</v>
      </c>
      <c r="N47" s="105">
        <v>0.0071</v>
      </c>
      <c r="O47" s="105">
        <v>-0.0578</v>
      </c>
    </row>
    <row r="48" spans="1:15">
      <c r="A48" s="81" t="s">
        <v>8</v>
      </c>
      <c r="B48" s="82">
        <v>44104</v>
      </c>
      <c r="C48" s="83" t="s">
        <v>35</v>
      </c>
      <c r="D48" s="84">
        <v>18967221</v>
      </c>
      <c r="E48" s="94">
        <v>10228681</v>
      </c>
      <c r="F48" s="95">
        <f t="shared" si="0"/>
        <v>0.53928200657334</v>
      </c>
      <c r="G48" s="95">
        <v>0.68</v>
      </c>
      <c r="H48" s="96">
        <f t="shared" si="1"/>
        <v>6955503.08</v>
      </c>
      <c r="I48" s="102">
        <f t="shared" si="2"/>
        <v>3273177.92</v>
      </c>
      <c r="J48" s="95">
        <f t="shared" si="3"/>
        <v>0.172570242103469</v>
      </c>
      <c r="K48" s="102">
        <v>1352494</v>
      </c>
      <c r="L48" s="83">
        <v>11</v>
      </c>
      <c r="M48" s="108">
        <v>0.04</v>
      </c>
      <c r="N48" s="106">
        <v>0.0233</v>
      </c>
      <c r="O48" s="106">
        <v>-0.0578</v>
      </c>
    </row>
    <row r="49" spans="1:15">
      <c r="A49" s="77" t="s">
        <v>8</v>
      </c>
      <c r="B49" s="78">
        <v>44196</v>
      </c>
      <c r="C49" s="79" t="s">
        <v>36</v>
      </c>
      <c r="D49" s="80">
        <v>5439712</v>
      </c>
      <c r="E49" s="91">
        <v>0</v>
      </c>
      <c r="F49" s="92">
        <f t="shared" si="0"/>
        <v>0</v>
      </c>
      <c r="G49" s="92">
        <v>0.744</v>
      </c>
      <c r="H49" s="93">
        <f t="shared" si="1"/>
        <v>0</v>
      </c>
      <c r="I49" s="101">
        <f t="shared" si="2"/>
        <v>0</v>
      </c>
      <c r="J49" s="92">
        <f t="shared" si="3"/>
        <v>0</v>
      </c>
      <c r="K49" s="101">
        <v>0</v>
      </c>
      <c r="L49" s="79">
        <v>7</v>
      </c>
      <c r="M49" s="107">
        <v>0.04</v>
      </c>
      <c r="N49" s="105">
        <v>0.0172</v>
      </c>
      <c r="O49" s="105">
        <v>-0.0578</v>
      </c>
    </row>
    <row r="50" spans="1:15">
      <c r="A50" s="81" t="s">
        <v>8</v>
      </c>
      <c r="B50" s="82">
        <v>44286</v>
      </c>
      <c r="C50" s="83" t="s">
        <v>37</v>
      </c>
      <c r="D50" s="84">
        <v>32081669</v>
      </c>
      <c r="E50" s="94">
        <v>9068132</v>
      </c>
      <c r="F50" s="95">
        <f t="shared" si="0"/>
        <v>0.282657738286621</v>
      </c>
      <c r="G50" s="95">
        <v>0.72</v>
      </c>
      <c r="H50" s="96">
        <f t="shared" si="1"/>
        <v>6529055.04</v>
      </c>
      <c r="I50" s="102">
        <f t="shared" si="2"/>
        <v>2539076.96</v>
      </c>
      <c r="J50" s="95">
        <f t="shared" si="3"/>
        <v>0.0791441667202539</v>
      </c>
      <c r="K50" s="102">
        <v>4063197</v>
      </c>
      <c r="L50" s="83">
        <v>17</v>
      </c>
      <c r="M50" s="109">
        <v>0.04</v>
      </c>
      <c r="N50" s="106">
        <v>-0.0039</v>
      </c>
      <c r="O50" s="106">
        <v>0.0969</v>
      </c>
    </row>
    <row r="51" spans="1:15">
      <c r="A51" s="77" t="s">
        <v>8</v>
      </c>
      <c r="B51" s="78">
        <v>44377</v>
      </c>
      <c r="C51" s="79" t="s">
        <v>38</v>
      </c>
      <c r="D51" s="80">
        <v>26438098</v>
      </c>
      <c r="E51" s="91">
        <v>0</v>
      </c>
      <c r="F51" s="92">
        <f t="shared" si="0"/>
        <v>0</v>
      </c>
      <c r="G51" s="92">
        <v>0.68</v>
      </c>
      <c r="H51" s="93">
        <f t="shared" si="1"/>
        <v>0</v>
      </c>
      <c r="I51" s="101">
        <f t="shared" si="2"/>
        <v>0</v>
      </c>
      <c r="J51" s="92">
        <f t="shared" si="3"/>
        <v>0</v>
      </c>
      <c r="K51" s="101">
        <v>0</v>
      </c>
      <c r="L51" s="79">
        <v>11</v>
      </c>
      <c r="M51" s="110">
        <v>0.04</v>
      </c>
      <c r="N51" s="105">
        <v>0.0156</v>
      </c>
      <c r="O51" s="105">
        <v>0.0969</v>
      </c>
    </row>
    <row r="52" spans="1:15">
      <c r="A52" s="81" t="s">
        <v>8</v>
      </c>
      <c r="B52" s="82">
        <v>44469</v>
      </c>
      <c r="C52" s="83" t="s">
        <v>39</v>
      </c>
      <c r="D52" s="84">
        <v>38026888</v>
      </c>
      <c r="E52" s="94">
        <v>5621486</v>
      </c>
      <c r="F52" s="95">
        <f t="shared" si="0"/>
        <v>0.147829241246352</v>
      </c>
      <c r="G52" s="95">
        <v>0.71</v>
      </c>
      <c r="H52" s="96">
        <f t="shared" si="1"/>
        <v>3991255.06</v>
      </c>
      <c r="I52" s="102">
        <f t="shared" si="2"/>
        <v>1630230.94</v>
      </c>
      <c r="J52" s="95">
        <f t="shared" si="3"/>
        <v>0.042870479961442</v>
      </c>
      <c r="K52" s="102">
        <v>3776559</v>
      </c>
      <c r="L52" s="83">
        <v>18</v>
      </c>
      <c r="M52" s="109">
        <v>0.04</v>
      </c>
      <c r="N52" s="106">
        <v>0.0184</v>
      </c>
      <c r="O52" s="106">
        <v>0.0969</v>
      </c>
    </row>
    <row r="53" spans="1:15">
      <c r="A53" s="77" t="s">
        <v>8</v>
      </c>
      <c r="B53" s="78">
        <v>44561</v>
      </c>
      <c r="C53" s="79" t="s">
        <v>40</v>
      </c>
      <c r="D53" s="80">
        <v>32668756</v>
      </c>
      <c r="E53" s="91">
        <v>2476471</v>
      </c>
      <c r="F53" s="92">
        <f t="shared" si="0"/>
        <v>0.0758054882775457</v>
      </c>
      <c r="G53" s="92">
        <v>0.71</v>
      </c>
      <c r="H53" s="93">
        <f t="shared" si="1"/>
        <v>1758294.41</v>
      </c>
      <c r="I53" s="101">
        <f t="shared" si="2"/>
        <v>718176.59</v>
      </c>
      <c r="J53" s="92">
        <f t="shared" si="3"/>
        <v>0.0219835916004882</v>
      </c>
      <c r="K53" s="101">
        <v>1183590</v>
      </c>
      <c r="L53" s="79">
        <v>15</v>
      </c>
      <c r="M53" s="110">
        <v>0.04</v>
      </c>
      <c r="N53" s="105">
        <v>0.0186</v>
      </c>
      <c r="O53" s="105">
        <v>0.0969</v>
      </c>
    </row>
    <row r="54" spans="1:15">
      <c r="A54" s="81" t="s">
        <v>8</v>
      </c>
      <c r="B54" s="82">
        <v>44651</v>
      </c>
      <c r="C54" s="83" t="s">
        <v>41</v>
      </c>
      <c r="D54" s="84">
        <v>9836028</v>
      </c>
      <c r="E54" s="94">
        <v>1833461</v>
      </c>
      <c r="F54" s="95">
        <f t="shared" si="0"/>
        <v>0.18640258039119</v>
      </c>
      <c r="G54" s="95">
        <v>0.727</v>
      </c>
      <c r="H54" s="96">
        <f t="shared" si="1"/>
        <v>1332926.147</v>
      </c>
      <c r="I54" s="102">
        <f t="shared" si="2"/>
        <v>500534.853</v>
      </c>
      <c r="J54" s="95">
        <f t="shared" si="3"/>
        <v>0.050887904446795</v>
      </c>
      <c r="K54" s="102">
        <v>1264931</v>
      </c>
      <c r="L54" s="83">
        <v>17</v>
      </c>
      <c r="M54" s="109">
        <v>0.04</v>
      </c>
      <c r="N54" s="106">
        <v>0.0002</v>
      </c>
      <c r="O54" s="106">
        <v>0.0699</v>
      </c>
    </row>
    <row r="55" spans="1:15">
      <c r="A55" s="77" t="s">
        <v>8</v>
      </c>
      <c r="B55" s="78">
        <v>44742</v>
      </c>
      <c r="C55" s="79" t="s">
        <v>42</v>
      </c>
      <c r="D55" s="80">
        <v>22030881</v>
      </c>
      <c r="E55" s="91">
        <v>296332</v>
      </c>
      <c r="F55" s="92">
        <f t="shared" si="0"/>
        <v>0.0134507557823039</v>
      </c>
      <c r="G55" s="92">
        <v>0.73</v>
      </c>
      <c r="H55" s="93">
        <f t="shared" si="1"/>
        <v>216322.36</v>
      </c>
      <c r="I55" s="101">
        <f t="shared" si="2"/>
        <v>80009.64</v>
      </c>
      <c r="J55" s="92">
        <f t="shared" si="3"/>
        <v>0.00363170406122206</v>
      </c>
      <c r="K55" s="101">
        <v>236204</v>
      </c>
      <c r="L55" s="79">
        <v>11</v>
      </c>
      <c r="M55" s="105">
        <v>0.049</v>
      </c>
      <c r="N55" s="105">
        <v>0.026</v>
      </c>
      <c r="O55" s="105">
        <v>0.0699</v>
      </c>
    </row>
    <row r="56" spans="1:15">
      <c r="A56" s="81" t="s">
        <v>8</v>
      </c>
      <c r="B56" s="82">
        <v>44834</v>
      </c>
      <c r="C56" s="83" t="s">
        <v>43</v>
      </c>
      <c r="D56" s="84">
        <v>19737721</v>
      </c>
      <c r="E56" s="94">
        <v>0</v>
      </c>
      <c r="F56" s="95">
        <f t="shared" si="0"/>
        <v>0</v>
      </c>
      <c r="G56" s="95">
        <v>0.71</v>
      </c>
      <c r="H56" s="96">
        <f t="shared" si="1"/>
        <v>0</v>
      </c>
      <c r="I56" s="102">
        <f t="shared" si="2"/>
        <v>0</v>
      </c>
      <c r="J56" s="95">
        <f t="shared" si="3"/>
        <v>0</v>
      </c>
      <c r="K56" s="102">
        <v>0</v>
      </c>
      <c r="L56" s="83">
        <v>18</v>
      </c>
      <c r="M56" s="106">
        <v>0.059</v>
      </c>
      <c r="N56" s="106">
        <v>0.0142</v>
      </c>
      <c r="O56" s="106">
        <v>0.0699</v>
      </c>
    </row>
    <row r="57" spans="1:15">
      <c r="A57" s="77" t="s">
        <v>8</v>
      </c>
      <c r="B57" s="78">
        <v>44926</v>
      </c>
      <c r="C57" s="79" t="s">
        <v>44</v>
      </c>
      <c r="D57" s="80">
        <v>28157482</v>
      </c>
      <c r="E57" s="91">
        <v>335236</v>
      </c>
      <c r="F57" s="92">
        <f t="shared" si="0"/>
        <v>0.0119057520839399</v>
      </c>
      <c r="G57" s="92">
        <v>0.73</v>
      </c>
      <c r="H57" s="93">
        <f t="shared" si="1"/>
        <v>244722.28</v>
      </c>
      <c r="I57" s="101">
        <f t="shared" si="2"/>
        <v>90513.72</v>
      </c>
      <c r="J57" s="92">
        <f t="shared" si="3"/>
        <v>0.00321455306266377</v>
      </c>
      <c r="K57" s="101">
        <v>204678</v>
      </c>
      <c r="L57" s="79">
        <v>15</v>
      </c>
      <c r="M57" s="105">
        <v>0.0625</v>
      </c>
      <c r="N57" s="105">
        <v>0.015</v>
      </c>
      <c r="O57" s="105">
        <v>0.0699</v>
      </c>
    </row>
    <row r="58" spans="1:15">
      <c r="A58" s="81" t="s">
        <v>8</v>
      </c>
      <c r="B58" s="82">
        <v>45016</v>
      </c>
      <c r="C58" s="83" t="s">
        <v>45</v>
      </c>
      <c r="D58" s="84">
        <v>32151497</v>
      </c>
      <c r="E58" s="94">
        <v>0</v>
      </c>
      <c r="F58" s="95">
        <f t="shared" si="0"/>
        <v>0</v>
      </c>
      <c r="G58" s="95">
        <v>0.73</v>
      </c>
      <c r="H58" s="96">
        <f t="shared" si="1"/>
        <v>0</v>
      </c>
      <c r="I58" s="102">
        <f t="shared" si="2"/>
        <v>0</v>
      </c>
      <c r="J58" s="95">
        <f t="shared" si="3"/>
        <v>0</v>
      </c>
      <c r="K58" s="102">
        <v>0</v>
      </c>
      <c r="L58" s="83">
        <v>14</v>
      </c>
      <c r="M58" s="106">
        <v>0.065</v>
      </c>
      <c r="N58" s="106">
        <v>0.0037</v>
      </c>
      <c r="O58" s="106">
        <v>0.0815</v>
      </c>
    </row>
    <row r="59" spans="1:15">
      <c r="A59" s="77" t="s">
        <v>8</v>
      </c>
      <c r="B59" s="78">
        <v>45107</v>
      </c>
      <c r="C59" s="79" t="s">
        <v>46</v>
      </c>
      <c r="D59" s="80">
        <v>20797966</v>
      </c>
      <c r="E59" s="91">
        <v>2427957</v>
      </c>
      <c r="F59" s="92">
        <f t="shared" si="0"/>
        <v>0.116740117759592</v>
      </c>
      <c r="G59" s="92">
        <v>0.76</v>
      </c>
      <c r="H59" s="93">
        <f t="shared" si="1"/>
        <v>1845247.32</v>
      </c>
      <c r="I59" s="101">
        <f t="shared" si="2"/>
        <v>582709.68</v>
      </c>
      <c r="J59" s="92">
        <f t="shared" si="3"/>
        <v>0.0280176282623022</v>
      </c>
      <c r="K59" s="101">
        <v>1858564</v>
      </c>
      <c r="L59" s="79">
        <v>13</v>
      </c>
      <c r="M59" s="105">
        <v>0.065</v>
      </c>
      <c r="N59" s="105">
        <v>0.0162</v>
      </c>
      <c r="O59" s="105">
        <v>0.0815</v>
      </c>
    </row>
    <row r="60" spans="1:15">
      <c r="A60" s="81" t="s">
        <v>8</v>
      </c>
      <c r="B60" s="82">
        <v>45199</v>
      </c>
      <c r="C60" s="83" t="s">
        <v>47</v>
      </c>
      <c r="D60" s="84">
        <v>16964481</v>
      </c>
      <c r="E60" s="94">
        <v>0</v>
      </c>
      <c r="F60" s="95">
        <f t="shared" si="0"/>
        <v>0</v>
      </c>
      <c r="G60" s="97">
        <v>0.74</v>
      </c>
      <c r="H60" s="96">
        <f t="shared" si="1"/>
        <v>0</v>
      </c>
      <c r="I60" s="102">
        <f t="shared" si="2"/>
        <v>0</v>
      </c>
      <c r="J60" s="95">
        <f t="shared" si="3"/>
        <v>0</v>
      </c>
      <c r="K60" s="102">
        <v>0</v>
      </c>
      <c r="L60" s="83">
        <v>10</v>
      </c>
      <c r="M60" s="106">
        <v>0.065</v>
      </c>
      <c r="N60" s="106">
        <v>0.0273</v>
      </c>
      <c r="O60" s="106">
        <v>0.0815</v>
      </c>
    </row>
    <row r="61" spans="1:15">
      <c r="A61" s="77" t="s">
        <v>8</v>
      </c>
      <c r="B61" s="78">
        <v>45291</v>
      </c>
      <c r="C61" s="79" t="s">
        <v>48</v>
      </c>
      <c r="D61" s="80">
        <v>23267068</v>
      </c>
      <c r="E61" s="91">
        <v>8231700</v>
      </c>
      <c r="F61" s="92">
        <f t="shared" si="0"/>
        <v>0.353791891612643</v>
      </c>
      <c r="G61" s="92">
        <v>0.75</v>
      </c>
      <c r="H61" s="93">
        <f t="shared" si="1"/>
        <v>6173775</v>
      </c>
      <c r="I61" s="101">
        <f t="shared" si="2"/>
        <v>2057925</v>
      </c>
      <c r="J61" s="92">
        <f t="shared" si="3"/>
        <v>0.0884479729031608</v>
      </c>
      <c r="K61" s="101">
        <v>4120737</v>
      </c>
      <c r="L61" s="79">
        <v>11</v>
      </c>
      <c r="M61" s="105">
        <v>0.065</v>
      </c>
      <c r="N61" s="105">
        <v>0.0154</v>
      </c>
      <c r="O61" s="105">
        <v>0.0815</v>
      </c>
    </row>
    <row r="62" spans="1:15">
      <c r="A62" s="81" t="s">
        <v>9</v>
      </c>
      <c r="B62" s="82">
        <v>43555</v>
      </c>
      <c r="C62" s="83" t="s">
        <v>29</v>
      </c>
      <c r="D62" s="84">
        <v>5668287</v>
      </c>
      <c r="E62" s="94">
        <v>652296</v>
      </c>
      <c r="F62" s="95">
        <f t="shared" si="0"/>
        <v>0.115078153241006</v>
      </c>
      <c r="G62" s="95">
        <v>0.71</v>
      </c>
      <c r="H62" s="96">
        <f t="shared" si="1"/>
        <v>463130.16</v>
      </c>
      <c r="I62" s="102">
        <f t="shared" si="2"/>
        <v>189165.84</v>
      </c>
      <c r="J62" s="95">
        <f t="shared" si="3"/>
        <v>0.0333726644398916</v>
      </c>
      <c r="K62" s="102">
        <v>442869</v>
      </c>
      <c r="L62" s="83">
        <v>10</v>
      </c>
      <c r="M62" s="109">
        <v>0.06</v>
      </c>
      <c r="N62" s="106">
        <v>0.0198</v>
      </c>
      <c r="O62" s="106">
        <v>0.0387</v>
      </c>
    </row>
    <row r="63" spans="1:15">
      <c r="A63" s="77" t="s">
        <v>9</v>
      </c>
      <c r="B63" s="78">
        <v>43921</v>
      </c>
      <c r="C63" s="79" t="s">
        <v>33</v>
      </c>
      <c r="D63" s="80">
        <v>8130969</v>
      </c>
      <c r="E63" s="91">
        <v>1274565</v>
      </c>
      <c r="F63" s="92">
        <f t="shared" si="0"/>
        <v>0.15675437945957</v>
      </c>
      <c r="G63" s="92">
        <v>0.72</v>
      </c>
      <c r="H63" s="93">
        <f t="shared" si="1"/>
        <v>917686.8</v>
      </c>
      <c r="I63" s="101">
        <f t="shared" si="2"/>
        <v>356878.2</v>
      </c>
      <c r="J63" s="92">
        <f t="shared" si="3"/>
        <v>0.0438912262486796</v>
      </c>
      <c r="K63" s="101">
        <v>521742</v>
      </c>
      <c r="L63" s="79">
        <v>13</v>
      </c>
      <c r="M63" s="105">
        <v>0.044</v>
      </c>
      <c r="N63" s="105">
        <v>0.001</v>
      </c>
      <c r="O63" s="105">
        <v>-0.0578</v>
      </c>
    </row>
    <row r="64" spans="1:15">
      <c r="A64" s="81" t="s">
        <v>9</v>
      </c>
      <c r="B64" s="82">
        <v>44286</v>
      </c>
      <c r="C64" s="83" t="s">
        <v>37</v>
      </c>
      <c r="D64" s="84">
        <v>18023491</v>
      </c>
      <c r="E64" s="94">
        <v>1506056</v>
      </c>
      <c r="F64" s="95">
        <f t="shared" si="0"/>
        <v>0.0835607263875794</v>
      </c>
      <c r="G64" s="95">
        <v>0.72</v>
      </c>
      <c r="H64" s="96">
        <f t="shared" si="1"/>
        <v>1084360.32</v>
      </c>
      <c r="I64" s="102">
        <f t="shared" si="2"/>
        <v>421695.68</v>
      </c>
      <c r="J64" s="95">
        <f t="shared" si="3"/>
        <v>0.0233970033885222</v>
      </c>
      <c r="K64" s="102">
        <v>550840</v>
      </c>
      <c r="L64" s="83">
        <v>20</v>
      </c>
      <c r="M64" s="109">
        <v>0.04</v>
      </c>
      <c r="N64" s="106">
        <v>-0.0039</v>
      </c>
      <c r="O64" s="106">
        <v>0.0969</v>
      </c>
    </row>
    <row r="65" spans="1:15">
      <c r="A65" s="77" t="s">
        <v>9</v>
      </c>
      <c r="B65" s="78">
        <v>44651</v>
      </c>
      <c r="C65" s="79" t="s">
        <v>41</v>
      </c>
      <c r="D65" s="80">
        <v>9526089</v>
      </c>
      <c r="E65" s="91">
        <v>463984</v>
      </c>
      <c r="F65" s="92">
        <f t="shared" si="0"/>
        <v>0.0487066623039109</v>
      </c>
      <c r="G65" s="92">
        <v>0.727</v>
      </c>
      <c r="H65" s="93">
        <f t="shared" si="1"/>
        <v>337316.368</v>
      </c>
      <c r="I65" s="101">
        <f t="shared" si="2"/>
        <v>126667.632</v>
      </c>
      <c r="J65" s="92">
        <f t="shared" si="3"/>
        <v>0.0132969188089677</v>
      </c>
      <c r="K65" s="101">
        <v>170248</v>
      </c>
      <c r="L65" s="79">
        <v>20</v>
      </c>
      <c r="M65" s="110">
        <v>0.04</v>
      </c>
      <c r="N65" s="105">
        <v>0.0002</v>
      </c>
      <c r="O65" s="105">
        <v>0.0699</v>
      </c>
    </row>
    <row r="66" spans="1:15">
      <c r="A66" s="81" t="s">
        <v>9</v>
      </c>
      <c r="B66" s="82">
        <v>45016</v>
      </c>
      <c r="C66" s="83" t="s">
        <v>45</v>
      </c>
      <c r="D66" s="84">
        <v>12811572</v>
      </c>
      <c r="E66" s="94">
        <v>2164096</v>
      </c>
      <c r="F66" s="95">
        <f>E66/D66</f>
        <v>0.168917288214124</v>
      </c>
      <c r="G66" s="95">
        <v>0.73</v>
      </c>
      <c r="H66" s="96">
        <f t="shared" ref="H66:H101" si="4">E66*G66</f>
        <v>1579790.08</v>
      </c>
      <c r="I66" s="102">
        <f t="shared" ref="I66:I101" si="5">E66-H66</f>
        <v>584305.92</v>
      </c>
      <c r="J66" s="95">
        <f t="shared" ref="J66:J101" si="6">I66/D66</f>
        <v>0.0456076678178135</v>
      </c>
      <c r="K66" s="102">
        <v>1228598</v>
      </c>
      <c r="L66" s="83">
        <v>18</v>
      </c>
      <c r="M66" s="106">
        <v>0.065</v>
      </c>
      <c r="N66" s="106">
        <v>0.0037</v>
      </c>
      <c r="O66" s="106">
        <v>0.0815</v>
      </c>
    </row>
    <row r="67" spans="1:15">
      <c r="A67" s="77" t="s">
        <v>9</v>
      </c>
      <c r="B67" s="78">
        <v>43646</v>
      </c>
      <c r="C67" s="79" t="s">
        <v>30</v>
      </c>
      <c r="D67" s="80">
        <v>9594533</v>
      </c>
      <c r="E67" s="91">
        <v>1957744</v>
      </c>
      <c r="F67" s="92">
        <f t="shared" ref="F67:F101" si="7">E67/D67</f>
        <v>0.204047867676311</v>
      </c>
      <c r="G67" s="92">
        <v>0.71</v>
      </c>
      <c r="H67" s="93">
        <f t="shared" si="4"/>
        <v>1389998.24</v>
      </c>
      <c r="I67" s="101">
        <f t="shared" si="5"/>
        <v>567745.76</v>
      </c>
      <c r="J67" s="92">
        <f t="shared" si="6"/>
        <v>0.0591738816261302</v>
      </c>
      <c r="K67" s="101">
        <v>684989</v>
      </c>
      <c r="L67" s="79">
        <v>15</v>
      </c>
      <c r="M67" s="105">
        <v>0.0575</v>
      </c>
      <c r="N67" s="105">
        <v>0.0205</v>
      </c>
      <c r="O67" s="105">
        <v>0.0387</v>
      </c>
    </row>
    <row r="68" spans="1:15">
      <c r="A68" s="81" t="s">
        <v>9</v>
      </c>
      <c r="B68" s="82">
        <v>44012</v>
      </c>
      <c r="C68" s="83" t="s">
        <v>34</v>
      </c>
      <c r="D68" s="84">
        <v>10428389</v>
      </c>
      <c r="E68" s="94">
        <v>2548514</v>
      </c>
      <c r="F68" s="95">
        <f t="shared" si="7"/>
        <v>0.244382329811441</v>
      </c>
      <c r="G68" s="95">
        <v>0.68</v>
      </c>
      <c r="H68" s="96">
        <f t="shared" si="4"/>
        <v>1732989.52</v>
      </c>
      <c r="I68" s="102">
        <f t="shared" si="5"/>
        <v>815524.48</v>
      </c>
      <c r="J68" s="95">
        <f t="shared" si="6"/>
        <v>0.078202345539661</v>
      </c>
      <c r="K68" s="102">
        <v>828456</v>
      </c>
      <c r="L68" s="83">
        <v>18</v>
      </c>
      <c r="M68" s="108">
        <v>0.04</v>
      </c>
      <c r="N68" s="106">
        <v>0.0071</v>
      </c>
      <c r="O68" s="106">
        <v>-0.0578</v>
      </c>
    </row>
    <row r="69" spans="1:15">
      <c r="A69" s="77" t="s">
        <v>9</v>
      </c>
      <c r="B69" s="78">
        <v>44377</v>
      </c>
      <c r="C69" s="79" t="s">
        <v>38</v>
      </c>
      <c r="D69" s="80">
        <v>4743294</v>
      </c>
      <c r="E69" s="91">
        <v>1147315</v>
      </c>
      <c r="F69" s="92">
        <f t="shared" si="7"/>
        <v>0.24188148573544</v>
      </c>
      <c r="G69" s="92">
        <v>0.68</v>
      </c>
      <c r="H69" s="93">
        <f t="shared" si="4"/>
        <v>780174.2</v>
      </c>
      <c r="I69" s="101">
        <f t="shared" si="5"/>
        <v>367140.8</v>
      </c>
      <c r="J69" s="92">
        <f t="shared" si="6"/>
        <v>0.0774020754353409</v>
      </c>
      <c r="K69" s="101">
        <v>279630</v>
      </c>
      <c r="L69" s="79">
        <v>10</v>
      </c>
      <c r="M69" s="110">
        <v>0.04</v>
      </c>
      <c r="N69" s="105">
        <v>0.0156</v>
      </c>
      <c r="O69" s="105">
        <v>0.0969</v>
      </c>
    </row>
    <row r="70" spans="1:15">
      <c r="A70" s="81" t="s">
        <v>9</v>
      </c>
      <c r="B70" s="82">
        <v>44742</v>
      </c>
      <c r="C70" s="83" t="s">
        <v>42</v>
      </c>
      <c r="D70" s="84">
        <v>8949029</v>
      </c>
      <c r="E70" s="94">
        <v>1455178</v>
      </c>
      <c r="F70" s="95">
        <f t="shared" si="7"/>
        <v>0.162607362206559</v>
      </c>
      <c r="G70" s="95">
        <v>0.73</v>
      </c>
      <c r="H70" s="96">
        <f t="shared" si="4"/>
        <v>1062279.94</v>
      </c>
      <c r="I70" s="102">
        <f t="shared" si="5"/>
        <v>392898.06</v>
      </c>
      <c r="J70" s="95">
        <f t="shared" si="6"/>
        <v>0.0439039877957709</v>
      </c>
      <c r="K70" s="102">
        <v>576281</v>
      </c>
      <c r="L70" s="83">
        <v>10</v>
      </c>
      <c r="M70" s="106">
        <v>0.049</v>
      </c>
      <c r="N70" s="106">
        <v>0.026</v>
      </c>
      <c r="O70" s="106">
        <v>0.0699</v>
      </c>
    </row>
    <row r="71" spans="1:15">
      <c r="A71" s="77" t="s">
        <v>9</v>
      </c>
      <c r="B71" s="78">
        <v>45107</v>
      </c>
      <c r="C71" s="79" t="s">
        <v>46</v>
      </c>
      <c r="D71" s="80">
        <v>11463614</v>
      </c>
      <c r="E71" s="91">
        <v>3505788</v>
      </c>
      <c r="F71" s="92">
        <f t="shared" si="7"/>
        <v>0.305818740931089</v>
      </c>
      <c r="G71" s="92">
        <v>0.76</v>
      </c>
      <c r="H71" s="93">
        <f t="shared" si="4"/>
        <v>2664398.88</v>
      </c>
      <c r="I71" s="101">
        <f t="shared" si="5"/>
        <v>841389.12</v>
      </c>
      <c r="J71" s="92">
        <f t="shared" si="6"/>
        <v>0.0733964978234613</v>
      </c>
      <c r="K71" s="101">
        <v>1513764</v>
      </c>
      <c r="L71" s="79">
        <v>15</v>
      </c>
      <c r="M71" s="105">
        <v>0.065</v>
      </c>
      <c r="N71" s="105">
        <v>0.0162</v>
      </c>
      <c r="O71" s="105">
        <v>0.0815</v>
      </c>
    </row>
    <row r="72" spans="1:15">
      <c r="A72" s="81" t="s">
        <v>9</v>
      </c>
      <c r="B72" s="82">
        <v>43738</v>
      </c>
      <c r="C72" s="83" t="s">
        <v>31</v>
      </c>
      <c r="D72" s="84">
        <v>8630672</v>
      </c>
      <c r="E72" s="94">
        <v>3661320</v>
      </c>
      <c r="F72" s="95">
        <f t="shared" si="7"/>
        <v>0.424221891412395</v>
      </c>
      <c r="G72" s="95">
        <v>0.7</v>
      </c>
      <c r="H72" s="96">
        <f t="shared" si="4"/>
        <v>2562924</v>
      </c>
      <c r="I72" s="102">
        <f t="shared" si="5"/>
        <v>1098396</v>
      </c>
      <c r="J72" s="95">
        <f t="shared" si="6"/>
        <v>0.127266567423719</v>
      </c>
      <c r="K72" s="102">
        <v>1491070</v>
      </c>
      <c r="L72" s="83">
        <v>13</v>
      </c>
      <c r="M72" s="106">
        <v>0.054</v>
      </c>
      <c r="N72" s="106">
        <v>0.0201</v>
      </c>
      <c r="O72" s="106">
        <v>0.0387</v>
      </c>
    </row>
    <row r="73" spans="1:15">
      <c r="A73" s="77" t="s">
        <v>9</v>
      </c>
      <c r="B73" s="78">
        <v>44104</v>
      </c>
      <c r="C73" s="79" t="s">
        <v>35</v>
      </c>
      <c r="D73" s="80">
        <v>6811661</v>
      </c>
      <c r="E73" s="91">
        <v>2315091</v>
      </c>
      <c r="F73" s="92">
        <f t="shared" si="7"/>
        <v>0.339871728789791</v>
      </c>
      <c r="G73" s="92">
        <v>0.68</v>
      </c>
      <c r="H73" s="93">
        <f t="shared" si="4"/>
        <v>1574261.88</v>
      </c>
      <c r="I73" s="101">
        <f t="shared" si="5"/>
        <v>740829.12</v>
      </c>
      <c r="J73" s="92">
        <f t="shared" si="6"/>
        <v>0.108758953212733</v>
      </c>
      <c r="K73" s="101">
        <v>1114656</v>
      </c>
      <c r="L73" s="79">
        <v>10</v>
      </c>
      <c r="M73" s="107">
        <v>0.04</v>
      </c>
      <c r="N73" s="105">
        <v>0.0233</v>
      </c>
      <c r="O73" s="105">
        <v>-0.0578</v>
      </c>
    </row>
    <row r="74" spans="1:15">
      <c r="A74" s="81" t="s">
        <v>9</v>
      </c>
      <c r="B74" s="82">
        <v>44469</v>
      </c>
      <c r="C74" s="83" t="s">
        <v>39</v>
      </c>
      <c r="D74" s="84">
        <v>7315291</v>
      </c>
      <c r="E74" s="94">
        <v>1131476</v>
      </c>
      <c r="F74" s="95">
        <f t="shared" si="7"/>
        <v>0.154672725938039</v>
      </c>
      <c r="G74" s="95">
        <v>0.71</v>
      </c>
      <c r="H74" s="96">
        <f t="shared" si="4"/>
        <v>803347.96</v>
      </c>
      <c r="I74" s="102">
        <f t="shared" si="5"/>
        <v>328128.04</v>
      </c>
      <c r="J74" s="95">
        <f t="shared" si="6"/>
        <v>0.0448550905220312</v>
      </c>
      <c r="K74" s="102">
        <v>629736</v>
      </c>
      <c r="L74" s="83">
        <v>10</v>
      </c>
      <c r="M74" s="109">
        <v>0.04</v>
      </c>
      <c r="N74" s="106">
        <v>0.0184</v>
      </c>
      <c r="O74" s="106">
        <v>0.0969</v>
      </c>
    </row>
    <row r="75" spans="1:15">
      <c r="A75" s="77" t="s">
        <v>9</v>
      </c>
      <c r="B75" s="78">
        <v>44834</v>
      </c>
      <c r="C75" s="79" t="s">
        <v>43</v>
      </c>
      <c r="D75" s="80">
        <v>6638916</v>
      </c>
      <c r="E75" s="91">
        <v>1033561</v>
      </c>
      <c r="F75" s="92">
        <f t="shared" si="7"/>
        <v>0.155682192695313</v>
      </c>
      <c r="G75" s="92">
        <v>0.71</v>
      </c>
      <c r="H75" s="93">
        <f t="shared" si="4"/>
        <v>733828.31</v>
      </c>
      <c r="I75" s="101">
        <f t="shared" si="5"/>
        <v>299732.69</v>
      </c>
      <c r="J75" s="92">
        <f t="shared" si="6"/>
        <v>0.0451478358816409</v>
      </c>
      <c r="K75" s="101">
        <v>536211</v>
      </c>
      <c r="L75" s="79">
        <v>10</v>
      </c>
      <c r="M75" s="105">
        <v>0.059</v>
      </c>
      <c r="N75" s="105">
        <v>0.0142</v>
      </c>
      <c r="O75" s="105">
        <v>0.0699</v>
      </c>
    </row>
    <row r="76" spans="1:15">
      <c r="A76" s="81" t="s">
        <v>9</v>
      </c>
      <c r="B76" s="82">
        <v>45199</v>
      </c>
      <c r="C76" s="83" t="s">
        <v>47</v>
      </c>
      <c r="D76" s="84">
        <v>5212202</v>
      </c>
      <c r="E76" s="94">
        <v>287822</v>
      </c>
      <c r="F76" s="95">
        <f t="shared" si="7"/>
        <v>0.0552208068681912</v>
      </c>
      <c r="G76" s="97">
        <v>0.74</v>
      </c>
      <c r="H76" s="96">
        <f t="shared" si="4"/>
        <v>212988.28</v>
      </c>
      <c r="I76" s="102">
        <f t="shared" si="5"/>
        <v>74833.72</v>
      </c>
      <c r="J76" s="95">
        <f t="shared" si="6"/>
        <v>0.0143574097857297</v>
      </c>
      <c r="K76" s="102">
        <v>123156</v>
      </c>
      <c r="L76" s="83">
        <v>11</v>
      </c>
      <c r="M76" s="106">
        <v>0.065</v>
      </c>
      <c r="N76" s="106">
        <v>0.0273</v>
      </c>
      <c r="O76" s="106">
        <v>0.0815</v>
      </c>
    </row>
    <row r="77" spans="1:15">
      <c r="A77" s="77" t="s">
        <v>9</v>
      </c>
      <c r="B77" s="78">
        <v>43830</v>
      </c>
      <c r="C77" s="79" t="s">
        <v>32</v>
      </c>
      <c r="D77" s="80">
        <v>9501281</v>
      </c>
      <c r="E77" s="91">
        <v>1672035</v>
      </c>
      <c r="F77" s="92">
        <f t="shared" si="7"/>
        <v>0.17597995470295</v>
      </c>
      <c r="G77" s="92">
        <v>0.68</v>
      </c>
      <c r="H77" s="93">
        <f t="shared" si="4"/>
        <v>1136983.8</v>
      </c>
      <c r="I77" s="101">
        <f t="shared" si="5"/>
        <v>535051.2</v>
      </c>
      <c r="J77" s="92">
        <f t="shared" si="6"/>
        <v>0.056313585504944</v>
      </c>
      <c r="K77" s="101">
        <v>1148592</v>
      </c>
      <c r="L77" s="79">
        <v>18</v>
      </c>
      <c r="M77" s="105">
        <v>0.0515</v>
      </c>
      <c r="N77" s="105">
        <v>0.0228</v>
      </c>
      <c r="O77" s="105">
        <v>0.0387</v>
      </c>
    </row>
    <row r="78" spans="1:15">
      <c r="A78" s="81" t="s">
        <v>9</v>
      </c>
      <c r="B78" s="82">
        <v>44196</v>
      </c>
      <c r="C78" s="83" t="s">
        <v>36</v>
      </c>
      <c r="D78" s="84">
        <v>8342129</v>
      </c>
      <c r="E78" s="94">
        <v>1034468</v>
      </c>
      <c r="F78" s="95">
        <f t="shared" si="7"/>
        <v>0.124005274912435</v>
      </c>
      <c r="G78" s="95">
        <v>0.744</v>
      </c>
      <c r="H78" s="96">
        <f t="shared" si="4"/>
        <v>769644.192</v>
      </c>
      <c r="I78" s="102">
        <f t="shared" si="5"/>
        <v>264823.808</v>
      </c>
      <c r="J78" s="95">
        <f t="shared" si="6"/>
        <v>0.0317453503775835</v>
      </c>
      <c r="K78" s="102">
        <v>239017</v>
      </c>
      <c r="L78" s="83">
        <v>14</v>
      </c>
      <c r="M78" s="108">
        <v>0.04</v>
      </c>
      <c r="N78" s="106">
        <v>0.0172</v>
      </c>
      <c r="O78" s="106">
        <v>-0.0578</v>
      </c>
    </row>
    <row r="79" spans="1:15">
      <c r="A79" s="77" t="s">
        <v>9</v>
      </c>
      <c r="B79" s="78">
        <v>44561</v>
      </c>
      <c r="C79" s="79" t="s">
        <v>40</v>
      </c>
      <c r="D79" s="80">
        <v>2082204</v>
      </c>
      <c r="E79" s="91">
        <v>1485497</v>
      </c>
      <c r="F79" s="92">
        <f t="shared" si="7"/>
        <v>0.713425293583146</v>
      </c>
      <c r="G79" s="92">
        <v>0.71</v>
      </c>
      <c r="H79" s="93">
        <f t="shared" si="4"/>
        <v>1054702.87</v>
      </c>
      <c r="I79" s="101">
        <f t="shared" si="5"/>
        <v>430794.13</v>
      </c>
      <c r="J79" s="92">
        <f t="shared" si="6"/>
        <v>0.206893335139112</v>
      </c>
      <c r="K79" s="101">
        <v>497206</v>
      </c>
      <c r="L79" s="79">
        <v>9</v>
      </c>
      <c r="M79" s="110">
        <v>0.04</v>
      </c>
      <c r="N79" s="105">
        <v>0.0186</v>
      </c>
      <c r="O79" s="105">
        <v>0.0969</v>
      </c>
    </row>
    <row r="80" spans="1:15">
      <c r="A80" s="81" t="s">
        <v>9</v>
      </c>
      <c r="B80" s="82">
        <v>44926</v>
      </c>
      <c r="C80" s="83" t="s">
        <v>44</v>
      </c>
      <c r="D80" s="84">
        <v>5814329</v>
      </c>
      <c r="E80" s="94">
        <v>1996889</v>
      </c>
      <c r="F80" s="95">
        <f t="shared" si="7"/>
        <v>0.343442725721231</v>
      </c>
      <c r="G80" s="95">
        <v>0.73</v>
      </c>
      <c r="H80" s="96">
        <f t="shared" si="4"/>
        <v>1457728.97</v>
      </c>
      <c r="I80" s="102">
        <f t="shared" si="5"/>
        <v>539160.03</v>
      </c>
      <c r="J80" s="95">
        <f t="shared" si="6"/>
        <v>0.0927295359447324</v>
      </c>
      <c r="K80" s="102">
        <v>610874</v>
      </c>
      <c r="L80" s="83">
        <v>9</v>
      </c>
      <c r="M80" s="106">
        <v>0.0625</v>
      </c>
      <c r="N80" s="106">
        <v>0.015</v>
      </c>
      <c r="O80" s="106">
        <v>0.0699</v>
      </c>
    </row>
    <row r="81" spans="1:15">
      <c r="A81" s="77" t="s">
        <v>9</v>
      </c>
      <c r="B81" s="78">
        <v>45291</v>
      </c>
      <c r="C81" s="79" t="s">
        <v>48</v>
      </c>
      <c r="D81" s="80">
        <v>7537730</v>
      </c>
      <c r="E81" s="91">
        <v>5359491</v>
      </c>
      <c r="F81" s="92">
        <f t="shared" si="7"/>
        <v>0.711021885899336</v>
      </c>
      <c r="G81" s="92">
        <v>0.75</v>
      </c>
      <c r="H81" s="93">
        <f t="shared" si="4"/>
        <v>4019618.25</v>
      </c>
      <c r="I81" s="101">
        <f t="shared" si="5"/>
        <v>1339872.75</v>
      </c>
      <c r="J81" s="92">
        <f t="shared" si="6"/>
        <v>0.177755471474834</v>
      </c>
      <c r="K81" s="101">
        <v>2573382</v>
      </c>
      <c r="L81" s="79">
        <v>13</v>
      </c>
      <c r="M81" s="105">
        <v>0.065</v>
      </c>
      <c r="N81" s="105">
        <v>0.0154</v>
      </c>
      <c r="O81" s="105">
        <v>0.0815</v>
      </c>
    </row>
    <row r="82" ht="17" spans="1:15">
      <c r="A82" s="111" t="s">
        <v>10</v>
      </c>
      <c r="B82" s="82">
        <v>43555</v>
      </c>
      <c r="C82" s="83" t="s">
        <v>29</v>
      </c>
      <c r="D82" s="84">
        <v>16021234</v>
      </c>
      <c r="E82" s="94">
        <v>2422715</v>
      </c>
      <c r="F82" s="95">
        <f t="shared" si="7"/>
        <v>0.15121900098332</v>
      </c>
      <c r="G82" s="95">
        <v>0.71</v>
      </c>
      <c r="H82" s="96">
        <f t="shared" si="4"/>
        <v>1720127.65</v>
      </c>
      <c r="I82" s="102">
        <f t="shared" si="5"/>
        <v>702587.35</v>
      </c>
      <c r="J82" s="95">
        <f t="shared" si="6"/>
        <v>0.0438535102851628</v>
      </c>
      <c r="K82" s="102">
        <v>760153</v>
      </c>
      <c r="L82" s="83">
        <v>12</v>
      </c>
      <c r="M82" s="109">
        <v>0.06</v>
      </c>
      <c r="N82" s="106">
        <v>0.0198</v>
      </c>
      <c r="O82" s="106">
        <v>0.0387</v>
      </c>
    </row>
    <row r="83" spans="1:15">
      <c r="A83" s="77" t="s">
        <v>10</v>
      </c>
      <c r="B83" s="78">
        <v>43921</v>
      </c>
      <c r="C83" s="79" t="s">
        <v>33</v>
      </c>
      <c r="D83" s="80">
        <v>19301040</v>
      </c>
      <c r="E83" s="91">
        <v>6309164</v>
      </c>
      <c r="F83" s="92">
        <f t="shared" si="7"/>
        <v>0.326882074748304</v>
      </c>
      <c r="G83" s="92">
        <v>0.72</v>
      </c>
      <c r="H83" s="93">
        <f t="shared" si="4"/>
        <v>4542598.08</v>
      </c>
      <c r="I83" s="101">
        <f t="shared" si="5"/>
        <v>1766565.92</v>
      </c>
      <c r="J83" s="92">
        <f t="shared" si="6"/>
        <v>0.091526980929525</v>
      </c>
      <c r="K83" s="101">
        <v>3474259</v>
      </c>
      <c r="L83" s="79">
        <v>15</v>
      </c>
      <c r="M83" s="105">
        <v>0.044</v>
      </c>
      <c r="N83" s="105">
        <v>0.001</v>
      </c>
      <c r="O83" s="105">
        <v>-0.0578</v>
      </c>
    </row>
    <row r="84" spans="1:15">
      <c r="A84" s="81" t="s">
        <v>10</v>
      </c>
      <c r="B84" s="82">
        <v>44286</v>
      </c>
      <c r="C84" s="83" t="s">
        <v>37</v>
      </c>
      <c r="D84" s="84">
        <v>15280554</v>
      </c>
      <c r="E84" s="94">
        <v>9534273</v>
      </c>
      <c r="F84" s="95">
        <f t="shared" si="7"/>
        <v>0.623948123870378</v>
      </c>
      <c r="G84" s="95">
        <v>0.72</v>
      </c>
      <c r="H84" s="96">
        <f t="shared" si="4"/>
        <v>6864676.56</v>
      </c>
      <c r="I84" s="102">
        <f t="shared" si="5"/>
        <v>2669596.44</v>
      </c>
      <c r="J84" s="95">
        <f t="shared" si="6"/>
        <v>0.174705474683706</v>
      </c>
      <c r="K84" s="102">
        <v>3484205</v>
      </c>
      <c r="L84" s="83">
        <v>14</v>
      </c>
      <c r="M84" s="109">
        <v>0.04</v>
      </c>
      <c r="N84" s="106">
        <v>-0.0039</v>
      </c>
      <c r="O84" s="106">
        <v>0.0969</v>
      </c>
    </row>
    <row r="85" spans="1:15">
      <c r="A85" s="77" t="s">
        <v>10</v>
      </c>
      <c r="B85" s="78">
        <v>44651</v>
      </c>
      <c r="C85" s="79" t="s">
        <v>41</v>
      </c>
      <c r="D85" s="80">
        <v>26143513</v>
      </c>
      <c r="E85" s="91">
        <v>7704642</v>
      </c>
      <c r="F85" s="92">
        <f t="shared" si="7"/>
        <v>0.294705688558382</v>
      </c>
      <c r="G85" s="92">
        <v>0.727</v>
      </c>
      <c r="H85" s="93">
        <f t="shared" si="4"/>
        <v>5601274.734</v>
      </c>
      <c r="I85" s="101">
        <f t="shared" si="5"/>
        <v>2103367.266</v>
      </c>
      <c r="J85" s="92">
        <f t="shared" si="6"/>
        <v>0.0804546529764382</v>
      </c>
      <c r="K85" s="101">
        <v>2414553</v>
      </c>
      <c r="L85" s="79">
        <v>14</v>
      </c>
      <c r="M85" s="110">
        <v>0.04</v>
      </c>
      <c r="N85" s="105">
        <v>0.0002</v>
      </c>
      <c r="O85" s="105">
        <v>0.0699</v>
      </c>
    </row>
    <row r="86" spans="1:15">
      <c r="A86" s="81" t="s">
        <v>10</v>
      </c>
      <c r="B86" s="82">
        <v>45016</v>
      </c>
      <c r="C86" s="83" t="s">
        <v>45</v>
      </c>
      <c r="D86" s="84">
        <v>19367018</v>
      </c>
      <c r="E86" s="94">
        <v>7814971</v>
      </c>
      <c r="F86" s="95">
        <f t="shared" si="7"/>
        <v>0.40351958158969</v>
      </c>
      <c r="G86" s="95">
        <v>0.73</v>
      </c>
      <c r="H86" s="96">
        <f t="shared" si="4"/>
        <v>5704928.83</v>
      </c>
      <c r="I86" s="102">
        <f t="shared" si="5"/>
        <v>2110042.17</v>
      </c>
      <c r="J86" s="95">
        <f t="shared" si="6"/>
        <v>0.108950287029216</v>
      </c>
      <c r="K86" s="102">
        <v>2570931</v>
      </c>
      <c r="L86" s="83">
        <v>16</v>
      </c>
      <c r="M86" s="106">
        <v>0.065</v>
      </c>
      <c r="N86" s="106">
        <v>0.0037</v>
      </c>
      <c r="O86" s="106">
        <v>0.0815</v>
      </c>
    </row>
    <row r="87" ht="17" spans="1:15">
      <c r="A87" s="112" t="s">
        <v>10</v>
      </c>
      <c r="B87" s="78">
        <v>43646</v>
      </c>
      <c r="C87" s="79" t="s">
        <v>30</v>
      </c>
      <c r="D87" s="80">
        <v>18370583</v>
      </c>
      <c r="E87" s="91">
        <v>7888355</v>
      </c>
      <c r="F87" s="92">
        <f t="shared" si="7"/>
        <v>0.429401451222316</v>
      </c>
      <c r="G87" s="92">
        <v>0.71</v>
      </c>
      <c r="H87" s="93">
        <f t="shared" si="4"/>
        <v>5600732.05</v>
      </c>
      <c r="I87" s="101">
        <f t="shared" si="5"/>
        <v>2287622.95</v>
      </c>
      <c r="J87" s="92">
        <f t="shared" si="6"/>
        <v>0.124526420854472</v>
      </c>
      <c r="K87" s="101">
        <v>3402932</v>
      </c>
      <c r="L87" s="79">
        <v>18</v>
      </c>
      <c r="M87" s="105">
        <v>0.0575</v>
      </c>
      <c r="N87" s="105">
        <v>0.0205</v>
      </c>
      <c r="O87" s="105">
        <v>0.0387</v>
      </c>
    </row>
    <row r="88" spans="1:15">
      <c r="A88" s="81" t="s">
        <v>10</v>
      </c>
      <c r="B88" s="82">
        <v>44012</v>
      </c>
      <c r="C88" s="83" t="s">
        <v>34</v>
      </c>
      <c r="D88" s="84">
        <v>16420163</v>
      </c>
      <c r="E88" s="94">
        <v>4253822</v>
      </c>
      <c r="F88" s="95">
        <f t="shared" si="7"/>
        <v>0.259060887519813</v>
      </c>
      <c r="G88" s="95">
        <v>0.68</v>
      </c>
      <c r="H88" s="96">
        <f t="shared" si="4"/>
        <v>2892598.96</v>
      </c>
      <c r="I88" s="102">
        <f t="shared" si="5"/>
        <v>1361223.04</v>
      </c>
      <c r="J88" s="95">
        <f t="shared" si="6"/>
        <v>0.0828994840063402</v>
      </c>
      <c r="K88" s="102">
        <v>1805357</v>
      </c>
      <c r="L88" s="83">
        <v>16</v>
      </c>
      <c r="M88" s="108">
        <v>0.04</v>
      </c>
      <c r="N88" s="106">
        <v>0.0071</v>
      </c>
      <c r="O88" s="106">
        <v>-0.0578</v>
      </c>
    </row>
    <row r="89" spans="1:15">
      <c r="A89" s="77" t="s">
        <v>10</v>
      </c>
      <c r="B89" s="78">
        <v>44377</v>
      </c>
      <c r="C89" s="79" t="s">
        <v>38</v>
      </c>
      <c r="D89" s="80">
        <v>24978769</v>
      </c>
      <c r="E89" s="91">
        <v>7468043</v>
      </c>
      <c r="F89" s="92">
        <f t="shared" si="7"/>
        <v>0.298975622057276</v>
      </c>
      <c r="G89" s="92">
        <v>0.68</v>
      </c>
      <c r="H89" s="93">
        <f t="shared" si="4"/>
        <v>5078269.24</v>
      </c>
      <c r="I89" s="101">
        <f t="shared" si="5"/>
        <v>2389773.76</v>
      </c>
      <c r="J89" s="92">
        <f t="shared" si="6"/>
        <v>0.0956721990583283</v>
      </c>
      <c r="K89" s="101">
        <v>3611344</v>
      </c>
      <c r="L89" s="79">
        <v>14</v>
      </c>
      <c r="M89" s="110">
        <v>0.04</v>
      </c>
      <c r="N89" s="105">
        <v>0.0156</v>
      </c>
      <c r="O89" s="105">
        <v>0.0969</v>
      </c>
    </row>
    <row r="90" spans="1:15">
      <c r="A90" s="81" t="s">
        <v>10</v>
      </c>
      <c r="B90" s="82">
        <v>44742</v>
      </c>
      <c r="C90" s="83" t="s">
        <v>42</v>
      </c>
      <c r="D90" s="84">
        <v>24401279</v>
      </c>
      <c r="E90" s="94">
        <v>10497755</v>
      </c>
      <c r="F90" s="95">
        <f t="shared" si="7"/>
        <v>0.430213309720363</v>
      </c>
      <c r="G90" s="95">
        <v>0.73</v>
      </c>
      <c r="H90" s="96">
        <f t="shared" si="4"/>
        <v>7663361.15</v>
      </c>
      <c r="I90" s="102">
        <f t="shared" si="5"/>
        <v>2834393.85</v>
      </c>
      <c r="J90" s="95">
        <f t="shared" si="6"/>
        <v>0.116157593624498</v>
      </c>
      <c r="K90" s="102">
        <v>5640949</v>
      </c>
      <c r="L90" s="83">
        <v>14</v>
      </c>
      <c r="M90" s="106">
        <v>0.049</v>
      </c>
      <c r="N90" s="106">
        <v>0.026</v>
      </c>
      <c r="O90" s="106">
        <v>0.0699</v>
      </c>
    </row>
    <row r="91" spans="1:15">
      <c r="A91" s="77" t="s">
        <v>10</v>
      </c>
      <c r="B91" s="78">
        <v>45107</v>
      </c>
      <c r="C91" s="79" t="s">
        <v>46</v>
      </c>
      <c r="D91" s="80">
        <v>9839314</v>
      </c>
      <c r="E91" s="91">
        <v>3697933</v>
      </c>
      <c r="F91" s="92">
        <f t="shared" si="7"/>
        <v>0.375832400510849</v>
      </c>
      <c r="G91" s="92">
        <v>0.76</v>
      </c>
      <c r="H91" s="93">
        <f t="shared" si="4"/>
        <v>2810429.08</v>
      </c>
      <c r="I91" s="101">
        <f t="shared" si="5"/>
        <v>887503.92</v>
      </c>
      <c r="J91" s="92">
        <f t="shared" si="6"/>
        <v>0.0901997761226037</v>
      </c>
      <c r="K91" s="101">
        <v>1817281</v>
      </c>
      <c r="L91" s="79">
        <v>12</v>
      </c>
      <c r="M91" s="105">
        <v>0.065</v>
      </c>
      <c r="N91" s="105">
        <v>0.0162</v>
      </c>
      <c r="O91" s="105">
        <v>0.0815</v>
      </c>
    </row>
    <row r="92" ht="17" spans="1:15">
      <c r="A92" s="111" t="s">
        <v>10</v>
      </c>
      <c r="B92" s="82">
        <v>43738</v>
      </c>
      <c r="C92" s="83" t="s">
        <v>31</v>
      </c>
      <c r="D92" s="84">
        <v>14370691</v>
      </c>
      <c r="E92" s="94">
        <v>3212325</v>
      </c>
      <c r="F92" s="95">
        <f t="shared" si="7"/>
        <v>0.223533092458811</v>
      </c>
      <c r="G92" s="95">
        <v>0.7</v>
      </c>
      <c r="H92" s="96">
        <f t="shared" si="4"/>
        <v>2248627.5</v>
      </c>
      <c r="I92" s="102">
        <f t="shared" si="5"/>
        <v>963697.5</v>
      </c>
      <c r="J92" s="95">
        <f t="shared" si="6"/>
        <v>0.0670599277376432</v>
      </c>
      <c r="K92" s="102">
        <v>1667738</v>
      </c>
      <c r="L92" s="83">
        <v>19</v>
      </c>
      <c r="M92" s="106">
        <v>0.054</v>
      </c>
      <c r="N92" s="106">
        <v>0.0201</v>
      </c>
      <c r="O92" s="106">
        <v>0.0387</v>
      </c>
    </row>
    <row r="93" spans="1:15">
      <c r="A93" s="77" t="s">
        <v>10</v>
      </c>
      <c r="B93" s="78">
        <v>44104</v>
      </c>
      <c r="C93" s="79" t="s">
        <v>35</v>
      </c>
      <c r="D93" s="80">
        <v>17027938</v>
      </c>
      <c r="E93" s="91">
        <v>9230030</v>
      </c>
      <c r="F93" s="92">
        <f t="shared" si="7"/>
        <v>0.542052126334968</v>
      </c>
      <c r="G93" s="92">
        <v>0.68</v>
      </c>
      <c r="H93" s="93">
        <f t="shared" si="4"/>
        <v>6276420.4</v>
      </c>
      <c r="I93" s="101">
        <f t="shared" si="5"/>
        <v>2953609.6</v>
      </c>
      <c r="J93" s="92">
        <f t="shared" si="6"/>
        <v>0.17345668042719</v>
      </c>
      <c r="K93" s="101">
        <v>6051431</v>
      </c>
      <c r="L93" s="79">
        <v>17</v>
      </c>
      <c r="M93" s="107">
        <v>0.04</v>
      </c>
      <c r="N93" s="105">
        <v>0.0233</v>
      </c>
      <c r="O93" s="105">
        <v>-0.0578</v>
      </c>
    </row>
    <row r="94" spans="1:15">
      <c r="A94" s="81" t="s">
        <v>10</v>
      </c>
      <c r="B94" s="82">
        <v>44469</v>
      </c>
      <c r="C94" s="83" t="s">
        <v>39</v>
      </c>
      <c r="D94" s="84">
        <v>11421288</v>
      </c>
      <c r="E94" s="94">
        <v>3076418</v>
      </c>
      <c r="F94" s="95">
        <f t="shared" si="7"/>
        <v>0.269358237004443</v>
      </c>
      <c r="G94" s="95">
        <v>0.71</v>
      </c>
      <c r="H94" s="96">
        <f t="shared" si="4"/>
        <v>2184256.78</v>
      </c>
      <c r="I94" s="102">
        <f t="shared" si="5"/>
        <v>892161.22</v>
      </c>
      <c r="J94" s="95">
        <f t="shared" si="6"/>
        <v>0.0781138887312885</v>
      </c>
      <c r="K94" s="102">
        <v>1463082</v>
      </c>
      <c r="L94" s="83">
        <v>17</v>
      </c>
      <c r="M94" s="109">
        <v>0.04</v>
      </c>
      <c r="N94" s="106">
        <v>0.0184</v>
      </c>
      <c r="O94" s="106">
        <v>0.0969</v>
      </c>
    </row>
    <row r="95" spans="1:15">
      <c r="A95" s="77" t="s">
        <v>10</v>
      </c>
      <c r="B95" s="78">
        <v>44834</v>
      </c>
      <c r="C95" s="79" t="s">
        <v>43</v>
      </c>
      <c r="D95" s="80">
        <v>18362346</v>
      </c>
      <c r="E95" s="91">
        <v>7223474</v>
      </c>
      <c r="F95" s="92">
        <f t="shared" si="7"/>
        <v>0.39338513717147</v>
      </c>
      <c r="G95" s="92">
        <v>0.71</v>
      </c>
      <c r="H95" s="93">
        <f t="shared" si="4"/>
        <v>5128666.54</v>
      </c>
      <c r="I95" s="101">
        <f t="shared" si="5"/>
        <v>2094807.46</v>
      </c>
      <c r="J95" s="92">
        <f t="shared" si="6"/>
        <v>0.114081689779726</v>
      </c>
      <c r="K95" s="101">
        <v>4068383</v>
      </c>
      <c r="L95" s="79">
        <v>17</v>
      </c>
      <c r="M95" s="105">
        <v>0.059</v>
      </c>
      <c r="N95" s="105">
        <v>0.0142</v>
      </c>
      <c r="O95" s="105">
        <v>0.0699</v>
      </c>
    </row>
    <row r="96" spans="1:15">
      <c r="A96" s="81" t="s">
        <v>10</v>
      </c>
      <c r="B96" s="82">
        <v>45199</v>
      </c>
      <c r="C96" s="83" t="s">
        <v>47</v>
      </c>
      <c r="D96" s="84">
        <v>15041528</v>
      </c>
      <c r="E96" s="94">
        <v>2548681</v>
      </c>
      <c r="F96" s="95">
        <f t="shared" si="7"/>
        <v>0.169442958188822</v>
      </c>
      <c r="G96" s="97">
        <v>0.74</v>
      </c>
      <c r="H96" s="96">
        <f t="shared" si="4"/>
        <v>1886023.94</v>
      </c>
      <c r="I96" s="102">
        <f t="shared" si="5"/>
        <v>662657.06</v>
      </c>
      <c r="J96" s="95">
        <f t="shared" si="6"/>
        <v>0.0440551691290938</v>
      </c>
      <c r="K96" s="102">
        <v>1361602</v>
      </c>
      <c r="L96" s="83">
        <v>15</v>
      </c>
      <c r="M96" s="106">
        <v>0.065</v>
      </c>
      <c r="N96" s="106">
        <v>0.0273</v>
      </c>
      <c r="O96" s="106">
        <v>0.0815</v>
      </c>
    </row>
    <row r="97" ht="17" spans="1:15">
      <c r="A97" s="112" t="s">
        <v>10</v>
      </c>
      <c r="B97" s="78">
        <v>43830</v>
      </c>
      <c r="C97" s="79" t="s">
        <v>32</v>
      </c>
      <c r="D97" s="80">
        <v>18204053</v>
      </c>
      <c r="E97" s="91">
        <v>4378901</v>
      </c>
      <c r="F97" s="92">
        <f t="shared" si="7"/>
        <v>0.2405453884363</v>
      </c>
      <c r="G97" s="92">
        <v>0.68</v>
      </c>
      <c r="H97" s="93">
        <f t="shared" si="4"/>
        <v>2977652.68</v>
      </c>
      <c r="I97" s="101">
        <f t="shared" si="5"/>
        <v>1401248.32</v>
      </c>
      <c r="J97" s="92">
        <f t="shared" si="6"/>
        <v>0.0769745242996161</v>
      </c>
      <c r="K97" s="101">
        <v>1652524</v>
      </c>
      <c r="L97" s="79">
        <v>14</v>
      </c>
      <c r="M97" s="105">
        <v>0.0515</v>
      </c>
      <c r="N97" s="105">
        <v>0.0228</v>
      </c>
      <c r="O97" s="105">
        <v>0.0387</v>
      </c>
    </row>
    <row r="98" spans="1:15">
      <c r="A98" s="81" t="s">
        <v>10</v>
      </c>
      <c r="B98" s="82">
        <v>44196</v>
      </c>
      <c r="C98" s="83" t="s">
        <v>36</v>
      </c>
      <c r="D98" s="84">
        <v>18667750</v>
      </c>
      <c r="E98" s="94">
        <v>7163965</v>
      </c>
      <c r="F98" s="95">
        <f t="shared" si="7"/>
        <v>0.383761567409034</v>
      </c>
      <c r="G98" s="95">
        <v>0.744</v>
      </c>
      <c r="H98" s="96">
        <f t="shared" si="4"/>
        <v>5329989.96</v>
      </c>
      <c r="I98" s="102">
        <f t="shared" si="5"/>
        <v>1833975.04</v>
      </c>
      <c r="J98" s="95">
        <f t="shared" si="6"/>
        <v>0.0982429612567128</v>
      </c>
      <c r="K98" s="102">
        <v>3080495</v>
      </c>
      <c r="L98" s="83">
        <v>16</v>
      </c>
      <c r="M98" s="108">
        <v>0.04</v>
      </c>
      <c r="N98" s="106">
        <v>0.0172</v>
      </c>
      <c r="O98" s="106">
        <v>-0.0578</v>
      </c>
    </row>
    <row r="99" spans="1:15">
      <c r="A99" s="77" t="s">
        <v>10</v>
      </c>
      <c r="B99" s="78">
        <v>44561</v>
      </c>
      <c r="C99" s="79" t="s">
        <v>40</v>
      </c>
      <c r="D99" s="80">
        <v>19631430</v>
      </c>
      <c r="E99" s="91">
        <v>4431699</v>
      </c>
      <c r="F99" s="92">
        <f t="shared" si="7"/>
        <v>0.225745093454731</v>
      </c>
      <c r="G99" s="92">
        <v>0.71</v>
      </c>
      <c r="H99" s="93">
        <f t="shared" si="4"/>
        <v>3146506.29</v>
      </c>
      <c r="I99" s="101">
        <f t="shared" si="5"/>
        <v>1285192.71</v>
      </c>
      <c r="J99" s="92">
        <f t="shared" si="6"/>
        <v>0.0654660771018718</v>
      </c>
      <c r="K99" s="101">
        <v>808307</v>
      </c>
      <c r="L99" s="79">
        <v>14</v>
      </c>
      <c r="M99" s="110">
        <v>0.04</v>
      </c>
      <c r="N99" s="105">
        <v>0.0186</v>
      </c>
      <c r="O99" s="105">
        <v>0.0969</v>
      </c>
    </row>
    <row r="100" spans="1:15">
      <c r="A100" s="81" t="s">
        <v>10</v>
      </c>
      <c r="B100" s="82">
        <v>44926</v>
      </c>
      <c r="C100" s="83" t="s">
        <v>44</v>
      </c>
      <c r="D100" s="84">
        <v>7927958</v>
      </c>
      <c r="E100" s="94">
        <v>1846679</v>
      </c>
      <c r="F100" s="95">
        <f t="shared" si="7"/>
        <v>0.232932490308349</v>
      </c>
      <c r="G100" s="95">
        <v>0.73</v>
      </c>
      <c r="H100" s="96">
        <f t="shared" si="4"/>
        <v>1348075.67</v>
      </c>
      <c r="I100" s="102">
        <f t="shared" si="5"/>
        <v>498603.33</v>
      </c>
      <c r="J100" s="95">
        <f t="shared" si="6"/>
        <v>0.0628917723832543</v>
      </c>
      <c r="K100" s="102">
        <v>472490</v>
      </c>
      <c r="L100" s="83">
        <v>14</v>
      </c>
      <c r="M100" s="106">
        <v>0.0625</v>
      </c>
      <c r="N100" s="106">
        <v>0.015</v>
      </c>
      <c r="O100" s="106">
        <v>0.0699</v>
      </c>
    </row>
    <row r="101" spans="1:15">
      <c r="A101" s="77" t="s">
        <v>10</v>
      </c>
      <c r="B101" s="78">
        <v>45291</v>
      </c>
      <c r="C101" s="79" t="s">
        <v>48</v>
      </c>
      <c r="D101" s="80">
        <v>13428239</v>
      </c>
      <c r="E101" s="91">
        <v>6399381</v>
      </c>
      <c r="F101" s="92">
        <f t="shared" si="7"/>
        <v>0.476561446366869</v>
      </c>
      <c r="G101" s="92">
        <v>0.75</v>
      </c>
      <c r="H101" s="93">
        <f t="shared" si="4"/>
        <v>4799535.75</v>
      </c>
      <c r="I101" s="101">
        <f t="shared" si="5"/>
        <v>1599845.25</v>
      </c>
      <c r="J101" s="92">
        <f t="shared" si="6"/>
        <v>0.119140361591717</v>
      </c>
      <c r="K101" s="101">
        <v>2181475</v>
      </c>
      <c r="L101" s="79">
        <v>15</v>
      </c>
      <c r="M101" s="105">
        <v>0.065</v>
      </c>
      <c r="N101" s="105">
        <v>0.0154</v>
      </c>
      <c r="O101" s="105">
        <v>0.0815</v>
      </c>
    </row>
    <row r="102" spans="1:1">
      <c r="A102" s="113"/>
    </row>
    <row r="103" spans="1:1">
      <c r="A103" s="113"/>
    </row>
    <row r="104" spans="1:1">
      <c r="A104" s="113"/>
    </row>
    <row r="105" spans="1:1">
      <c r="A105" s="113"/>
    </row>
    <row r="106" spans="1:1">
      <c r="A106" s="113"/>
    </row>
    <row r="107" spans="1:1">
      <c r="A107" s="113"/>
    </row>
    <row r="108" spans="1:1">
      <c r="A108" s="113"/>
    </row>
    <row r="109" spans="1:1">
      <c r="A109" s="113"/>
    </row>
    <row r="110" spans="1:1">
      <c r="A110" s="113"/>
    </row>
    <row r="111" spans="1:1">
      <c r="A111" s="113"/>
    </row>
    <row r="112" spans="1:1">
      <c r="A112" s="113"/>
    </row>
    <row r="113" spans="1:1">
      <c r="A113" s="113"/>
    </row>
    <row r="114" spans="1:1">
      <c r="A114" s="113"/>
    </row>
    <row r="115" spans="1:1">
      <c r="A115" s="113"/>
    </row>
    <row r="116" spans="1:1">
      <c r="A116" s="113"/>
    </row>
    <row r="117" spans="1:1">
      <c r="A117" s="113"/>
    </row>
    <row r="118" spans="1:1">
      <c r="A118" s="113"/>
    </row>
    <row r="119" spans="1:1">
      <c r="A119" s="113"/>
    </row>
    <row r="120" spans="1:1">
      <c r="A120" s="113"/>
    </row>
    <row r="121" spans="1:1">
      <c r="A121" s="113"/>
    </row>
    <row r="122" spans="1:1">
      <c r="A122" s="113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11" zoomScaleNormal="111" workbookViewId="0">
      <selection activeCell="A6" sqref="A6"/>
    </sheetView>
  </sheetViews>
  <sheetFormatPr defaultColWidth="9" defaultRowHeight="16.8" outlineLevelCol="7"/>
  <cols>
    <col min="1" max="1" width="12.2265625" style="13" customWidth="1"/>
    <col min="2" max="2" width="13.6484375" style="56" customWidth="1"/>
    <col min="3" max="3" width="14.265625" style="56" customWidth="1"/>
    <col min="4" max="4" width="12.078125" style="56" customWidth="1"/>
    <col min="5" max="5" width="15.5234375" style="56" customWidth="1"/>
    <col min="6" max="6" width="17.25" style="56" customWidth="1"/>
    <col min="7" max="7" width="15.046875" style="57" customWidth="1"/>
    <col min="8" max="8" width="12.03125" style="58" customWidth="1"/>
  </cols>
  <sheetData>
    <row r="1" ht="51" spans="1:8">
      <c r="A1" s="13" t="s">
        <v>16</v>
      </c>
      <c r="B1" s="59" t="s">
        <v>49</v>
      </c>
      <c r="C1" s="60" t="s">
        <v>50</v>
      </c>
      <c r="D1" s="59" t="s">
        <v>51</v>
      </c>
      <c r="E1" s="59" t="s">
        <v>52</v>
      </c>
      <c r="F1" s="60" t="s">
        <v>53</v>
      </c>
      <c r="G1" s="62" t="s">
        <v>54</v>
      </c>
      <c r="H1" s="60" t="s">
        <v>55</v>
      </c>
    </row>
    <row r="2" spans="1:8">
      <c r="A2" s="13" t="s">
        <v>29</v>
      </c>
      <c r="B2" s="59">
        <v>0.06</v>
      </c>
      <c r="C2" s="59">
        <v>0.0373</v>
      </c>
      <c r="D2" s="59">
        <v>0.0387</v>
      </c>
      <c r="E2" s="59">
        <v>0.0198</v>
      </c>
      <c r="F2" s="60">
        <v>0.07</v>
      </c>
      <c r="G2" s="62">
        <v>121.5</v>
      </c>
      <c r="H2" s="63">
        <v>0.036</v>
      </c>
    </row>
    <row r="3" spans="1:8">
      <c r="A3" s="13" t="s">
        <v>30</v>
      </c>
      <c r="B3" s="59">
        <v>0.0575</v>
      </c>
      <c r="C3" s="59">
        <v>0.0373</v>
      </c>
      <c r="D3" s="59">
        <v>0.0387</v>
      </c>
      <c r="E3" s="59">
        <v>0.0205</v>
      </c>
      <c r="F3" s="60">
        <v>0.084</v>
      </c>
      <c r="G3" s="62">
        <v>121.5</v>
      </c>
      <c r="H3" s="63">
        <v>0.006</v>
      </c>
    </row>
    <row r="4" spans="1:8">
      <c r="A4" s="13" t="s">
        <v>31</v>
      </c>
      <c r="B4" s="59">
        <v>0.054</v>
      </c>
      <c r="C4" s="59">
        <v>0.0373</v>
      </c>
      <c r="D4" s="59">
        <v>0.0387</v>
      </c>
      <c r="E4" s="59">
        <v>0.0201</v>
      </c>
      <c r="F4" s="60">
        <v>0.078</v>
      </c>
      <c r="G4" s="62">
        <v>121.5</v>
      </c>
      <c r="H4" s="63">
        <v>0.007</v>
      </c>
    </row>
    <row r="5" spans="1:8">
      <c r="A5" s="13" t="s">
        <v>32</v>
      </c>
      <c r="B5" s="59">
        <v>0.0515</v>
      </c>
      <c r="C5" s="59">
        <v>0.0373</v>
      </c>
      <c r="D5" s="59">
        <v>0.0387</v>
      </c>
      <c r="E5" s="59">
        <v>0.0228</v>
      </c>
      <c r="F5" s="60">
        <v>0.091</v>
      </c>
      <c r="G5" s="62">
        <v>121.5</v>
      </c>
      <c r="H5" s="63">
        <v>-0.167</v>
      </c>
    </row>
    <row r="6" spans="1:8">
      <c r="A6" s="13" t="s">
        <v>33</v>
      </c>
      <c r="B6" s="59">
        <v>0.044</v>
      </c>
      <c r="C6" s="59">
        <v>0.0662</v>
      </c>
      <c r="D6" s="59">
        <v>-0.0578</v>
      </c>
      <c r="E6" s="59">
        <v>0.001</v>
      </c>
      <c r="F6" s="60">
        <v>0.208</v>
      </c>
      <c r="G6" s="62">
        <v>118.2</v>
      </c>
      <c r="H6" s="63">
        <v>-0.37</v>
      </c>
    </row>
    <row r="7" spans="1:8">
      <c r="A7" s="13" t="s">
        <v>34</v>
      </c>
      <c r="B7" s="61">
        <v>0.04</v>
      </c>
      <c r="C7" s="59">
        <v>0.0662</v>
      </c>
      <c r="D7" s="59">
        <v>-0.0578</v>
      </c>
      <c r="E7" s="59">
        <v>0.0071</v>
      </c>
      <c r="F7" s="60">
        <v>0.132</v>
      </c>
      <c r="G7" s="64">
        <v>118.2</v>
      </c>
      <c r="H7" s="63">
        <v>-0.086</v>
      </c>
    </row>
    <row r="8" spans="1:8">
      <c r="A8" s="13" t="s">
        <v>35</v>
      </c>
      <c r="B8" s="61">
        <v>0.04</v>
      </c>
      <c r="C8" s="59">
        <v>0.0662</v>
      </c>
      <c r="D8" s="59">
        <v>-0.0578</v>
      </c>
      <c r="E8" s="59">
        <v>0.0233</v>
      </c>
      <c r="F8" s="60">
        <v>0.103</v>
      </c>
      <c r="G8" s="62">
        <v>118.2</v>
      </c>
      <c r="H8" s="63">
        <v>-0.016</v>
      </c>
    </row>
    <row r="9" spans="1:8">
      <c r="A9" s="13" t="s">
        <v>36</v>
      </c>
      <c r="B9" s="61">
        <v>0.04</v>
      </c>
      <c r="C9" s="59">
        <v>0.0662</v>
      </c>
      <c r="D9" s="59">
        <v>-0.0578</v>
      </c>
      <c r="E9" s="59">
        <v>0.0172</v>
      </c>
      <c r="F9" s="60">
        <v>0.093</v>
      </c>
      <c r="G9" s="64">
        <v>118.2</v>
      </c>
      <c r="H9" s="63">
        <v>0.064</v>
      </c>
    </row>
    <row r="10" spans="1:8">
      <c r="A10" s="13" t="s">
        <v>37</v>
      </c>
      <c r="B10" s="59">
        <v>0.04</v>
      </c>
      <c r="C10" s="59">
        <v>0.0513</v>
      </c>
      <c r="D10" s="59">
        <v>0.0969</v>
      </c>
      <c r="E10" s="59">
        <v>-0.0039</v>
      </c>
      <c r="F10" s="60">
        <v>0.126</v>
      </c>
      <c r="G10" s="62">
        <v>124.8</v>
      </c>
      <c r="H10" s="63">
        <v>0.45</v>
      </c>
    </row>
    <row r="11" spans="1:8">
      <c r="A11" s="13" t="s">
        <v>38</v>
      </c>
      <c r="B11" s="59">
        <v>0.04</v>
      </c>
      <c r="C11" s="59">
        <v>0.0513</v>
      </c>
      <c r="D11" s="59">
        <v>0.0969</v>
      </c>
      <c r="E11" s="59">
        <v>0.0156</v>
      </c>
      <c r="F11" s="60">
        <v>0.098</v>
      </c>
      <c r="G11" s="64">
        <v>124.8</v>
      </c>
      <c r="H11" s="63">
        <v>0.087</v>
      </c>
    </row>
    <row r="12" spans="1:8">
      <c r="A12" s="13" t="s">
        <v>39</v>
      </c>
      <c r="B12" s="59">
        <v>0.04</v>
      </c>
      <c r="C12" s="59">
        <v>0.0513</v>
      </c>
      <c r="D12" s="59">
        <v>0.0969</v>
      </c>
      <c r="E12" s="59">
        <v>0.0184</v>
      </c>
      <c r="F12" s="60">
        <v>0.087</v>
      </c>
      <c r="G12" s="62">
        <v>124.8</v>
      </c>
      <c r="H12" s="63">
        <v>0.021</v>
      </c>
    </row>
    <row r="13" spans="1:8">
      <c r="A13" s="13" t="s">
        <v>40</v>
      </c>
      <c r="B13" s="59">
        <v>0.04</v>
      </c>
      <c r="C13" s="59">
        <v>0.0513</v>
      </c>
      <c r="D13" s="59">
        <v>0.0969</v>
      </c>
      <c r="E13" s="59">
        <v>0.0186</v>
      </c>
      <c r="F13" s="60">
        <v>0.082</v>
      </c>
      <c r="G13" s="64">
        <v>124.8</v>
      </c>
      <c r="H13" s="63">
        <v>0.0165</v>
      </c>
    </row>
    <row r="14" spans="1:8">
      <c r="A14" s="13" t="s">
        <v>41</v>
      </c>
      <c r="B14" s="59">
        <v>0.04</v>
      </c>
      <c r="C14" s="59">
        <v>0.067</v>
      </c>
      <c r="D14" s="59">
        <v>0.0699</v>
      </c>
      <c r="E14" s="59">
        <v>0.0002</v>
      </c>
      <c r="F14" s="60">
        <v>0.066</v>
      </c>
      <c r="G14" s="62">
        <v>130.3</v>
      </c>
      <c r="H14" s="63">
        <v>0.138</v>
      </c>
    </row>
    <row r="15" spans="1:8">
      <c r="A15" s="13" t="s">
        <v>42</v>
      </c>
      <c r="B15" s="59">
        <v>0.049</v>
      </c>
      <c r="C15" s="59">
        <v>0.067</v>
      </c>
      <c r="D15" s="59">
        <v>0.0699</v>
      </c>
      <c r="E15" s="59">
        <v>0.026</v>
      </c>
      <c r="F15" s="60">
        <v>0.066</v>
      </c>
      <c r="G15" s="64">
        <v>130.3</v>
      </c>
      <c r="H15" s="63">
        <v>0.056</v>
      </c>
    </row>
    <row r="16" spans="1:8">
      <c r="A16" s="13" t="s">
        <v>43</v>
      </c>
      <c r="B16" s="59">
        <v>0.059</v>
      </c>
      <c r="C16" s="59">
        <v>0.067</v>
      </c>
      <c r="D16" s="59">
        <v>0.0699</v>
      </c>
      <c r="E16" s="59">
        <v>0.0142</v>
      </c>
      <c r="F16" s="60">
        <v>0.072</v>
      </c>
      <c r="G16" s="62">
        <v>130.3</v>
      </c>
      <c r="H16" s="63">
        <v>0.045</v>
      </c>
    </row>
    <row r="17" spans="1:8">
      <c r="A17" s="13" t="s">
        <v>44</v>
      </c>
      <c r="B17" s="59">
        <v>0.0625</v>
      </c>
      <c r="C17" s="59">
        <v>0.067</v>
      </c>
      <c r="D17" s="59">
        <v>0.0699</v>
      </c>
      <c r="E17" s="59">
        <v>0.015</v>
      </c>
      <c r="F17" s="60">
        <v>0.067</v>
      </c>
      <c r="G17" s="64">
        <v>130.3</v>
      </c>
      <c r="H17" s="63">
        <v>0.018</v>
      </c>
    </row>
    <row r="18" spans="1:8">
      <c r="A18" s="13" t="s">
        <v>45</v>
      </c>
      <c r="B18" s="59">
        <v>0.065</v>
      </c>
      <c r="C18" s="59">
        <v>0.0565</v>
      </c>
      <c r="D18" s="59">
        <v>0.0815</v>
      </c>
      <c r="E18" s="59">
        <v>0.0037</v>
      </c>
      <c r="F18" s="60">
        <v>0.066</v>
      </c>
      <c r="G18" s="62">
        <v>134.7</v>
      </c>
      <c r="H18" s="63">
        <v>0.041</v>
      </c>
    </row>
    <row r="19" spans="1:8">
      <c r="A19" s="13" t="s">
        <v>46</v>
      </c>
      <c r="B19" s="59">
        <v>0.065</v>
      </c>
      <c r="C19" s="59">
        <v>0.0565</v>
      </c>
      <c r="D19" s="59">
        <v>0.0815</v>
      </c>
      <c r="E19" s="59">
        <v>0.0162</v>
      </c>
      <c r="F19" s="60">
        <v>0.066</v>
      </c>
      <c r="G19" s="64">
        <v>134.7</v>
      </c>
      <c r="H19" s="63">
        <v>0.097</v>
      </c>
    </row>
    <row r="20" spans="1:8">
      <c r="A20" s="13" t="s">
        <v>47</v>
      </c>
      <c r="B20" s="59">
        <v>0.065</v>
      </c>
      <c r="C20" s="59">
        <v>0.0565</v>
      </c>
      <c r="D20" s="59">
        <v>0.0815</v>
      </c>
      <c r="E20" s="59">
        <v>0.0273</v>
      </c>
      <c r="F20" s="60">
        <v>0.065</v>
      </c>
      <c r="G20" s="62">
        <v>134.7</v>
      </c>
      <c r="H20" s="63">
        <v>0.036</v>
      </c>
    </row>
    <row r="21" spans="1:8">
      <c r="A21" s="13" t="s">
        <v>48</v>
      </c>
      <c r="B21" s="59">
        <v>0.065</v>
      </c>
      <c r="C21" s="59">
        <v>0.0565</v>
      </c>
      <c r="D21" s="59">
        <v>0.0815</v>
      </c>
      <c r="E21" s="59">
        <v>0.0154</v>
      </c>
      <c r="F21" s="60">
        <v>0.067</v>
      </c>
      <c r="G21" s="64">
        <v>134.7</v>
      </c>
      <c r="H21" s="63">
        <v>0.05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1"/>
  <sheetViews>
    <sheetView zoomScale="90" zoomScaleNormal="90" workbookViewId="0">
      <pane ySplit="1" topLeftCell="A2" activePane="bottomLeft" state="frozen"/>
      <selection/>
      <selection pane="bottomLeft" activeCell="E16" sqref="E16"/>
    </sheetView>
  </sheetViews>
  <sheetFormatPr defaultColWidth="9" defaultRowHeight="16.8"/>
  <cols>
    <col min="1" max="1" width="17.3125" style="13" customWidth="1"/>
    <col min="2" max="2" width="11.3359375" customWidth="1"/>
    <col min="3" max="3" width="23.15625" style="14" customWidth="1"/>
    <col min="4" max="4" width="23.15625" style="43" customWidth="1"/>
    <col min="5" max="5" width="17.5390625" style="44" customWidth="1"/>
    <col min="6" max="6" width="14.96875" style="13" customWidth="1"/>
    <col min="7" max="9" width="20.671875" style="13" customWidth="1"/>
    <col min="10" max="10" width="13.7421875" style="45" customWidth="1"/>
    <col min="11" max="11" width="11.4375" style="44" customWidth="1"/>
    <col min="12" max="12" width="13.8203125" style="13" customWidth="1"/>
    <col min="13" max="13" width="17.3359375" style="44" customWidth="1"/>
    <col min="14" max="14" width="17.3359375" style="13" customWidth="1"/>
    <col min="15" max="15" width="17.5859375" style="13" customWidth="1"/>
    <col min="16" max="16" width="12.8828125" style="13" customWidth="1"/>
    <col min="17" max="17" width="11.40625" style="13" customWidth="1"/>
  </cols>
  <sheetData>
    <row r="1" spans="1:17">
      <c r="A1" s="13" t="s">
        <v>0</v>
      </c>
      <c r="B1" s="46" t="s">
        <v>16</v>
      </c>
      <c r="C1" s="14" t="s">
        <v>12</v>
      </c>
      <c r="D1" s="43" t="s">
        <v>17</v>
      </c>
      <c r="E1" s="44" t="s">
        <v>18</v>
      </c>
      <c r="F1" s="13" t="s">
        <v>19</v>
      </c>
      <c r="G1" s="13" t="s">
        <v>56</v>
      </c>
      <c r="H1" s="13" t="s">
        <v>57</v>
      </c>
      <c r="I1" s="13" t="s">
        <v>20</v>
      </c>
      <c r="J1" s="45" t="s">
        <v>21</v>
      </c>
      <c r="K1" s="44" t="s">
        <v>22</v>
      </c>
      <c r="L1" s="13" t="s">
        <v>23</v>
      </c>
      <c r="M1" s="44" t="s">
        <v>24</v>
      </c>
      <c r="N1" s="13" t="s">
        <v>25</v>
      </c>
      <c r="O1" s="13" t="s">
        <v>26</v>
      </c>
      <c r="P1" s="13" t="s">
        <v>27</v>
      </c>
      <c r="Q1" s="13" t="s">
        <v>28</v>
      </c>
    </row>
    <row r="2" spans="1:17">
      <c r="A2" s="13" t="s">
        <v>6</v>
      </c>
      <c r="B2" s="13" t="s">
        <v>29</v>
      </c>
      <c r="C2" s="47">
        <v>43555</v>
      </c>
      <c r="D2" s="44">
        <v>6548273</v>
      </c>
      <c r="E2" s="44">
        <v>506171</v>
      </c>
      <c r="F2" s="49">
        <f>E2/D2</f>
        <v>0.0772983960809209</v>
      </c>
      <c r="G2" s="50">
        <f>IFERROR(Table1_4[[#This Row],[GROSS NPA]]/Table1_4[[#This Row],[TOTAL ADVANCES]],"")</f>
        <v>0.0772983960809209</v>
      </c>
      <c r="H2" s="51">
        <f>ABS(Table1_4[[#This Row],[GNPA RATIO]]-G2)</f>
        <v>0</v>
      </c>
      <c r="I2" s="52">
        <v>0.71</v>
      </c>
      <c r="J2" s="45">
        <f t="shared" ref="J2:J65" si="0">E2*I2</f>
        <v>359381.41</v>
      </c>
      <c r="K2" s="44">
        <f t="shared" ref="K2:K65" si="1">E2-J2</f>
        <v>146789.59</v>
      </c>
      <c r="L2" s="53">
        <f t="shared" ref="L2:L65" si="2">K2/D2</f>
        <v>0.0224165348634671</v>
      </c>
      <c r="M2" s="44">
        <v>280034</v>
      </c>
      <c r="N2" s="13">
        <v>13</v>
      </c>
      <c r="O2" s="52">
        <v>0.06</v>
      </c>
      <c r="P2" s="54">
        <v>0.0198</v>
      </c>
      <c r="Q2" s="54">
        <v>0.0387</v>
      </c>
    </row>
    <row r="3" spans="1:17">
      <c r="A3" s="13" t="s">
        <v>7</v>
      </c>
      <c r="B3" s="13" t="s">
        <v>29</v>
      </c>
      <c r="C3" s="47">
        <v>43555</v>
      </c>
      <c r="D3" s="44">
        <v>4797725</v>
      </c>
      <c r="E3" s="44">
        <v>0</v>
      </c>
      <c r="F3" s="49">
        <f t="shared" ref="F3:F34" si="3">E3/D3</f>
        <v>0</v>
      </c>
      <c r="G3" s="50">
        <f>IFERROR(Table1_4[[#This Row],[GROSS NPA]]/Table1_4[[#This Row],[TOTAL ADVANCES]],"")</f>
        <v>0</v>
      </c>
      <c r="H3" s="51">
        <f>ABS(Table1_4[[#This Row],[GNPA RATIO]]-G3)</f>
        <v>0</v>
      </c>
      <c r="I3" s="52">
        <v>0.71</v>
      </c>
      <c r="J3" s="45">
        <f t="shared" si="0"/>
        <v>0</v>
      </c>
      <c r="K3" s="44">
        <f t="shared" si="1"/>
        <v>0</v>
      </c>
      <c r="L3" s="53">
        <f t="shared" si="2"/>
        <v>0</v>
      </c>
      <c r="M3" s="44">
        <v>0</v>
      </c>
      <c r="N3" s="13">
        <v>9</v>
      </c>
      <c r="O3" s="52">
        <v>0.06</v>
      </c>
      <c r="P3" s="54">
        <v>0.0198</v>
      </c>
      <c r="Q3" s="54">
        <v>0.0387</v>
      </c>
    </row>
    <row r="4" spans="1:17">
      <c r="A4" s="13" t="s">
        <v>8</v>
      </c>
      <c r="B4" s="13" t="s">
        <v>29</v>
      </c>
      <c r="C4" s="47">
        <v>43555</v>
      </c>
      <c r="D4" s="44">
        <v>26982321</v>
      </c>
      <c r="E4" s="44">
        <v>3979172</v>
      </c>
      <c r="F4" s="49">
        <f t="shared" si="3"/>
        <v>0.147473302982349</v>
      </c>
      <c r="G4" s="50">
        <f>IFERROR(Table1_4[[#This Row],[GROSS NPA]]/Table1_4[[#This Row],[TOTAL ADVANCES]],"")</f>
        <v>0.147473302982349</v>
      </c>
      <c r="H4" s="51">
        <f>ABS(Table1_4[[#This Row],[GNPA RATIO]]-G4)</f>
        <v>0</v>
      </c>
      <c r="I4" s="52">
        <v>0.71</v>
      </c>
      <c r="J4" s="45">
        <f t="shared" si="0"/>
        <v>2825212.12</v>
      </c>
      <c r="K4" s="44">
        <f t="shared" si="1"/>
        <v>1153959.88</v>
      </c>
      <c r="L4" s="53">
        <f t="shared" si="2"/>
        <v>0.0427672578648812</v>
      </c>
      <c r="M4" s="44">
        <v>1702767</v>
      </c>
      <c r="N4" s="13">
        <v>16</v>
      </c>
      <c r="O4" s="52">
        <v>0.06</v>
      </c>
      <c r="P4" s="54">
        <v>0.0198</v>
      </c>
      <c r="Q4" s="54">
        <v>0.0387</v>
      </c>
    </row>
    <row r="5" spans="1:17">
      <c r="A5" s="13" t="s">
        <v>9</v>
      </c>
      <c r="B5" s="13" t="s">
        <v>29</v>
      </c>
      <c r="C5" s="47">
        <v>43555</v>
      </c>
      <c r="D5" s="44">
        <v>5668287</v>
      </c>
      <c r="E5" s="44">
        <v>652296</v>
      </c>
      <c r="F5" s="49">
        <f t="shared" si="3"/>
        <v>0.115078153241006</v>
      </c>
      <c r="G5" s="50">
        <f>IFERROR(Table1_4[[#This Row],[GROSS NPA]]/Table1_4[[#This Row],[TOTAL ADVANCES]],"")</f>
        <v>0.115078153241006</v>
      </c>
      <c r="H5" s="51">
        <f>ABS(Table1_4[[#This Row],[GNPA RATIO]]-G5)</f>
        <v>0</v>
      </c>
      <c r="I5" s="52">
        <v>0.71</v>
      </c>
      <c r="J5" s="45">
        <f t="shared" si="0"/>
        <v>463130.16</v>
      </c>
      <c r="K5" s="44">
        <f t="shared" si="1"/>
        <v>189165.84</v>
      </c>
      <c r="L5" s="53">
        <f t="shared" si="2"/>
        <v>0.0333726644398916</v>
      </c>
      <c r="M5" s="44">
        <v>442869</v>
      </c>
      <c r="N5" s="13">
        <v>10</v>
      </c>
      <c r="O5" s="52">
        <v>0.06</v>
      </c>
      <c r="P5" s="54">
        <v>0.0198</v>
      </c>
      <c r="Q5" s="54">
        <v>0.0387</v>
      </c>
    </row>
    <row r="6" ht="17" spans="1:17">
      <c r="A6" s="48" t="s">
        <v>10</v>
      </c>
      <c r="B6" s="13" t="s">
        <v>29</v>
      </c>
      <c r="C6" s="47">
        <v>43555</v>
      </c>
      <c r="D6" s="44">
        <v>16021234</v>
      </c>
      <c r="E6" s="44">
        <v>2422715</v>
      </c>
      <c r="F6" s="49">
        <f t="shared" si="3"/>
        <v>0.15121900098332</v>
      </c>
      <c r="G6" s="50">
        <f>IFERROR(Table1_4[[#This Row],[GROSS NPA]]/Table1_4[[#This Row],[TOTAL ADVANCES]],"")</f>
        <v>0.15121900098332</v>
      </c>
      <c r="H6" s="51">
        <f>ABS(Table1_4[[#This Row],[GNPA RATIO]]-G6)</f>
        <v>0</v>
      </c>
      <c r="I6" s="52">
        <v>0.71</v>
      </c>
      <c r="J6" s="45">
        <f t="shared" si="0"/>
        <v>1720127.65</v>
      </c>
      <c r="K6" s="44">
        <f t="shared" si="1"/>
        <v>702587.35</v>
      </c>
      <c r="L6" s="53">
        <f t="shared" si="2"/>
        <v>0.0438535102851628</v>
      </c>
      <c r="M6" s="44">
        <v>760153</v>
      </c>
      <c r="N6" s="13">
        <v>12</v>
      </c>
      <c r="O6" s="52">
        <v>0.06</v>
      </c>
      <c r="P6" s="54">
        <v>0.0198</v>
      </c>
      <c r="Q6" s="54">
        <v>0.0387</v>
      </c>
    </row>
    <row r="7" spans="1:17">
      <c r="A7" s="13" t="s">
        <v>6</v>
      </c>
      <c r="B7" s="13" t="s">
        <v>30</v>
      </c>
      <c r="C7" s="47">
        <v>43646</v>
      </c>
      <c r="D7" s="44">
        <v>8713332</v>
      </c>
      <c r="E7" s="44">
        <v>930142</v>
      </c>
      <c r="F7" s="49">
        <f t="shared" si="3"/>
        <v>0.106749289479616</v>
      </c>
      <c r="G7" s="50">
        <f>IFERROR(Table1_4[[#This Row],[GROSS NPA]]/Table1_4[[#This Row],[TOTAL ADVANCES]],"")</f>
        <v>0.106749289479616</v>
      </c>
      <c r="H7" s="51">
        <f>ABS(Table1_4[[#This Row],[GNPA RATIO]]-G7)</f>
        <v>0</v>
      </c>
      <c r="I7" s="31">
        <v>0.71</v>
      </c>
      <c r="J7" s="45">
        <f t="shared" si="0"/>
        <v>660400.82</v>
      </c>
      <c r="K7" s="44">
        <f t="shared" si="1"/>
        <v>269741.18</v>
      </c>
      <c r="L7" s="53">
        <f t="shared" si="2"/>
        <v>0.0309572939490886</v>
      </c>
      <c r="M7" s="44">
        <v>212550</v>
      </c>
      <c r="N7" s="13">
        <v>20</v>
      </c>
      <c r="O7" s="54">
        <v>0.0575</v>
      </c>
      <c r="P7" s="54">
        <v>0.0205</v>
      </c>
      <c r="Q7" s="54">
        <v>0.0387</v>
      </c>
    </row>
    <row r="8" spans="1:17">
      <c r="A8" s="13" t="s">
        <v>7</v>
      </c>
      <c r="B8" s="13" t="s">
        <v>30</v>
      </c>
      <c r="C8" s="47">
        <v>43646</v>
      </c>
      <c r="D8" s="44">
        <v>7545576</v>
      </c>
      <c r="E8" s="44">
        <v>621353</v>
      </c>
      <c r="F8" s="49">
        <f t="shared" si="3"/>
        <v>0.08234666246818</v>
      </c>
      <c r="G8" s="50">
        <f>IFERROR(Table1_4[[#This Row],[GROSS NPA]]/Table1_4[[#This Row],[TOTAL ADVANCES]],"")</f>
        <v>0.08234666246818</v>
      </c>
      <c r="H8" s="51">
        <f>ABS(Table1_4[[#This Row],[GNPA RATIO]]-G8)</f>
        <v>0</v>
      </c>
      <c r="I8" s="31">
        <v>0.71</v>
      </c>
      <c r="J8" s="45">
        <f t="shared" si="0"/>
        <v>441160.63</v>
      </c>
      <c r="K8" s="44">
        <f t="shared" si="1"/>
        <v>180192.37</v>
      </c>
      <c r="L8" s="53">
        <f t="shared" si="2"/>
        <v>0.0238805321157722</v>
      </c>
      <c r="M8" s="44">
        <v>250000</v>
      </c>
      <c r="N8" s="13">
        <v>11</v>
      </c>
      <c r="O8" s="54">
        <v>0.0575</v>
      </c>
      <c r="P8" s="54">
        <v>0.0205</v>
      </c>
      <c r="Q8" s="54">
        <v>0.0387</v>
      </c>
    </row>
    <row r="9" spans="1:17">
      <c r="A9" s="13" t="s">
        <v>8</v>
      </c>
      <c r="B9" s="13" t="s">
        <v>30</v>
      </c>
      <c r="C9" s="47">
        <v>43646</v>
      </c>
      <c r="D9" s="44">
        <v>29833677</v>
      </c>
      <c r="E9" s="44">
        <v>0</v>
      </c>
      <c r="F9" s="49">
        <f t="shared" si="3"/>
        <v>0</v>
      </c>
      <c r="G9" s="50">
        <f>IFERROR(Table1_4[[#This Row],[GROSS NPA]]/Table1_4[[#This Row],[TOTAL ADVANCES]],"")</f>
        <v>0</v>
      </c>
      <c r="H9" s="51">
        <f>ABS(Table1_4[[#This Row],[GNPA RATIO]]-G9)</f>
        <v>0</v>
      </c>
      <c r="I9" s="31">
        <v>0.71</v>
      </c>
      <c r="J9" s="45">
        <f t="shared" si="0"/>
        <v>0</v>
      </c>
      <c r="K9" s="44">
        <f t="shared" si="1"/>
        <v>0</v>
      </c>
      <c r="L9" s="53">
        <f t="shared" si="2"/>
        <v>0</v>
      </c>
      <c r="M9" s="44">
        <v>0</v>
      </c>
      <c r="N9" s="13">
        <v>11</v>
      </c>
      <c r="O9" s="54">
        <v>0.0575</v>
      </c>
      <c r="P9" s="54">
        <v>0.0205</v>
      </c>
      <c r="Q9" s="54">
        <v>0.0387</v>
      </c>
    </row>
    <row r="10" spans="1:17">
      <c r="A10" s="13" t="s">
        <v>9</v>
      </c>
      <c r="B10" s="13" t="s">
        <v>30</v>
      </c>
      <c r="C10" s="47">
        <v>43646</v>
      </c>
      <c r="D10" s="44">
        <v>9594533</v>
      </c>
      <c r="E10" s="44">
        <v>1957744</v>
      </c>
      <c r="F10" s="49">
        <f t="shared" si="3"/>
        <v>0.204047867676311</v>
      </c>
      <c r="G10" s="50">
        <f>IFERROR(Table1_4[[#This Row],[GROSS NPA]]/Table1_4[[#This Row],[TOTAL ADVANCES]],"")</f>
        <v>0.204047867676311</v>
      </c>
      <c r="H10" s="51">
        <f>ABS(Table1_4[[#This Row],[GNPA RATIO]]-G10)</f>
        <v>0</v>
      </c>
      <c r="I10" s="31">
        <v>0.71</v>
      </c>
      <c r="J10" s="45">
        <f t="shared" si="0"/>
        <v>1389998.24</v>
      </c>
      <c r="K10" s="44">
        <f t="shared" si="1"/>
        <v>567745.76</v>
      </c>
      <c r="L10" s="53">
        <f t="shared" si="2"/>
        <v>0.0591738816261302</v>
      </c>
      <c r="M10" s="44">
        <v>684989</v>
      </c>
      <c r="N10" s="13">
        <v>15</v>
      </c>
      <c r="O10" s="54">
        <v>0.0575</v>
      </c>
      <c r="P10" s="54">
        <v>0.0205</v>
      </c>
      <c r="Q10" s="54">
        <v>0.0387</v>
      </c>
    </row>
    <row r="11" ht="17" spans="1:17">
      <c r="A11" s="48" t="s">
        <v>10</v>
      </c>
      <c r="B11" s="13" t="s">
        <v>30</v>
      </c>
      <c r="C11" s="47">
        <v>43646</v>
      </c>
      <c r="D11" s="44">
        <v>18370583</v>
      </c>
      <c r="E11" s="44">
        <v>7888355</v>
      </c>
      <c r="F11" s="49">
        <f t="shared" si="3"/>
        <v>0.429401451222316</v>
      </c>
      <c r="G11" s="50">
        <f>IFERROR(Table1_4[[#This Row],[GROSS NPA]]/Table1_4[[#This Row],[TOTAL ADVANCES]],"")</f>
        <v>0.429401451222316</v>
      </c>
      <c r="H11" s="51">
        <f>ABS(Table1_4[[#This Row],[GNPA RATIO]]-G11)</f>
        <v>0</v>
      </c>
      <c r="I11" s="31">
        <v>0.71</v>
      </c>
      <c r="J11" s="45">
        <f t="shared" si="0"/>
        <v>5600732.05</v>
      </c>
      <c r="K11" s="44">
        <f t="shared" si="1"/>
        <v>2287622.95</v>
      </c>
      <c r="L11" s="53">
        <f t="shared" si="2"/>
        <v>0.124526420854472</v>
      </c>
      <c r="M11" s="44">
        <v>3402932</v>
      </c>
      <c r="N11" s="13">
        <v>18</v>
      </c>
      <c r="O11" s="54">
        <v>0.0575</v>
      </c>
      <c r="P11" s="54">
        <v>0.0205</v>
      </c>
      <c r="Q11" s="54">
        <v>0.0387</v>
      </c>
    </row>
    <row r="12" spans="1:17">
      <c r="A12" s="13" t="s">
        <v>6</v>
      </c>
      <c r="B12" s="13" t="s">
        <v>31</v>
      </c>
      <c r="C12" s="47">
        <v>43738</v>
      </c>
      <c r="D12" s="44">
        <v>3962509</v>
      </c>
      <c r="E12" s="44">
        <v>1879384</v>
      </c>
      <c r="F12" s="49">
        <f t="shared" si="3"/>
        <v>0.474291414858616</v>
      </c>
      <c r="G12" s="50">
        <f>IFERROR(Table1_4[[#This Row],[GROSS NPA]]/Table1_4[[#This Row],[TOTAL ADVANCES]],"")</f>
        <v>0.474291414858616</v>
      </c>
      <c r="H12" s="51">
        <f>ABS(Table1_4[[#This Row],[GNPA RATIO]]-G12)</f>
        <v>0</v>
      </c>
      <c r="I12" s="31">
        <v>0.7</v>
      </c>
      <c r="J12" s="45">
        <f t="shared" si="0"/>
        <v>1315568.8</v>
      </c>
      <c r="K12" s="44">
        <f t="shared" si="1"/>
        <v>563815.2</v>
      </c>
      <c r="L12" s="53">
        <f t="shared" si="2"/>
        <v>0.142287424457585</v>
      </c>
      <c r="M12" s="44">
        <v>787767</v>
      </c>
      <c r="N12" s="13">
        <v>14</v>
      </c>
      <c r="O12" s="54">
        <v>0.054</v>
      </c>
      <c r="P12" s="54">
        <v>0.0201</v>
      </c>
      <c r="Q12" s="54">
        <v>0.0387</v>
      </c>
    </row>
    <row r="13" spans="1:17">
      <c r="A13" s="13" t="s">
        <v>7</v>
      </c>
      <c r="B13" s="13" t="s">
        <v>31</v>
      </c>
      <c r="C13" s="47">
        <v>43738</v>
      </c>
      <c r="D13" s="44">
        <v>3507430</v>
      </c>
      <c r="E13" s="44">
        <v>1358269</v>
      </c>
      <c r="F13" s="49">
        <f t="shared" si="3"/>
        <v>0.387254770587011</v>
      </c>
      <c r="G13" s="50">
        <f>IFERROR(Table1_4[[#This Row],[GROSS NPA]]/Table1_4[[#This Row],[TOTAL ADVANCES]],"")</f>
        <v>0.387254770587011</v>
      </c>
      <c r="H13" s="51">
        <f>ABS(Table1_4[[#This Row],[GNPA RATIO]]-G13)</f>
        <v>0</v>
      </c>
      <c r="I13" s="31">
        <v>0.7</v>
      </c>
      <c r="J13" s="45">
        <f t="shared" si="0"/>
        <v>950788.3</v>
      </c>
      <c r="K13" s="44">
        <f t="shared" si="1"/>
        <v>407480.7</v>
      </c>
      <c r="L13" s="53">
        <f t="shared" si="2"/>
        <v>0.116176431176103</v>
      </c>
      <c r="M13" s="44">
        <v>701009</v>
      </c>
      <c r="N13" s="13">
        <v>9</v>
      </c>
      <c r="O13" s="54">
        <v>0.054</v>
      </c>
      <c r="P13" s="54">
        <v>0.0201</v>
      </c>
      <c r="Q13" s="54">
        <v>0.0387</v>
      </c>
    </row>
    <row r="14" spans="1:17">
      <c r="A14" s="13" t="s">
        <v>8</v>
      </c>
      <c r="B14" s="13" t="s">
        <v>31</v>
      </c>
      <c r="C14" s="47">
        <v>43738</v>
      </c>
      <c r="D14" s="44">
        <v>21853567</v>
      </c>
      <c r="E14" s="44">
        <v>1819907</v>
      </c>
      <c r="F14" s="49">
        <f t="shared" si="3"/>
        <v>0.0832773432364611</v>
      </c>
      <c r="G14" s="50">
        <f>IFERROR(Table1_4[[#This Row],[GROSS NPA]]/Table1_4[[#This Row],[TOTAL ADVANCES]],"")</f>
        <v>0.0832773432364611</v>
      </c>
      <c r="H14" s="51">
        <f>ABS(Table1_4[[#This Row],[GNPA RATIO]]-G14)</f>
        <v>0</v>
      </c>
      <c r="I14" s="31">
        <v>0.7</v>
      </c>
      <c r="J14" s="45">
        <f t="shared" si="0"/>
        <v>1273934.9</v>
      </c>
      <c r="K14" s="44">
        <f t="shared" si="1"/>
        <v>545972.1</v>
      </c>
      <c r="L14" s="53">
        <f t="shared" si="2"/>
        <v>0.0249832029709383</v>
      </c>
      <c r="M14" s="44">
        <v>645350</v>
      </c>
      <c r="N14" s="13">
        <v>11</v>
      </c>
      <c r="O14" s="54">
        <v>0.054</v>
      </c>
      <c r="P14" s="54">
        <v>0.0201</v>
      </c>
      <c r="Q14" s="54">
        <v>0.0387</v>
      </c>
    </row>
    <row r="15" spans="1:17">
      <c r="A15" s="13" t="s">
        <v>9</v>
      </c>
      <c r="B15" s="13" t="s">
        <v>31</v>
      </c>
      <c r="C15" s="47">
        <v>43738</v>
      </c>
      <c r="D15" s="44">
        <v>8630672</v>
      </c>
      <c r="E15" s="44">
        <v>3661320</v>
      </c>
      <c r="F15" s="49">
        <f t="shared" si="3"/>
        <v>0.424221891412395</v>
      </c>
      <c r="G15" s="50">
        <f>IFERROR(Table1_4[[#This Row],[GROSS NPA]]/Table1_4[[#This Row],[TOTAL ADVANCES]],"")</f>
        <v>0.424221891412395</v>
      </c>
      <c r="H15" s="51">
        <f>ABS(Table1_4[[#This Row],[GNPA RATIO]]-G15)</f>
        <v>0</v>
      </c>
      <c r="I15" s="31">
        <v>0.7</v>
      </c>
      <c r="J15" s="45">
        <f t="shared" si="0"/>
        <v>2562924</v>
      </c>
      <c r="K15" s="44">
        <f t="shared" si="1"/>
        <v>1098396</v>
      </c>
      <c r="L15" s="53">
        <f t="shared" si="2"/>
        <v>0.127266567423719</v>
      </c>
      <c r="M15" s="44">
        <v>1491070</v>
      </c>
      <c r="N15" s="13">
        <v>13</v>
      </c>
      <c r="O15" s="54">
        <v>0.054</v>
      </c>
      <c r="P15" s="54">
        <v>0.0201</v>
      </c>
      <c r="Q15" s="54">
        <v>0.0387</v>
      </c>
    </row>
    <row r="16" ht="17" spans="1:17">
      <c r="A16" s="48" t="s">
        <v>10</v>
      </c>
      <c r="B16" s="13" t="s">
        <v>31</v>
      </c>
      <c r="C16" s="47">
        <v>43738</v>
      </c>
      <c r="D16" s="44">
        <v>14370691</v>
      </c>
      <c r="E16" s="44">
        <v>3212325</v>
      </c>
      <c r="F16" s="49">
        <f t="shared" si="3"/>
        <v>0.223533092458811</v>
      </c>
      <c r="G16" s="50">
        <f>IFERROR(Table1_4[[#This Row],[GROSS NPA]]/Table1_4[[#This Row],[TOTAL ADVANCES]],"")</f>
        <v>0.223533092458811</v>
      </c>
      <c r="H16" s="51">
        <f>ABS(Table1_4[[#This Row],[GNPA RATIO]]-G16)</f>
        <v>0</v>
      </c>
      <c r="I16" s="33">
        <v>0.7</v>
      </c>
      <c r="J16" s="45">
        <f t="shared" si="0"/>
        <v>2248627.5</v>
      </c>
      <c r="K16" s="44">
        <f t="shared" si="1"/>
        <v>963697.5</v>
      </c>
      <c r="L16" s="53">
        <f t="shared" si="2"/>
        <v>0.0670599277376432</v>
      </c>
      <c r="M16" s="44">
        <v>1667738</v>
      </c>
      <c r="N16" s="13">
        <v>19</v>
      </c>
      <c r="O16" s="54">
        <v>0.054</v>
      </c>
      <c r="P16" s="54">
        <v>0.0201</v>
      </c>
      <c r="Q16" s="54">
        <v>0.0387</v>
      </c>
    </row>
    <row r="17" spans="1:17">
      <c r="A17" s="13" t="s">
        <v>6</v>
      </c>
      <c r="B17" s="13" t="s">
        <v>32</v>
      </c>
      <c r="C17" s="47">
        <v>43830</v>
      </c>
      <c r="D17" s="44">
        <v>5648772</v>
      </c>
      <c r="E17" s="44">
        <v>264939</v>
      </c>
      <c r="F17" s="49">
        <f t="shared" si="3"/>
        <v>0.0469020523398714</v>
      </c>
      <c r="G17" s="50">
        <f>IFERROR(Table1_4[[#This Row],[GROSS NPA]]/Table1_4[[#This Row],[TOTAL ADVANCES]],"")</f>
        <v>0.0469020523398714</v>
      </c>
      <c r="H17" s="51">
        <f>ABS(Table1_4[[#This Row],[GNPA RATIO]]-G17)</f>
        <v>0</v>
      </c>
      <c r="I17" s="31">
        <v>0.68</v>
      </c>
      <c r="J17" s="45">
        <f t="shared" si="0"/>
        <v>180158.52</v>
      </c>
      <c r="K17" s="44">
        <f t="shared" si="1"/>
        <v>84780.48</v>
      </c>
      <c r="L17" s="53">
        <f t="shared" si="2"/>
        <v>0.0150086567487588</v>
      </c>
      <c r="M17" s="44">
        <v>125797</v>
      </c>
      <c r="N17" s="13">
        <v>13</v>
      </c>
      <c r="O17" s="54">
        <v>0.0515</v>
      </c>
      <c r="P17" s="54">
        <v>0.0228</v>
      </c>
      <c r="Q17" s="54">
        <v>0.0387</v>
      </c>
    </row>
    <row r="18" spans="1:17">
      <c r="A18" s="13" t="s">
        <v>7</v>
      </c>
      <c r="B18" s="13" t="s">
        <v>32</v>
      </c>
      <c r="C18" s="47">
        <v>43830</v>
      </c>
      <c r="D18" s="44">
        <v>3520783</v>
      </c>
      <c r="E18" s="44">
        <v>1624097</v>
      </c>
      <c r="F18" s="49">
        <f t="shared" si="3"/>
        <v>0.46128858268175</v>
      </c>
      <c r="G18" s="50">
        <f>IFERROR(Table1_4[[#This Row],[GROSS NPA]]/Table1_4[[#This Row],[TOTAL ADVANCES]],"")</f>
        <v>0.46128858268175</v>
      </c>
      <c r="H18" s="51">
        <f>ABS(Table1_4[[#This Row],[GNPA RATIO]]-G18)</f>
        <v>0</v>
      </c>
      <c r="I18" s="31">
        <v>0.68</v>
      </c>
      <c r="J18" s="45">
        <f t="shared" si="0"/>
        <v>1104385.96</v>
      </c>
      <c r="K18" s="44">
        <f t="shared" si="1"/>
        <v>519711.04</v>
      </c>
      <c r="L18" s="53">
        <f t="shared" si="2"/>
        <v>0.14761234645816</v>
      </c>
      <c r="M18" s="44">
        <v>1009000</v>
      </c>
      <c r="N18" s="13">
        <v>6</v>
      </c>
      <c r="O18" s="54">
        <v>0.0515</v>
      </c>
      <c r="P18" s="54">
        <v>0.0228</v>
      </c>
      <c r="Q18" s="54">
        <v>0.0387</v>
      </c>
    </row>
    <row r="19" spans="1:17">
      <c r="A19" s="13" t="s">
        <v>8</v>
      </c>
      <c r="B19" s="13" t="s">
        <v>32</v>
      </c>
      <c r="C19" s="47">
        <v>43830</v>
      </c>
      <c r="D19" s="44">
        <v>21839031</v>
      </c>
      <c r="E19" s="44">
        <v>0</v>
      </c>
      <c r="F19" s="49">
        <f t="shared" si="3"/>
        <v>0</v>
      </c>
      <c r="G19" s="50">
        <f>IFERROR(Table1_4[[#This Row],[GROSS NPA]]/Table1_4[[#This Row],[TOTAL ADVANCES]],"")</f>
        <v>0</v>
      </c>
      <c r="H19" s="51">
        <f>ABS(Table1_4[[#This Row],[GNPA RATIO]]-G19)</f>
        <v>0</v>
      </c>
      <c r="I19" s="31">
        <v>0.68</v>
      </c>
      <c r="J19" s="45">
        <f t="shared" si="0"/>
        <v>0</v>
      </c>
      <c r="K19" s="44">
        <f t="shared" si="1"/>
        <v>0</v>
      </c>
      <c r="L19" s="53">
        <f t="shared" si="2"/>
        <v>0</v>
      </c>
      <c r="M19" s="44">
        <v>0</v>
      </c>
      <c r="N19" s="13">
        <v>11</v>
      </c>
      <c r="O19" s="54">
        <v>0.0515</v>
      </c>
      <c r="P19" s="54">
        <v>0.0228</v>
      </c>
      <c r="Q19" s="54">
        <v>0.0387</v>
      </c>
    </row>
    <row r="20" spans="1:17">
      <c r="A20" s="13" t="s">
        <v>9</v>
      </c>
      <c r="B20" s="13" t="s">
        <v>32</v>
      </c>
      <c r="C20" s="47">
        <v>43830</v>
      </c>
      <c r="D20" s="44">
        <v>9501281</v>
      </c>
      <c r="E20" s="44">
        <v>1672035</v>
      </c>
      <c r="F20" s="49">
        <f t="shared" si="3"/>
        <v>0.17597995470295</v>
      </c>
      <c r="G20" s="50">
        <f>IFERROR(Table1_4[[#This Row],[GROSS NPA]]/Table1_4[[#This Row],[TOTAL ADVANCES]],"")</f>
        <v>0.17597995470295</v>
      </c>
      <c r="H20" s="51">
        <f>ABS(Table1_4[[#This Row],[GNPA RATIO]]-G20)</f>
        <v>0</v>
      </c>
      <c r="I20" s="31">
        <v>0.68</v>
      </c>
      <c r="J20" s="45">
        <f t="shared" si="0"/>
        <v>1136983.8</v>
      </c>
      <c r="K20" s="44">
        <f t="shared" si="1"/>
        <v>535051.2</v>
      </c>
      <c r="L20" s="53">
        <f t="shared" si="2"/>
        <v>0.056313585504944</v>
      </c>
      <c r="M20" s="44">
        <v>1148592</v>
      </c>
      <c r="N20" s="13">
        <v>18</v>
      </c>
      <c r="O20" s="54">
        <v>0.0515</v>
      </c>
      <c r="P20" s="54">
        <v>0.0228</v>
      </c>
      <c r="Q20" s="54">
        <v>0.0387</v>
      </c>
    </row>
    <row r="21" ht="17" spans="1:17">
      <c r="A21" s="48" t="s">
        <v>10</v>
      </c>
      <c r="B21" s="13" t="s">
        <v>32</v>
      </c>
      <c r="C21" s="47">
        <v>43830</v>
      </c>
      <c r="D21" s="44">
        <v>18204053</v>
      </c>
      <c r="E21" s="44">
        <v>4378901</v>
      </c>
      <c r="F21" s="49">
        <f t="shared" si="3"/>
        <v>0.2405453884363</v>
      </c>
      <c r="G21" s="50">
        <f>IFERROR(Table1_4[[#This Row],[GROSS NPA]]/Table1_4[[#This Row],[TOTAL ADVANCES]],"")</f>
        <v>0.2405453884363</v>
      </c>
      <c r="H21" s="51">
        <f>ABS(Table1_4[[#This Row],[GNPA RATIO]]-G21)</f>
        <v>0</v>
      </c>
      <c r="I21" s="31">
        <v>0.68</v>
      </c>
      <c r="J21" s="45">
        <f t="shared" si="0"/>
        <v>2977652.68</v>
      </c>
      <c r="K21" s="44">
        <f t="shared" si="1"/>
        <v>1401248.32</v>
      </c>
      <c r="L21" s="53">
        <f t="shared" si="2"/>
        <v>0.0769745242996161</v>
      </c>
      <c r="M21" s="44">
        <v>1652524</v>
      </c>
      <c r="N21" s="13">
        <v>14</v>
      </c>
      <c r="O21" s="54">
        <v>0.0515</v>
      </c>
      <c r="P21" s="54">
        <v>0.0228</v>
      </c>
      <c r="Q21" s="54">
        <v>0.0387</v>
      </c>
    </row>
    <row r="22" spans="1:17">
      <c r="A22" s="13" t="s">
        <v>6</v>
      </c>
      <c r="B22" s="13" t="s">
        <v>33</v>
      </c>
      <c r="C22" s="47">
        <v>43921</v>
      </c>
      <c r="D22" s="44">
        <v>3369719</v>
      </c>
      <c r="E22" s="44">
        <v>728726</v>
      </c>
      <c r="F22" s="49">
        <f t="shared" si="3"/>
        <v>0.216257201268118</v>
      </c>
      <c r="G22" s="50">
        <f>IFERROR(Table1_4[[#This Row],[GROSS NPA]]/Table1_4[[#This Row],[TOTAL ADVANCES]],"")</f>
        <v>0.216257201268118</v>
      </c>
      <c r="H22" s="51">
        <f>ABS(Table1_4[[#This Row],[GNPA RATIO]]-G22)</f>
        <v>0</v>
      </c>
      <c r="I22" s="31">
        <v>0.72</v>
      </c>
      <c r="J22" s="45">
        <f t="shared" si="0"/>
        <v>524682.72</v>
      </c>
      <c r="K22" s="44">
        <f t="shared" si="1"/>
        <v>204043.28</v>
      </c>
      <c r="L22" s="53">
        <f t="shared" si="2"/>
        <v>0.0605520163550729</v>
      </c>
      <c r="M22" s="44">
        <v>503748</v>
      </c>
      <c r="N22" s="13">
        <v>13</v>
      </c>
      <c r="O22" s="54">
        <v>0.044</v>
      </c>
      <c r="P22" s="54">
        <v>0.001</v>
      </c>
      <c r="Q22" s="54">
        <v>-0.0578</v>
      </c>
    </row>
    <row r="23" spans="1:17">
      <c r="A23" s="13" t="s">
        <v>7</v>
      </c>
      <c r="B23" s="13" t="s">
        <v>33</v>
      </c>
      <c r="C23" s="47">
        <v>43921</v>
      </c>
      <c r="D23" s="44">
        <v>8216585</v>
      </c>
      <c r="E23" s="44">
        <v>190520</v>
      </c>
      <c r="F23" s="49">
        <f t="shared" si="3"/>
        <v>0.0231872487170765</v>
      </c>
      <c r="G23" s="50">
        <f>IFERROR(Table1_4[[#This Row],[GROSS NPA]]/Table1_4[[#This Row],[TOTAL ADVANCES]],"")</f>
        <v>0.0231872487170765</v>
      </c>
      <c r="H23" s="51">
        <f>ABS(Table1_4[[#This Row],[GNPA RATIO]]-G23)</f>
        <v>0</v>
      </c>
      <c r="I23" s="31">
        <v>0.72</v>
      </c>
      <c r="J23" s="45">
        <f t="shared" si="0"/>
        <v>137174.4</v>
      </c>
      <c r="K23" s="44">
        <f t="shared" si="1"/>
        <v>53345.6</v>
      </c>
      <c r="L23" s="53">
        <f t="shared" si="2"/>
        <v>0.00649242964078142</v>
      </c>
      <c r="M23" s="44">
        <v>26239</v>
      </c>
      <c r="N23" s="13">
        <v>16</v>
      </c>
      <c r="O23" s="54">
        <v>0.044</v>
      </c>
      <c r="P23" s="54">
        <v>0.001</v>
      </c>
      <c r="Q23" s="54">
        <v>-0.0578</v>
      </c>
    </row>
    <row r="24" spans="1:17">
      <c r="A24" s="13" t="s">
        <v>8</v>
      </c>
      <c r="B24" s="13" t="s">
        <v>33</v>
      </c>
      <c r="C24" s="47">
        <v>43921</v>
      </c>
      <c r="D24" s="44">
        <v>30631459</v>
      </c>
      <c r="E24" s="44">
        <v>1230051</v>
      </c>
      <c r="F24" s="49">
        <f t="shared" si="3"/>
        <v>0.0401564613686864</v>
      </c>
      <c r="G24" s="50">
        <f>IFERROR(Table1_4[[#This Row],[GROSS NPA]]/Table1_4[[#This Row],[TOTAL ADVANCES]],"")</f>
        <v>0.0401564613686864</v>
      </c>
      <c r="H24" s="51">
        <f>ABS(Table1_4[[#This Row],[GNPA RATIO]]-G24)</f>
        <v>0</v>
      </c>
      <c r="I24" s="31">
        <v>0.72</v>
      </c>
      <c r="J24" s="45">
        <f t="shared" si="0"/>
        <v>885636.72</v>
      </c>
      <c r="K24" s="44">
        <f t="shared" si="1"/>
        <v>344414.28</v>
      </c>
      <c r="L24" s="53">
        <f t="shared" si="2"/>
        <v>0.0112438091832322</v>
      </c>
      <c r="M24" s="44">
        <v>258059</v>
      </c>
      <c r="N24" s="13">
        <v>11</v>
      </c>
      <c r="O24" s="54">
        <v>0.044</v>
      </c>
      <c r="P24" s="54">
        <v>0.001</v>
      </c>
      <c r="Q24" s="54">
        <v>-0.0578</v>
      </c>
    </row>
    <row r="25" spans="1:17">
      <c r="A25" s="13" t="s">
        <v>9</v>
      </c>
      <c r="B25" s="13" t="s">
        <v>33</v>
      </c>
      <c r="C25" s="47">
        <v>43921</v>
      </c>
      <c r="D25" s="44">
        <v>8130969</v>
      </c>
      <c r="E25" s="44">
        <v>1274565</v>
      </c>
      <c r="F25" s="49">
        <f t="shared" si="3"/>
        <v>0.15675437945957</v>
      </c>
      <c r="G25" s="50">
        <f>IFERROR(Table1_4[[#This Row],[GROSS NPA]]/Table1_4[[#This Row],[TOTAL ADVANCES]],"")</f>
        <v>0.15675437945957</v>
      </c>
      <c r="H25" s="51">
        <f>ABS(Table1_4[[#This Row],[GNPA RATIO]]-G25)</f>
        <v>0</v>
      </c>
      <c r="I25" s="31">
        <v>0.72</v>
      </c>
      <c r="J25" s="45">
        <f t="shared" si="0"/>
        <v>917686.8</v>
      </c>
      <c r="K25" s="44">
        <f t="shared" si="1"/>
        <v>356878.2</v>
      </c>
      <c r="L25" s="53">
        <f t="shared" si="2"/>
        <v>0.0438912262486796</v>
      </c>
      <c r="M25" s="44">
        <v>521742</v>
      </c>
      <c r="N25" s="13">
        <v>13</v>
      </c>
      <c r="O25" s="54">
        <v>0.044</v>
      </c>
      <c r="P25" s="54">
        <v>0.001</v>
      </c>
      <c r="Q25" s="54">
        <v>-0.0578</v>
      </c>
    </row>
    <row r="26" spans="1:17">
      <c r="A26" s="13" t="s">
        <v>10</v>
      </c>
      <c r="B26" s="13" t="s">
        <v>33</v>
      </c>
      <c r="C26" s="47">
        <v>43921</v>
      </c>
      <c r="D26" s="44">
        <v>19301040</v>
      </c>
      <c r="E26" s="44">
        <v>6309164</v>
      </c>
      <c r="F26" s="49">
        <f t="shared" si="3"/>
        <v>0.326882074748304</v>
      </c>
      <c r="G26" s="50">
        <f>IFERROR(Table1_4[[#This Row],[GROSS NPA]]/Table1_4[[#This Row],[TOTAL ADVANCES]],"")</f>
        <v>0.326882074748304</v>
      </c>
      <c r="H26" s="51">
        <f>ABS(Table1_4[[#This Row],[GNPA RATIO]]-G26)</f>
        <v>0</v>
      </c>
      <c r="I26" s="31">
        <v>0.72</v>
      </c>
      <c r="J26" s="45">
        <f t="shared" si="0"/>
        <v>4542598.08</v>
      </c>
      <c r="K26" s="44">
        <f t="shared" si="1"/>
        <v>1766565.92</v>
      </c>
      <c r="L26" s="53">
        <f t="shared" si="2"/>
        <v>0.091526980929525</v>
      </c>
      <c r="M26" s="44">
        <v>3474259</v>
      </c>
      <c r="N26" s="13">
        <v>15</v>
      </c>
      <c r="O26" s="54">
        <v>0.044</v>
      </c>
      <c r="P26" s="54">
        <v>0.001</v>
      </c>
      <c r="Q26" s="54">
        <v>-0.0578</v>
      </c>
    </row>
    <row r="27" spans="1:17">
      <c r="A27" s="13" t="s">
        <v>6</v>
      </c>
      <c r="B27" s="13" t="s">
        <v>34</v>
      </c>
      <c r="C27" s="47">
        <v>44012</v>
      </c>
      <c r="D27" s="44">
        <v>9270866</v>
      </c>
      <c r="E27" s="44">
        <v>2652668</v>
      </c>
      <c r="F27" s="49">
        <f t="shared" si="3"/>
        <v>0.286129472694352</v>
      </c>
      <c r="G27" s="50">
        <f>IFERROR(Table1_4[[#This Row],[GROSS NPA]]/Table1_4[[#This Row],[TOTAL ADVANCES]],"")</f>
        <v>0.286129472694352</v>
      </c>
      <c r="H27" s="51">
        <f>ABS(Table1_4[[#This Row],[GNPA RATIO]]-G27)</f>
        <v>0</v>
      </c>
      <c r="I27" s="31">
        <v>0.68</v>
      </c>
      <c r="J27" s="45">
        <f t="shared" si="0"/>
        <v>1803814.24</v>
      </c>
      <c r="K27" s="44">
        <f t="shared" si="1"/>
        <v>848853.76</v>
      </c>
      <c r="L27" s="53">
        <f t="shared" si="2"/>
        <v>0.0915614312621927</v>
      </c>
      <c r="M27" s="44">
        <v>1271531</v>
      </c>
      <c r="N27" s="13">
        <v>19</v>
      </c>
      <c r="O27" s="55">
        <v>0.04</v>
      </c>
      <c r="P27" s="54">
        <v>0.0071</v>
      </c>
      <c r="Q27" s="54">
        <v>-0.0578</v>
      </c>
    </row>
    <row r="28" spans="1:17">
      <c r="A28" s="13" t="s">
        <v>7</v>
      </c>
      <c r="B28" s="13" t="s">
        <v>34</v>
      </c>
      <c r="C28" s="47">
        <v>44012</v>
      </c>
      <c r="D28" s="44">
        <v>4363991</v>
      </c>
      <c r="E28" s="44">
        <v>678986</v>
      </c>
      <c r="F28" s="49">
        <f t="shared" si="3"/>
        <v>0.155588313541435</v>
      </c>
      <c r="G28" s="50">
        <f>IFERROR(Table1_4[[#This Row],[GROSS NPA]]/Table1_4[[#This Row],[TOTAL ADVANCES]],"")</f>
        <v>0.155588313541435</v>
      </c>
      <c r="H28" s="51">
        <f>ABS(Table1_4[[#This Row],[GNPA RATIO]]-G28)</f>
        <v>0</v>
      </c>
      <c r="I28" s="31">
        <v>0.68</v>
      </c>
      <c r="J28" s="45">
        <f t="shared" si="0"/>
        <v>461710.48</v>
      </c>
      <c r="K28" s="44">
        <f t="shared" si="1"/>
        <v>217275.52</v>
      </c>
      <c r="L28" s="53">
        <f t="shared" si="2"/>
        <v>0.0497882603332592</v>
      </c>
      <c r="M28" s="44">
        <v>262032</v>
      </c>
      <c r="N28" s="13">
        <v>14</v>
      </c>
      <c r="O28" s="55">
        <v>0.04</v>
      </c>
      <c r="P28" s="54">
        <v>0.0071</v>
      </c>
      <c r="Q28" s="54">
        <v>-0.0578</v>
      </c>
    </row>
    <row r="29" spans="1:17">
      <c r="A29" s="13" t="s">
        <v>8</v>
      </c>
      <c r="B29" s="13" t="s">
        <v>34</v>
      </c>
      <c r="C29" s="47">
        <v>44012</v>
      </c>
      <c r="D29" s="44">
        <v>28637258</v>
      </c>
      <c r="E29" s="44">
        <v>0</v>
      </c>
      <c r="F29" s="49">
        <f t="shared" si="3"/>
        <v>0</v>
      </c>
      <c r="G29" s="50">
        <f>IFERROR(Table1_4[[#This Row],[GROSS NPA]]/Table1_4[[#This Row],[TOTAL ADVANCES]],"")</f>
        <v>0</v>
      </c>
      <c r="H29" s="51">
        <f>ABS(Table1_4[[#This Row],[GNPA RATIO]]-G29)</f>
        <v>0</v>
      </c>
      <c r="I29" s="31">
        <v>0.68</v>
      </c>
      <c r="J29" s="45">
        <f t="shared" si="0"/>
        <v>0</v>
      </c>
      <c r="K29" s="44">
        <f t="shared" si="1"/>
        <v>0</v>
      </c>
      <c r="L29" s="53">
        <f t="shared" si="2"/>
        <v>0</v>
      </c>
      <c r="M29" s="44">
        <v>0</v>
      </c>
      <c r="N29" s="13">
        <v>7</v>
      </c>
      <c r="O29" s="55">
        <v>0.04</v>
      </c>
      <c r="P29" s="54">
        <v>0.0071</v>
      </c>
      <c r="Q29" s="54">
        <v>-0.0578</v>
      </c>
    </row>
    <row r="30" spans="1:17">
      <c r="A30" s="13" t="s">
        <v>9</v>
      </c>
      <c r="B30" s="13" t="s">
        <v>34</v>
      </c>
      <c r="C30" s="47">
        <v>44012</v>
      </c>
      <c r="D30" s="44">
        <v>10428389</v>
      </c>
      <c r="E30" s="44">
        <v>2548514</v>
      </c>
      <c r="F30" s="49">
        <f t="shared" si="3"/>
        <v>0.244382329811441</v>
      </c>
      <c r="G30" s="50">
        <f>IFERROR(Table1_4[[#This Row],[GROSS NPA]]/Table1_4[[#This Row],[TOTAL ADVANCES]],"")</f>
        <v>0.244382329811441</v>
      </c>
      <c r="H30" s="51">
        <f>ABS(Table1_4[[#This Row],[GNPA RATIO]]-G30)</f>
        <v>0</v>
      </c>
      <c r="I30" s="31">
        <v>0.68</v>
      </c>
      <c r="J30" s="45">
        <f t="shared" si="0"/>
        <v>1732989.52</v>
      </c>
      <c r="K30" s="44">
        <f t="shared" si="1"/>
        <v>815524.48</v>
      </c>
      <c r="L30" s="53">
        <f t="shared" si="2"/>
        <v>0.078202345539661</v>
      </c>
      <c r="M30" s="44">
        <v>828456</v>
      </c>
      <c r="N30" s="13">
        <v>18</v>
      </c>
      <c r="O30" s="55">
        <v>0.04</v>
      </c>
      <c r="P30" s="54">
        <v>0.0071</v>
      </c>
      <c r="Q30" s="54">
        <v>-0.0578</v>
      </c>
    </row>
    <row r="31" spans="1:17">
      <c r="A31" s="13" t="s">
        <v>10</v>
      </c>
      <c r="B31" s="13" t="s">
        <v>34</v>
      </c>
      <c r="C31" s="47">
        <v>44012</v>
      </c>
      <c r="D31" s="44">
        <v>16420163</v>
      </c>
      <c r="E31" s="44">
        <v>4253822</v>
      </c>
      <c r="F31" s="49">
        <f t="shared" si="3"/>
        <v>0.259060887519813</v>
      </c>
      <c r="G31" s="50">
        <f>IFERROR(Table1_4[[#This Row],[GROSS NPA]]/Table1_4[[#This Row],[TOTAL ADVANCES]],"")</f>
        <v>0.259060887519813</v>
      </c>
      <c r="H31" s="51">
        <f>ABS(Table1_4[[#This Row],[GNPA RATIO]]-G31)</f>
        <v>0</v>
      </c>
      <c r="I31" s="31">
        <v>0.68</v>
      </c>
      <c r="J31" s="45">
        <f t="shared" si="0"/>
        <v>2892598.96</v>
      </c>
      <c r="K31" s="44">
        <f t="shared" si="1"/>
        <v>1361223.04</v>
      </c>
      <c r="L31" s="53">
        <f t="shared" si="2"/>
        <v>0.0828994840063402</v>
      </c>
      <c r="M31" s="44">
        <v>1805357</v>
      </c>
      <c r="N31" s="13">
        <v>16</v>
      </c>
      <c r="O31" s="55">
        <v>0.04</v>
      </c>
      <c r="P31" s="54">
        <v>0.0071</v>
      </c>
      <c r="Q31" s="54">
        <v>-0.0578</v>
      </c>
    </row>
    <row r="32" spans="1:17">
      <c r="A32" s="13" t="s">
        <v>6</v>
      </c>
      <c r="B32" s="13" t="s">
        <v>35</v>
      </c>
      <c r="C32" s="47">
        <v>44104</v>
      </c>
      <c r="D32" s="44">
        <v>11175335</v>
      </c>
      <c r="E32" s="44">
        <v>923476</v>
      </c>
      <c r="F32" s="49">
        <f t="shared" si="3"/>
        <v>0.082635196170853</v>
      </c>
      <c r="G32" s="50">
        <f>IFERROR(Table1_4[[#This Row],[GROSS NPA]]/Table1_4[[#This Row],[TOTAL ADVANCES]],"")</f>
        <v>0.082635196170853</v>
      </c>
      <c r="H32" s="51">
        <f>ABS(Table1_4[[#This Row],[GNPA RATIO]]-G32)</f>
        <v>0</v>
      </c>
      <c r="I32" s="31">
        <v>0.68</v>
      </c>
      <c r="J32" s="45">
        <f t="shared" si="0"/>
        <v>627963.68</v>
      </c>
      <c r="K32" s="44">
        <f t="shared" si="1"/>
        <v>295512.32</v>
      </c>
      <c r="L32" s="53">
        <f t="shared" si="2"/>
        <v>0.026443262774673</v>
      </c>
      <c r="M32" s="44">
        <v>330919</v>
      </c>
      <c r="N32" s="13">
        <v>18</v>
      </c>
      <c r="O32" s="55">
        <v>0.04</v>
      </c>
      <c r="P32" s="54">
        <v>0.0233</v>
      </c>
      <c r="Q32" s="54">
        <v>-0.0578</v>
      </c>
    </row>
    <row r="33" spans="1:17">
      <c r="A33" s="13" t="s">
        <v>7</v>
      </c>
      <c r="B33" s="13" t="s">
        <v>35</v>
      </c>
      <c r="C33" s="47">
        <v>44104</v>
      </c>
      <c r="D33" s="44">
        <v>8193301</v>
      </c>
      <c r="E33" s="44">
        <v>907497</v>
      </c>
      <c r="F33" s="49">
        <f t="shared" si="3"/>
        <v>0.110760852066829</v>
      </c>
      <c r="G33" s="50">
        <f>IFERROR(Table1_4[[#This Row],[GROSS NPA]]/Table1_4[[#This Row],[TOTAL ADVANCES]],"")</f>
        <v>0.110760852066829</v>
      </c>
      <c r="H33" s="51">
        <f>ABS(Table1_4[[#This Row],[GNPA RATIO]]-G33)</f>
        <v>0</v>
      </c>
      <c r="I33" s="31">
        <v>0.68</v>
      </c>
      <c r="J33" s="45">
        <f t="shared" si="0"/>
        <v>617097.96</v>
      </c>
      <c r="K33" s="44">
        <f t="shared" si="1"/>
        <v>290399.04</v>
      </c>
      <c r="L33" s="53">
        <f t="shared" si="2"/>
        <v>0.0354434726613852</v>
      </c>
      <c r="M33" s="44">
        <v>608811</v>
      </c>
      <c r="N33" s="13">
        <v>9</v>
      </c>
      <c r="O33" s="55">
        <v>0.04</v>
      </c>
      <c r="P33" s="54">
        <v>0.0233</v>
      </c>
      <c r="Q33" s="54">
        <v>-0.0578</v>
      </c>
    </row>
    <row r="34" spans="1:17">
      <c r="A34" s="13" t="s">
        <v>8</v>
      </c>
      <c r="B34" s="13" t="s">
        <v>35</v>
      </c>
      <c r="C34" s="47">
        <v>44104</v>
      </c>
      <c r="D34" s="44">
        <v>18967221</v>
      </c>
      <c r="E34" s="44">
        <v>10228681</v>
      </c>
      <c r="F34" s="49">
        <f t="shared" si="3"/>
        <v>0.53928200657334</v>
      </c>
      <c r="G34" s="50">
        <f>IFERROR(Table1_4[[#This Row],[GROSS NPA]]/Table1_4[[#This Row],[TOTAL ADVANCES]],"")</f>
        <v>0.53928200657334</v>
      </c>
      <c r="H34" s="51">
        <f>ABS(Table1_4[[#This Row],[GNPA RATIO]]-G34)</f>
        <v>0</v>
      </c>
      <c r="I34" s="31">
        <v>0.68</v>
      </c>
      <c r="J34" s="45">
        <f t="shared" si="0"/>
        <v>6955503.08</v>
      </c>
      <c r="K34" s="44">
        <f t="shared" si="1"/>
        <v>3273177.92</v>
      </c>
      <c r="L34" s="53">
        <f t="shared" si="2"/>
        <v>0.172570242103469</v>
      </c>
      <c r="M34" s="44">
        <v>1352494</v>
      </c>
      <c r="N34" s="13">
        <v>11</v>
      </c>
      <c r="O34" s="55">
        <v>0.04</v>
      </c>
      <c r="P34" s="54">
        <v>0.0233</v>
      </c>
      <c r="Q34" s="54">
        <v>-0.0578</v>
      </c>
    </row>
    <row r="35" spans="1:17">
      <c r="A35" s="13" t="s">
        <v>9</v>
      </c>
      <c r="B35" s="13" t="s">
        <v>35</v>
      </c>
      <c r="C35" s="47">
        <v>44104</v>
      </c>
      <c r="D35" s="44">
        <v>6811661</v>
      </c>
      <c r="E35" s="44">
        <v>2315091</v>
      </c>
      <c r="F35" s="49">
        <f t="shared" ref="F35:F61" si="4">E35/D35</f>
        <v>0.339871728789791</v>
      </c>
      <c r="G35" s="50">
        <f>IFERROR(Table1_4[[#This Row],[GROSS NPA]]/Table1_4[[#This Row],[TOTAL ADVANCES]],"")</f>
        <v>0.339871728789791</v>
      </c>
      <c r="H35" s="51">
        <f>ABS(Table1_4[[#This Row],[GNPA RATIO]]-G35)</f>
        <v>0</v>
      </c>
      <c r="I35" s="31">
        <v>0.68</v>
      </c>
      <c r="J35" s="45">
        <f t="shared" si="0"/>
        <v>1574261.88</v>
      </c>
      <c r="K35" s="44">
        <f t="shared" si="1"/>
        <v>740829.12</v>
      </c>
      <c r="L35" s="53">
        <f t="shared" si="2"/>
        <v>0.108758953212733</v>
      </c>
      <c r="M35" s="44">
        <v>1114656</v>
      </c>
      <c r="N35" s="13">
        <v>10</v>
      </c>
      <c r="O35" s="55">
        <v>0.04</v>
      </c>
      <c r="P35" s="54">
        <v>0.0233</v>
      </c>
      <c r="Q35" s="54">
        <v>-0.0578</v>
      </c>
    </row>
    <row r="36" spans="1:17">
      <c r="A36" s="13" t="s">
        <v>10</v>
      </c>
      <c r="B36" s="13" t="s">
        <v>35</v>
      </c>
      <c r="C36" s="47">
        <v>44104</v>
      </c>
      <c r="D36" s="44">
        <v>17027938</v>
      </c>
      <c r="E36" s="44">
        <v>9230030</v>
      </c>
      <c r="F36" s="49">
        <f t="shared" si="4"/>
        <v>0.542052126334968</v>
      </c>
      <c r="G36" s="50">
        <f>IFERROR(Table1_4[[#This Row],[GROSS NPA]]/Table1_4[[#This Row],[TOTAL ADVANCES]],"")</f>
        <v>0.542052126334968</v>
      </c>
      <c r="H36" s="51">
        <f>ABS(Table1_4[[#This Row],[GNPA RATIO]]-G36)</f>
        <v>0</v>
      </c>
      <c r="I36" s="31">
        <v>0.68</v>
      </c>
      <c r="J36" s="45">
        <f t="shared" si="0"/>
        <v>6276420.4</v>
      </c>
      <c r="K36" s="44">
        <f t="shared" si="1"/>
        <v>2953609.6</v>
      </c>
      <c r="L36" s="53">
        <f t="shared" si="2"/>
        <v>0.17345668042719</v>
      </c>
      <c r="M36" s="44">
        <v>6051431</v>
      </c>
      <c r="N36" s="13">
        <v>17</v>
      </c>
      <c r="O36" s="55">
        <v>0.04</v>
      </c>
      <c r="P36" s="54">
        <v>0.0233</v>
      </c>
      <c r="Q36" s="54">
        <v>-0.0578</v>
      </c>
    </row>
    <row r="37" spans="1:17">
      <c r="A37" s="13" t="s">
        <v>6</v>
      </c>
      <c r="B37" s="13" t="s">
        <v>36</v>
      </c>
      <c r="C37" s="47">
        <v>44196</v>
      </c>
      <c r="D37" s="44">
        <v>3885260</v>
      </c>
      <c r="E37" s="44">
        <v>115112</v>
      </c>
      <c r="F37" s="49">
        <f t="shared" si="4"/>
        <v>0.0296278756119282</v>
      </c>
      <c r="G37" s="50">
        <f>IFERROR(Table1_4[[#This Row],[GROSS NPA]]/Table1_4[[#This Row],[TOTAL ADVANCES]],"")</f>
        <v>0.0296278756119282</v>
      </c>
      <c r="H37" s="51">
        <f>ABS(Table1_4[[#This Row],[GNPA RATIO]]-G37)</f>
        <v>0</v>
      </c>
      <c r="I37" s="30">
        <v>0.744</v>
      </c>
      <c r="J37" s="45">
        <f t="shared" si="0"/>
        <v>85643.328</v>
      </c>
      <c r="K37" s="44">
        <f t="shared" si="1"/>
        <v>29468.672</v>
      </c>
      <c r="L37" s="53">
        <f t="shared" si="2"/>
        <v>0.00758473615665361</v>
      </c>
      <c r="M37" s="44">
        <v>241982</v>
      </c>
      <c r="N37" s="13">
        <v>12</v>
      </c>
      <c r="O37" s="55">
        <v>0.04</v>
      </c>
      <c r="P37" s="54">
        <v>0.0172</v>
      </c>
      <c r="Q37" s="54">
        <v>-0.0578</v>
      </c>
    </row>
    <row r="38" spans="1:17">
      <c r="A38" s="13" t="s">
        <v>7</v>
      </c>
      <c r="B38" s="13" t="s">
        <v>36</v>
      </c>
      <c r="C38" s="47">
        <v>44196</v>
      </c>
      <c r="D38" s="44">
        <v>2280302</v>
      </c>
      <c r="E38" s="44">
        <v>324162</v>
      </c>
      <c r="F38" s="49">
        <f t="shared" si="4"/>
        <v>0.142157486157535</v>
      </c>
      <c r="G38" s="50">
        <f>IFERROR(Table1_4[[#This Row],[GROSS NPA]]/Table1_4[[#This Row],[TOTAL ADVANCES]],"")</f>
        <v>0.142157486157535</v>
      </c>
      <c r="H38" s="51">
        <f>ABS(Table1_4[[#This Row],[GNPA RATIO]]-G38)</f>
        <v>0</v>
      </c>
      <c r="I38" s="30">
        <v>0.744</v>
      </c>
      <c r="J38" s="45">
        <f t="shared" si="0"/>
        <v>241176.528</v>
      </c>
      <c r="K38" s="44">
        <f t="shared" si="1"/>
        <v>82985.472</v>
      </c>
      <c r="L38" s="53">
        <f t="shared" si="2"/>
        <v>0.036392316456329</v>
      </c>
      <c r="M38" s="44">
        <v>178815</v>
      </c>
      <c r="N38" s="13">
        <v>9</v>
      </c>
      <c r="O38" s="55">
        <v>0.04</v>
      </c>
      <c r="P38" s="54">
        <v>0.0172</v>
      </c>
      <c r="Q38" s="54">
        <v>-0.0578</v>
      </c>
    </row>
    <row r="39" spans="1:17">
      <c r="A39" s="13" t="s">
        <v>8</v>
      </c>
      <c r="B39" s="13" t="s">
        <v>36</v>
      </c>
      <c r="C39" s="47">
        <v>44196</v>
      </c>
      <c r="D39" s="44">
        <v>5439712</v>
      </c>
      <c r="E39" s="44">
        <v>0</v>
      </c>
      <c r="F39" s="49">
        <f t="shared" si="4"/>
        <v>0</v>
      </c>
      <c r="G39" s="50">
        <f>IFERROR(Table1_4[[#This Row],[GROSS NPA]]/Table1_4[[#This Row],[TOTAL ADVANCES]],"")</f>
        <v>0</v>
      </c>
      <c r="H39" s="51">
        <f>ABS(Table1_4[[#This Row],[GNPA RATIO]]-G39)</f>
        <v>0</v>
      </c>
      <c r="I39" s="30">
        <v>0.744</v>
      </c>
      <c r="J39" s="45">
        <f t="shared" si="0"/>
        <v>0</v>
      </c>
      <c r="K39" s="44">
        <f t="shared" si="1"/>
        <v>0</v>
      </c>
      <c r="L39" s="53">
        <f t="shared" si="2"/>
        <v>0</v>
      </c>
      <c r="M39" s="44">
        <v>0</v>
      </c>
      <c r="N39" s="13">
        <v>7</v>
      </c>
      <c r="O39" s="55">
        <v>0.04</v>
      </c>
      <c r="P39" s="54">
        <v>0.0172</v>
      </c>
      <c r="Q39" s="54">
        <v>-0.0578</v>
      </c>
    </row>
    <row r="40" spans="1:17">
      <c r="A40" s="13" t="s">
        <v>9</v>
      </c>
      <c r="B40" s="13" t="s">
        <v>36</v>
      </c>
      <c r="C40" s="47">
        <v>44196</v>
      </c>
      <c r="D40" s="44">
        <v>8342129</v>
      </c>
      <c r="E40" s="44">
        <v>1034468</v>
      </c>
      <c r="F40" s="49">
        <f t="shared" si="4"/>
        <v>0.124005274912435</v>
      </c>
      <c r="G40" s="50">
        <f>IFERROR(Table1_4[[#This Row],[GROSS NPA]]/Table1_4[[#This Row],[TOTAL ADVANCES]],"")</f>
        <v>0.124005274912435</v>
      </c>
      <c r="H40" s="51">
        <f>ABS(Table1_4[[#This Row],[GNPA RATIO]]-G40)</f>
        <v>0</v>
      </c>
      <c r="I40" s="30">
        <v>0.744</v>
      </c>
      <c r="J40" s="45">
        <f t="shared" si="0"/>
        <v>769644.192</v>
      </c>
      <c r="K40" s="44">
        <f t="shared" si="1"/>
        <v>264823.808</v>
      </c>
      <c r="L40" s="53">
        <f t="shared" si="2"/>
        <v>0.0317453503775835</v>
      </c>
      <c r="M40" s="44">
        <v>239017</v>
      </c>
      <c r="N40" s="13">
        <v>14</v>
      </c>
      <c r="O40" s="55">
        <v>0.04</v>
      </c>
      <c r="P40" s="54">
        <v>0.0172</v>
      </c>
      <c r="Q40" s="54">
        <v>-0.0578</v>
      </c>
    </row>
    <row r="41" spans="1:17">
      <c r="A41" s="13" t="s">
        <v>10</v>
      </c>
      <c r="B41" s="13" t="s">
        <v>36</v>
      </c>
      <c r="C41" s="47">
        <v>44196</v>
      </c>
      <c r="D41" s="44">
        <v>18667750</v>
      </c>
      <c r="E41" s="44">
        <v>7163965</v>
      </c>
      <c r="F41" s="49">
        <f t="shared" si="4"/>
        <v>0.383761567409034</v>
      </c>
      <c r="G41" s="50">
        <f>IFERROR(Table1_4[[#This Row],[GROSS NPA]]/Table1_4[[#This Row],[TOTAL ADVANCES]],"")</f>
        <v>0.383761567409034</v>
      </c>
      <c r="H41" s="51">
        <f>ABS(Table1_4[[#This Row],[GNPA RATIO]]-G41)</f>
        <v>0</v>
      </c>
      <c r="I41" s="30">
        <v>0.744</v>
      </c>
      <c r="J41" s="45">
        <f t="shared" si="0"/>
        <v>5329989.96</v>
      </c>
      <c r="K41" s="44">
        <f t="shared" si="1"/>
        <v>1833975.04</v>
      </c>
      <c r="L41" s="53">
        <f t="shared" si="2"/>
        <v>0.0982429612567128</v>
      </c>
      <c r="M41" s="44">
        <v>3080495</v>
      </c>
      <c r="N41" s="13">
        <v>16</v>
      </c>
      <c r="O41" s="55">
        <v>0.04</v>
      </c>
      <c r="P41" s="54">
        <v>0.0172</v>
      </c>
      <c r="Q41" s="54">
        <v>-0.0578</v>
      </c>
    </row>
    <row r="42" spans="1:17">
      <c r="A42" s="13" t="s">
        <v>6</v>
      </c>
      <c r="B42" s="13" t="s">
        <v>37</v>
      </c>
      <c r="C42" s="47">
        <v>44286</v>
      </c>
      <c r="D42" s="44">
        <v>4656290</v>
      </c>
      <c r="E42" s="44">
        <v>707282</v>
      </c>
      <c r="F42" s="49">
        <f t="shared" si="4"/>
        <v>0.151898185035726</v>
      </c>
      <c r="G42" s="50">
        <f>IFERROR(Table1_4[[#This Row],[GROSS NPA]]/Table1_4[[#This Row],[TOTAL ADVANCES]],"")</f>
        <v>0.151898185035726</v>
      </c>
      <c r="H42" s="51">
        <f>ABS(Table1_4[[#This Row],[GNPA RATIO]]-G42)</f>
        <v>0</v>
      </c>
      <c r="I42" s="31">
        <v>0.72</v>
      </c>
      <c r="J42" s="45">
        <f t="shared" si="0"/>
        <v>509243.04</v>
      </c>
      <c r="K42" s="44">
        <f t="shared" si="1"/>
        <v>198038.96</v>
      </c>
      <c r="L42" s="53">
        <f t="shared" si="2"/>
        <v>0.0425314918100032</v>
      </c>
      <c r="M42" s="44">
        <v>224184</v>
      </c>
      <c r="N42" s="13">
        <v>20</v>
      </c>
      <c r="O42" s="52">
        <v>0.04</v>
      </c>
      <c r="P42" s="54">
        <v>-0.0039</v>
      </c>
      <c r="Q42" s="54">
        <v>0.0969</v>
      </c>
    </row>
    <row r="43" spans="1:17">
      <c r="A43" s="13" t="s">
        <v>7</v>
      </c>
      <c r="B43" s="13" t="s">
        <v>37</v>
      </c>
      <c r="C43" s="47">
        <v>44286</v>
      </c>
      <c r="D43" s="44">
        <v>6486569</v>
      </c>
      <c r="E43" s="44">
        <v>700244</v>
      </c>
      <c r="F43" s="49">
        <f t="shared" si="4"/>
        <v>0.107952910082356</v>
      </c>
      <c r="G43" s="50">
        <f>IFERROR(Table1_4[[#This Row],[GROSS NPA]]/Table1_4[[#This Row],[TOTAL ADVANCES]],"")</f>
        <v>0.107952910082356</v>
      </c>
      <c r="H43" s="51">
        <f>ABS(Table1_4[[#This Row],[GNPA RATIO]]-G43)</f>
        <v>0</v>
      </c>
      <c r="I43" s="31">
        <v>0.72</v>
      </c>
      <c r="J43" s="45">
        <f t="shared" si="0"/>
        <v>504175.68</v>
      </c>
      <c r="K43" s="44">
        <f t="shared" si="1"/>
        <v>196068.32</v>
      </c>
      <c r="L43" s="53">
        <f t="shared" si="2"/>
        <v>0.0302268148230598</v>
      </c>
      <c r="M43" s="44">
        <v>268459</v>
      </c>
      <c r="N43" s="13">
        <v>8</v>
      </c>
      <c r="O43" s="52">
        <v>0.04</v>
      </c>
      <c r="P43" s="54">
        <v>-0.0039</v>
      </c>
      <c r="Q43" s="54">
        <v>0.0969</v>
      </c>
    </row>
    <row r="44" spans="1:17">
      <c r="A44" s="13" t="s">
        <v>8</v>
      </c>
      <c r="B44" s="13" t="s">
        <v>37</v>
      </c>
      <c r="C44" s="47">
        <v>44286</v>
      </c>
      <c r="D44" s="44">
        <v>32081669</v>
      </c>
      <c r="E44" s="44">
        <v>9068132</v>
      </c>
      <c r="F44" s="49">
        <f t="shared" si="4"/>
        <v>0.282657738286621</v>
      </c>
      <c r="G44" s="50">
        <f>IFERROR(Table1_4[[#This Row],[GROSS NPA]]/Table1_4[[#This Row],[TOTAL ADVANCES]],"")</f>
        <v>0.282657738286621</v>
      </c>
      <c r="H44" s="51">
        <f>ABS(Table1_4[[#This Row],[GNPA RATIO]]-G44)</f>
        <v>0</v>
      </c>
      <c r="I44" s="31">
        <v>0.72</v>
      </c>
      <c r="J44" s="45">
        <f t="shared" si="0"/>
        <v>6529055.04</v>
      </c>
      <c r="K44" s="44">
        <f t="shared" si="1"/>
        <v>2539076.96</v>
      </c>
      <c r="L44" s="53">
        <f t="shared" si="2"/>
        <v>0.0791441667202539</v>
      </c>
      <c r="M44" s="44">
        <v>4063197</v>
      </c>
      <c r="N44" s="13">
        <v>17</v>
      </c>
      <c r="O44" s="52">
        <v>0.04</v>
      </c>
      <c r="P44" s="54">
        <v>-0.0039</v>
      </c>
      <c r="Q44" s="54">
        <v>0.0969</v>
      </c>
    </row>
    <row r="45" spans="1:17">
      <c r="A45" s="13" t="s">
        <v>9</v>
      </c>
      <c r="B45" s="13" t="s">
        <v>37</v>
      </c>
      <c r="C45" s="47">
        <v>44286</v>
      </c>
      <c r="D45" s="44">
        <v>18023491</v>
      </c>
      <c r="E45" s="44">
        <v>1506056</v>
      </c>
      <c r="F45" s="49">
        <f t="shared" si="4"/>
        <v>0.0835607263875794</v>
      </c>
      <c r="G45" s="50">
        <f>IFERROR(Table1_4[[#This Row],[GROSS NPA]]/Table1_4[[#This Row],[TOTAL ADVANCES]],"")</f>
        <v>0.0835607263875794</v>
      </c>
      <c r="H45" s="51">
        <f>ABS(Table1_4[[#This Row],[GNPA RATIO]]-G45)</f>
        <v>0</v>
      </c>
      <c r="I45" s="31">
        <v>0.72</v>
      </c>
      <c r="J45" s="45">
        <f t="shared" si="0"/>
        <v>1084360.32</v>
      </c>
      <c r="K45" s="44">
        <f t="shared" si="1"/>
        <v>421695.68</v>
      </c>
      <c r="L45" s="53">
        <f t="shared" si="2"/>
        <v>0.0233970033885222</v>
      </c>
      <c r="M45" s="44">
        <v>550840</v>
      </c>
      <c r="N45" s="13">
        <v>20</v>
      </c>
      <c r="O45" s="52">
        <v>0.04</v>
      </c>
      <c r="P45" s="54">
        <v>-0.0039</v>
      </c>
      <c r="Q45" s="54">
        <v>0.0969</v>
      </c>
    </row>
    <row r="46" spans="1:17">
      <c r="A46" s="13" t="s">
        <v>10</v>
      </c>
      <c r="B46" s="13" t="s">
        <v>37</v>
      </c>
      <c r="C46" s="47">
        <v>44286</v>
      </c>
      <c r="D46" s="44">
        <v>15280554</v>
      </c>
      <c r="E46" s="44">
        <v>9534273</v>
      </c>
      <c r="F46" s="49">
        <f t="shared" si="4"/>
        <v>0.623948123870378</v>
      </c>
      <c r="G46" s="50">
        <f>IFERROR(Table1_4[[#This Row],[GROSS NPA]]/Table1_4[[#This Row],[TOTAL ADVANCES]],"")</f>
        <v>0.623948123870378</v>
      </c>
      <c r="H46" s="51">
        <f>ABS(Table1_4[[#This Row],[GNPA RATIO]]-G46)</f>
        <v>0</v>
      </c>
      <c r="I46" s="31">
        <v>0.72</v>
      </c>
      <c r="J46" s="45">
        <f t="shared" si="0"/>
        <v>6864676.56</v>
      </c>
      <c r="K46" s="44">
        <f t="shared" si="1"/>
        <v>2669596.44</v>
      </c>
      <c r="L46" s="53">
        <f t="shared" si="2"/>
        <v>0.174705474683706</v>
      </c>
      <c r="M46" s="44">
        <v>3484205</v>
      </c>
      <c r="N46" s="13">
        <v>14</v>
      </c>
      <c r="O46" s="52">
        <v>0.04</v>
      </c>
      <c r="P46" s="54">
        <v>-0.0039</v>
      </c>
      <c r="Q46" s="54">
        <v>0.0969</v>
      </c>
    </row>
    <row r="47" spans="1:17">
      <c r="A47" s="13" t="s">
        <v>6</v>
      </c>
      <c r="B47" s="13" t="s">
        <v>38</v>
      </c>
      <c r="C47" s="47">
        <v>44377</v>
      </c>
      <c r="D47" s="44">
        <v>10566236</v>
      </c>
      <c r="E47" s="44">
        <v>1847185</v>
      </c>
      <c r="F47" s="49">
        <f t="shared" si="4"/>
        <v>0.174819585706774</v>
      </c>
      <c r="G47" s="50">
        <f>IFERROR(Table1_4[[#This Row],[GROSS NPA]]/Table1_4[[#This Row],[TOTAL ADVANCES]],"")</f>
        <v>0.174819585706774</v>
      </c>
      <c r="H47" s="51">
        <f>ABS(Table1_4[[#This Row],[GNPA RATIO]]-G47)</f>
        <v>0</v>
      </c>
      <c r="I47" s="33">
        <v>0.68</v>
      </c>
      <c r="J47" s="45">
        <f t="shared" si="0"/>
        <v>1256085.8</v>
      </c>
      <c r="K47" s="44">
        <f t="shared" si="1"/>
        <v>591099.2</v>
      </c>
      <c r="L47" s="53">
        <f t="shared" si="2"/>
        <v>0.0559422674261676</v>
      </c>
      <c r="M47" s="44">
        <v>827685</v>
      </c>
      <c r="N47" s="13">
        <v>15</v>
      </c>
      <c r="O47" s="52">
        <v>0.04</v>
      </c>
      <c r="P47" s="54">
        <v>0.0156</v>
      </c>
      <c r="Q47" s="54">
        <v>0.0969</v>
      </c>
    </row>
    <row r="48" spans="1:17">
      <c r="A48" s="13" t="s">
        <v>7</v>
      </c>
      <c r="B48" s="13" t="s">
        <v>38</v>
      </c>
      <c r="C48" s="47">
        <v>44377</v>
      </c>
      <c r="D48" s="44">
        <v>11032293</v>
      </c>
      <c r="E48" s="44">
        <v>2201941</v>
      </c>
      <c r="F48" s="49">
        <f t="shared" si="4"/>
        <v>0.199590511238235</v>
      </c>
      <c r="G48" s="50">
        <f>IFERROR(Table1_4[[#This Row],[GROSS NPA]]/Table1_4[[#This Row],[TOTAL ADVANCES]],"")</f>
        <v>0.199590511238235</v>
      </c>
      <c r="H48" s="51">
        <f>ABS(Table1_4[[#This Row],[GNPA RATIO]]-G48)</f>
        <v>0</v>
      </c>
      <c r="I48" s="33">
        <v>0.68</v>
      </c>
      <c r="J48" s="45">
        <f t="shared" si="0"/>
        <v>1497319.88</v>
      </c>
      <c r="K48" s="44">
        <f t="shared" si="1"/>
        <v>704621.12</v>
      </c>
      <c r="L48" s="53">
        <f t="shared" si="2"/>
        <v>0.0638689635962351</v>
      </c>
      <c r="M48" s="44">
        <v>1199627</v>
      </c>
      <c r="N48" s="13">
        <v>16</v>
      </c>
      <c r="O48" s="52">
        <v>0.04</v>
      </c>
      <c r="P48" s="54">
        <v>0.0156</v>
      </c>
      <c r="Q48" s="54">
        <v>0.0969</v>
      </c>
    </row>
    <row r="49" spans="1:17">
      <c r="A49" s="13" t="s">
        <v>8</v>
      </c>
      <c r="B49" s="13" t="s">
        <v>38</v>
      </c>
      <c r="C49" s="47">
        <v>44377</v>
      </c>
      <c r="D49" s="44">
        <v>26438098</v>
      </c>
      <c r="E49" s="44">
        <v>0</v>
      </c>
      <c r="F49" s="49">
        <f t="shared" si="4"/>
        <v>0</v>
      </c>
      <c r="G49" s="50">
        <f>IFERROR(Table1_4[[#This Row],[GROSS NPA]]/Table1_4[[#This Row],[TOTAL ADVANCES]],"")</f>
        <v>0</v>
      </c>
      <c r="H49" s="51">
        <f>ABS(Table1_4[[#This Row],[GNPA RATIO]]-G49)</f>
        <v>0</v>
      </c>
      <c r="I49" s="33">
        <v>0.68</v>
      </c>
      <c r="J49" s="45">
        <f t="shared" si="0"/>
        <v>0</v>
      </c>
      <c r="K49" s="44">
        <f t="shared" si="1"/>
        <v>0</v>
      </c>
      <c r="L49" s="53">
        <f t="shared" si="2"/>
        <v>0</v>
      </c>
      <c r="M49" s="44">
        <v>0</v>
      </c>
      <c r="N49" s="13">
        <v>11</v>
      </c>
      <c r="O49" s="52">
        <v>0.04</v>
      </c>
      <c r="P49" s="54">
        <v>0.0156</v>
      </c>
      <c r="Q49" s="54">
        <v>0.0969</v>
      </c>
    </row>
    <row r="50" spans="1:17">
      <c r="A50" s="13" t="s">
        <v>9</v>
      </c>
      <c r="B50" s="13" t="s">
        <v>38</v>
      </c>
      <c r="C50" s="47">
        <v>44377</v>
      </c>
      <c r="D50" s="44">
        <v>4743294</v>
      </c>
      <c r="E50" s="44">
        <v>1147315</v>
      </c>
      <c r="F50" s="49">
        <f t="shared" si="4"/>
        <v>0.24188148573544</v>
      </c>
      <c r="G50" s="50">
        <f>IFERROR(Table1_4[[#This Row],[GROSS NPA]]/Table1_4[[#This Row],[TOTAL ADVANCES]],"")</f>
        <v>0.24188148573544</v>
      </c>
      <c r="H50" s="51">
        <f>ABS(Table1_4[[#This Row],[GNPA RATIO]]-G50)</f>
        <v>0</v>
      </c>
      <c r="I50" s="33">
        <v>0.68</v>
      </c>
      <c r="J50" s="45">
        <f t="shared" si="0"/>
        <v>780174.2</v>
      </c>
      <c r="K50" s="44">
        <f t="shared" si="1"/>
        <v>367140.8</v>
      </c>
      <c r="L50" s="53">
        <f t="shared" si="2"/>
        <v>0.0774020754353409</v>
      </c>
      <c r="M50" s="44">
        <v>279630</v>
      </c>
      <c r="N50" s="13">
        <v>10</v>
      </c>
      <c r="O50" s="52">
        <v>0.04</v>
      </c>
      <c r="P50" s="54">
        <v>0.0156</v>
      </c>
      <c r="Q50" s="54">
        <v>0.0969</v>
      </c>
    </row>
    <row r="51" spans="1:17">
      <c r="A51" s="13" t="s">
        <v>10</v>
      </c>
      <c r="B51" s="13" t="s">
        <v>38</v>
      </c>
      <c r="C51" s="47">
        <v>44377</v>
      </c>
      <c r="D51" s="44">
        <v>24978769</v>
      </c>
      <c r="E51" s="44">
        <v>7468043</v>
      </c>
      <c r="F51" s="49">
        <f t="shared" si="4"/>
        <v>0.298975622057276</v>
      </c>
      <c r="G51" s="50">
        <f>IFERROR(Table1_4[[#This Row],[GROSS NPA]]/Table1_4[[#This Row],[TOTAL ADVANCES]],"")</f>
        <v>0.298975622057276</v>
      </c>
      <c r="H51" s="51">
        <f>ABS(Table1_4[[#This Row],[GNPA RATIO]]-G51)</f>
        <v>0</v>
      </c>
      <c r="I51" s="33">
        <v>0.68</v>
      </c>
      <c r="J51" s="45">
        <f t="shared" si="0"/>
        <v>5078269.24</v>
      </c>
      <c r="K51" s="44">
        <f t="shared" si="1"/>
        <v>2389773.76</v>
      </c>
      <c r="L51" s="53">
        <f t="shared" si="2"/>
        <v>0.0956721990583283</v>
      </c>
      <c r="M51" s="44">
        <v>3611344</v>
      </c>
      <c r="N51" s="13">
        <v>14</v>
      </c>
      <c r="O51" s="52">
        <v>0.04</v>
      </c>
      <c r="P51" s="54">
        <v>0.0156</v>
      </c>
      <c r="Q51" s="54">
        <v>0.0969</v>
      </c>
    </row>
    <row r="52" spans="1:17">
      <c r="A52" s="13" t="s">
        <v>6</v>
      </c>
      <c r="B52" s="13" t="s">
        <v>39</v>
      </c>
      <c r="C52" s="47">
        <v>44469</v>
      </c>
      <c r="D52" s="44">
        <v>3452054</v>
      </c>
      <c r="E52" s="44">
        <v>646819</v>
      </c>
      <c r="F52" s="49">
        <f t="shared" si="4"/>
        <v>0.187372213760271</v>
      </c>
      <c r="G52" s="50">
        <f>IFERROR(Table1_4[[#This Row],[GROSS NPA]]/Table1_4[[#This Row],[TOTAL ADVANCES]],"")</f>
        <v>0.187372213760271</v>
      </c>
      <c r="H52" s="51">
        <f>ABS(Table1_4[[#This Row],[GNPA RATIO]]-G52)</f>
        <v>0</v>
      </c>
      <c r="I52" s="31">
        <v>0.71</v>
      </c>
      <c r="J52" s="45">
        <f t="shared" si="0"/>
        <v>459241.49</v>
      </c>
      <c r="K52" s="44">
        <f t="shared" si="1"/>
        <v>187577.51</v>
      </c>
      <c r="L52" s="53">
        <f t="shared" si="2"/>
        <v>0.0543379419904787</v>
      </c>
      <c r="M52" s="44">
        <v>167083</v>
      </c>
      <c r="N52" s="13">
        <v>12</v>
      </c>
      <c r="O52" s="52">
        <v>0.04</v>
      </c>
      <c r="P52" s="54">
        <v>0.0184</v>
      </c>
      <c r="Q52" s="54">
        <v>0.0969</v>
      </c>
    </row>
    <row r="53" spans="1:17">
      <c r="A53" s="13" t="s">
        <v>7</v>
      </c>
      <c r="B53" s="13" t="s">
        <v>39</v>
      </c>
      <c r="C53" s="47">
        <v>44469</v>
      </c>
      <c r="D53" s="44">
        <v>2752333</v>
      </c>
      <c r="E53" s="44">
        <v>0</v>
      </c>
      <c r="F53" s="49">
        <f t="shared" si="4"/>
        <v>0</v>
      </c>
      <c r="G53" s="50">
        <f>IFERROR(Table1_4[[#This Row],[GROSS NPA]]/Table1_4[[#This Row],[TOTAL ADVANCES]],"")</f>
        <v>0</v>
      </c>
      <c r="H53" s="51">
        <f>ABS(Table1_4[[#This Row],[GNPA RATIO]]-G53)</f>
        <v>0</v>
      </c>
      <c r="I53" s="31">
        <v>0.71</v>
      </c>
      <c r="J53" s="45">
        <f t="shared" si="0"/>
        <v>0</v>
      </c>
      <c r="K53" s="44">
        <f t="shared" si="1"/>
        <v>0</v>
      </c>
      <c r="L53" s="53">
        <f t="shared" si="2"/>
        <v>0</v>
      </c>
      <c r="M53" s="44">
        <v>0</v>
      </c>
      <c r="N53" s="13">
        <v>5</v>
      </c>
      <c r="O53" s="52">
        <v>0.04</v>
      </c>
      <c r="P53" s="54">
        <v>0.0184</v>
      </c>
      <c r="Q53" s="54">
        <v>0.0969</v>
      </c>
    </row>
    <row r="54" spans="1:17">
      <c r="A54" s="13" t="s">
        <v>8</v>
      </c>
      <c r="B54" s="13" t="s">
        <v>39</v>
      </c>
      <c r="C54" s="47">
        <v>44469</v>
      </c>
      <c r="D54" s="44">
        <v>38026888</v>
      </c>
      <c r="E54" s="44">
        <v>5621486</v>
      </c>
      <c r="F54" s="49">
        <f t="shared" si="4"/>
        <v>0.147829241246352</v>
      </c>
      <c r="G54" s="50">
        <f>IFERROR(Table1_4[[#This Row],[GROSS NPA]]/Table1_4[[#This Row],[TOTAL ADVANCES]],"")</f>
        <v>0.147829241246352</v>
      </c>
      <c r="H54" s="51">
        <f>ABS(Table1_4[[#This Row],[GNPA RATIO]]-G54)</f>
        <v>0</v>
      </c>
      <c r="I54" s="31">
        <v>0.71</v>
      </c>
      <c r="J54" s="45">
        <f t="shared" si="0"/>
        <v>3991255.06</v>
      </c>
      <c r="K54" s="44">
        <f t="shared" si="1"/>
        <v>1630230.94</v>
      </c>
      <c r="L54" s="53">
        <f t="shared" si="2"/>
        <v>0.042870479961442</v>
      </c>
      <c r="M54" s="44">
        <v>3776559</v>
      </c>
      <c r="N54" s="13">
        <v>18</v>
      </c>
      <c r="O54" s="52">
        <v>0.04</v>
      </c>
      <c r="P54" s="54">
        <v>0.0184</v>
      </c>
      <c r="Q54" s="54">
        <v>0.0969</v>
      </c>
    </row>
    <row r="55" spans="1:17">
      <c r="A55" s="13" t="s">
        <v>9</v>
      </c>
      <c r="B55" s="13" t="s">
        <v>39</v>
      </c>
      <c r="C55" s="47">
        <v>44469</v>
      </c>
      <c r="D55" s="44">
        <v>7315291</v>
      </c>
      <c r="E55" s="44">
        <v>1131476</v>
      </c>
      <c r="F55" s="49">
        <f t="shared" si="4"/>
        <v>0.154672725938039</v>
      </c>
      <c r="G55" s="50">
        <f>IFERROR(Table1_4[[#This Row],[GROSS NPA]]/Table1_4[[#This Row],[TOTAL ADVANCES]],"")</f>
        <v>0.154672725938039</v>
      </c>
      <c r="H55" s="51">
        <f>ABS(Table1_4[[#This Row],[GNPA RATIO]]-G55)</f>
        <v>0</v>
      </c>
      <c r="I55" s="31">
        <v>0.71</v>
      </c>
      <c r="J55" s="45">
        <f t="shared" si="0"/>
        <v>803347.96</v>
      </c>
      <c r="K55" s="44">
        <f t="shared" si="1"/>
        <v>328128.04</v>
      </c>
      <c r="L55" s="53">
        <f t="shared" si="2"/>
        <v>0.0448550905220312</v>
      </c>
      <c r="M55" s="44">
        <v>629736</v>
      </c>
      <c r="N55" s="13">
        <v>10</v>
      </c>
      <c r="O55" s="52">
        <v>0.04</v>
      </c>
      <c r="P55" s="54">
        <v>0.0184</v>
      </c>
      <c r="Q55" s="54">
        <v>0.0969</v>
      </c>
    </row>
    <row r="56" spans="1:17">
      <c r="A56" s="13" t="s">
        <v>10</v>
      </c>
      <c r="B56" s="13" t="s">
        <v>39</v>
      </c>
      <c r="C56" s="47">
        <v>44469</v>
      </c>
      <c r="D56" s="44">
        <v>11421288</v>
      </c>
      <c r="E56" s="44">
        <v>3076418</v>
      </c>
      <c r="F56" s="49">
        <f t="shared" si="4"/>
        <v>0.269358237004443</v>
      </c>
      <c r="G56" s="50">
        <f>IFERROR(Table1_4[[#This Row],[GROSS NPA]]/Table1_4[[#This Row],[TOTAL ADVANCES]],"")</f>
        <v>0.269358237004443</v>
      </c>
      <c r="H56" s="51">
        <f>ABS(Table1_4[[#This Row],[GNPA RATIO]]-G56)</f>
        <v>0</v>
      </c>
      <c r="I56" s="31">
        <v>0.71</v>
      </c>
      <c r="J56" s="45">
        <f t="shared" si="0"/>
        <v>2184256.78</v>
      </c>
      <c r="K56" s="44">
        <f t="shared" si="1"/>
        <v>892161.22</v>
      </c>
      <c r="L56" s="53">
        <f t="shared" si="2"/>
        <v>0.0781138887312885</v>
      </c>
      <c r="M56" s="44">
        <v>1463082</v>
      </c>
      <c r="N56" s="13">
        <v>17</v>
      </c>
      <c r="O56" s="52">
        <v>0.04</v>
      </c>
      <c r="P56" s="54">
        <v>0.0184</v>
      </c>
      <c r="Q56" s="54">
        <v>0.0969</v>
      </c>
    </row>
    <row r="57" spans="1:17">
      <c r="A57" s="13" t="s">
        <v>6</v>
      </c>
      <c r="B57" s="13" t="s">
        <v>40</v>
      </c>
      <c r="C57" s="47">
        <v>44561</v>
      </c>
      <c r="D57" s="44">
        <v>4112083</v>
      </c>
      <c r="E57" s="44">
        <v>398667</v>
      </c>
      <c r="F57" s="49">
        <f t="shared" si="4"/>
        <v>0.0969501345181992</v>
      </c>
      <c r="G57" s="50">
        <f>IFERROR(Table1_4[[#This Row],[GROSS NPA]]/Table1_4[[#This Row],[TOTAL ADVANCES]],"")</f>
        <v>0.0969501345181992</v>
      </c>
      <c r="H57" s="51">
        <f>ABS(Table1_4[[#This Row],[GNPA RATIO]]-G57)</f>
        <v>0</v>
      </c>
      <c r="I57" s="31">
        <v>0.71</v>
      </c>
      <c r="J57" s="45">
        <f t="shared" si="0"/>
        <v>283053.57</v>
      </c>
      <c r="K57" s="44">
        <f t="shared" si="1"/>
        <v>115613.43</v>
      </c>
      <c r="L57" s="53">
        <f t="shared" si="2"/>
        <v>0.0281155390102778</v>
      </c>
      <c r="M57" s="44">
        <v>213893</v>
      </c>
      <c r="N57" s="13">
        <v>13</v>
      </c>
      <c r="O57" s="52">
        <v>0.04</v>
      </c>
      <c r="P57" s="54">
        <v>0.0186</v>
      </c>
      <c r="Q57" s="54">
        <v>0.0969</v>
      </c>
    </row>
    <row r="58" spans="1:17">
      <c r="A58" s="13" t="s">
        <v>7</v>
      </c>
      <c r="B58" s="13" t="s">
        <v>40</v>
      </c>
      <c r="C58" s="47">
        <v>44561</v>
      </c>
      <c r="D58" s="44">
        <v>1607681</v>
      </c>
      <c r="E58" s="44">
        <v>0</v>
      </c>
      <c r="F58" s="49">
        <f t="shared" si="4"/>
        <v>0</v>
      </c>
      <c r="G58" s="50">
        <f>IFERROR(Table1_4[[#This Row],[GROSS NPA]]/Table1_4[[#This Row],[TOTAL ADVANCES]],"")</f>
        <v>0</v>
      </c>
      <c r="H58" s="51">
        <f>ABS(Table1_4[[#This Row],[GNPA RATIO]]-G58)</f>
        <v>0</v>
      </c>
      <c r="I58" s="31">
        <v>0.71</v>
      </c>
      <c r="J58" s="45">
        <f t="shared" si="0"/>
        <v>0</v>
      </c>
      <c r="K58" s="44">
        <f t="shared" si="1"/>
        <v>0</v>
      </c>
      <c r="L58" s="53">
        <f t="shared" si="2"/>
        <v>0</v>
      </c>
      <c r="M58" s="44">
        <v>0</v>
      </c>
      <c r="N58" s="13">
        <v>6</v>
      </c>
      <c r="O58" s="52">
        <v>0.04</v>
      </c>
      <c r="P58" s="54">
        <v>0.0186</v>
      </c>
      <c r="Q58" s="54">
        <v>0.0969</v>
      </c>
    </row>
    <row r="59" spans="1:17">
      <c r="A59" s="13" t="s">
        <v>8</v>
      </c>
      <c r="B59" s="13" t="s">
        <v>40</v>
      </c>
      <c r="C59" s="47">
        <v>44561</v>
      </c>
      <c r="D59" s="44">
        <v>32668756</v>
      </c>
      <c r="E59" s="44">
        <v>2476471</v>
      </c>
      <c r="F59" s="49">
        <f t="shared" si="4"/>
        <v>0.0758054882775457</v>
      </c>
      <c r="G59" s="50">
        <f>IFERROR(Table1_4[[#This Row],[GROSS NPA]]/Table1_4[[#This Row],[TOTAL ADVANCES]],"")</f>
        <v>0.0758054882775457</v>
      </c>
      <c r="H59" s="51">
        <f>ABS(Table1_4[[#This Row],[GNPA RATIO]]-G59)</f>
        <v>0</v>
      </c>
      <c r="I59" s="31">
        <v>0.71</v>
      </c>
      <c r="J59" s="45">
        <f t="shared" si="0"/>
        <v>1758294.41</v>
      </c>
      <c r="K59" s="44">
        <f t="shared" si="1"/>
        <v>718176.59</v>
      </c>
      <c r="L59" s="53">
        <f t="shared" si="2"/>
        <v>0.0219835916004882</v>
      </c>
      <c r="M59" s="44">
        <v>1183590</v>
      </c>
      <c r="N59" s="13">
        <v>15</v>
      </c>
      <c r="O59" s="52">
        <v>0.04</v>
      </c>
      <c r="P59" s="54">
        <v>0.0186</v>
      </c>
      <c r="Q59" s="54">
        <v>0.0969</v>
      </c>
    </row>
    <row r="60" spans="1:17">
      <c r="A60" s="13" t="s">
        <v>9</v>
      </c>
      <c r="B60" s="13" t="s">
        <v>40</v>
      </c>
      <c r="C60" s="47">
        <v>44561</v>
      </c>
      <c r="D60" s="44">
        <v>2082204</v>
      </c>
      <c r="E60" s="44">
        <v>1485497</v>
      </c>
      <c r="F60" s="49">
        <f t="shared" si="4"/>
        <v>0.713425293583146</v>
      </c>
      <c r="G60" s="50">
        <f>IFERROR(Table1_4[[#This Row],[GROSS NPA]]/Table1_4[[#This Row],[TOTAL ADVANCES]],"")</f>
        <v>0.713425293583146</v>
      </c>
      <c r="H60" s="51">
        <f>ABS(Table1_4[[#This Row],[GNPA RATIO]]-G60)</f>
        <v>0</v>
      </c>
      <c r="I60" s="31">
        <v>0.71</v>
      </c>
      <c r="J60" s="45">
        <f t="shared" si="0"/>
        <v>1054702.87</v>
      </c>
      <c r="K60" s="44">
        <f t="shared" si="1"/>
        <v>430794.13</v>
      </c>
      <c r="L60" s="53">
        <f t="shared" si="2"/>
        <v>0.206893335139112</v>
      </c>
      <c r="M60" s="44">
        <v>497206</v>
      </c>
      <c r="N60" s="13">
        <v>9</v>
      </c>
      <c r="O60" s="52">
        <v>0.04</v>
      </c>
      <c r="P60" s="54">
        <v>0.0186</v>
      </c>
      <c r="Q60" s="54">
        <v>0.0969</v>
      </c>
    </row>
    <row r="61" spans="1:17">
      <c r="A61" s="13" t="s">
        <v>10</v>
      </c>
      <c r="B61" s="13" t="s">
        <v>40</v>
      </c>
      <c r="C61" s="47">
        <v>44561</v>
      </c>
      <c r="D61" s="44">
        <v>19631430</v>
      </c>
      <c r="E61" s="44">
        <v>4431699</v>
      </c>
      <c r="F61" s="49">
        <f t="shared" si="4"/>
        <v>0.225745093454731</v>
      </c>
      <c r="G61" s="50">
        <f>IFERROR(Table1_4[[#This Row],[GROSS NPA]]/Table1_4[[#This Row],[TOTAL ADVANCES]],"")</f>
        <v>0.225745093454731</v>
      </c>
      <c r="H61" s="51">
        <f>ABS(Table1_4[[#This Row],[GNPA RATIO]]-G61)</f>
        <v>0</v>
      </c>
      <c r="I61" s="31">
        <v>0.71</v>
      </c>
      <c r="J61" s="45">
        <f t="shared" si="0"/>
        <v>3146506.29</v>
      </c>
      <c r="K61" s="44">
        <f t="shared" si="1"/>
        <v>1285192.71</v>
      </c>
      <c r="L61" s="53">
        <f t="shared" si="2"/>
        <v>0.0654660771018718</v>
      </c>
      <c r="M61" s="44">
        <v>808307</v>
      </c>
      <c r="N61" s="13">
        <v>14</v>
      </c>
      <c r="O61" s="52">
        <v>0.04</v>
      </c>
      <c r="P61" s="54">
        <v>0.0186</v>
      </c>
      <c r="Q61" s="54">
        <v>0.0969</v>
      </c>
    </row>
    <row r="62" spans="1:17">
      <c r="A62" s="13" t="s">
        <v>6</v>
      </c>
      <c r="B62" s="13" t="s">
        <v>41</v>
      </c>
      <c r="C62" s="47">
        <v>44651</v>
      </c>
      <c r="D62" s="44">
        <v>3709826</v>
      </c>
      <c r="E62" s="44">
        <v>28996</v>
      </c>
      <c r="F62" s="49">
        <f t="shared" ref="F62:F101" si="5">E62/D62</f>
        <v>0.00781599999568713</v>
      </c>
      <c r="G62" s="50">
        <f>IFERROR(Table1_4[[#This Row],[GROSS NPA]]/Table1_4[[#This Row],[TOTAL ADVANCES]],"")</f>
        <v>0.00781599999568713</v>
      </c>
      <c r="H62" s="51">
        <f>ABS(Table1_4[[#This Row],[GNPA RATIO]]-G62)</f>
        <v>0</v>
      </c>
      <c r="I62" s="30">
        <v>0.727</v>
      </c>
      <c r="J62" s="45">
        <f t="shared" si="0"/>
        <v>21080.092</v>
      </c>
      <c r="K62" s="44">
        <f t="shared" si="1"/>
        <v>7915.908</v>
      </c>
      <c r="L62" s="53">
        <f t="shared" si="2"/>
        <v>0.00213376799882259</v>
      </c>
      <c r="M62" s="44">
        <v>20640</v>
      </c>
      <c r="N62" s="13">
        <v>20</v>
      </c>
      <c r="O62" s="52">
        <v>0.04</v>
      </c>
      <c r="P62" s="54">
        <v>0.0002</v>
      </c>
      <c r="Q62" s="54">
        <v>0.0699</v>
      </c>
    </row>
    <row r="63" spans="1:17">
      <c r="A63" s="13" t="s">
        <v>7</v>
      </c>
      <c r="B63" s="13" t="s">
        <v>41</v>
      </c>
      <c r="C63" s="47">
        <v>44651</v>
      </c>
      <c r="D63" s="44">
        <v>4348619</v>
      </c>
      <c r="E63" s="44">
        <v>0</v>
      </c>
      <c r="F63" s="49">
        <f t="shared" si="5"/>
        <v>0</v>
      </c>
      <c r="G63" s="50">
        <f>IFERROR(Table1_4[[#This Row],[GROSS NPA]]/Table1_4[[#This Row],[TOTAL ADVANCES]],"")</f>
        <v>0</v>
      </c>
      <c r="H63" s="51">
        <f>ABS(Table1_4[[#This Row],[GNPA RATIO]]-G63)</f>
        <v>0</v>
      </c>
      <c r="I63" s="30">
        <v>0.727</v>
      </c>
      <c r="J63" s="45">
        <f t="shared" si="0"/>
        <v>0</v>
      </c>
      <c r="K63" s="44">
        <f t="shared" si="1"/>
        <v>0</v>
      </c>
      <c r="L63" s="53">
        <f t="shared" si="2"/>
        <v>0</v>
      </c>
      <c r="M63" s="44">
        <v>0</v>
      </c>
      <c r="N63" s="13">
        <v>8</v>
      </c>
      <c r="O63" s="52">
        <v>0.04</v>
      </c>
      <c r="P63" s="54">
        <v>0.0002</v>
      </c>
      <c r="Q63" s="54">
        <v>0.0699</v>
      </c>
    </row>
    <row r="64" spans="1:17">
      <c r="A64" s="13" t="s">
        <v>8</v>
      </c>
      <c r="B64" s="13" t="s">
        <v>41</v>
      </c>
      <c r="C64" s="47">
        <v>44651</v>
      </c>
      <c r="D64" s="44">
        <v>9836028</v>
      </c>
      <c r="E64" s="44">
        <v>1833461</v>
      </c>
      <c r="F64" s="49">
        <f t="shared" si="5"/>
        <v>0.18640258039119</v>
      </c>
      <c r="G64" s="50">
        <f>IFERROR(Table1_4[[#This Row],[GROSS NPA]]/Table1_4[[#This Row],[TOTAL ADVANCES]],"")</f>
        <v>0.18640258039119</v>
      </c>
      <c r="H64" s="51">
        <f>ABS(Table1_4[[#This Row],[GNPA RATIO]]-G64)</f>
        <v>0</v>
      </c>
      <c r="I64" s="30">
        <v>0.727</v>
      </c>
      <c r="J64" s="45">
        <f t="shared" si="0"/>
        <v>1332926.147</v>
      </c>
      <c r="K64" s="44">
        <f t="shared" si="1"/>
        <v>500534.853</v>
      </c>
      <c r="L64" s="53">
        <f t="shared" si="2"/>
        <v>0.050887904446795</v>
      </c>
      <c r="M64" s="44">
        <v>1264931</v>
      </c>
      <c r="N64" s="13">
        <v>17</v>
      </c>
      <c r="O64" s="52">
        <v>0.04</v>
      </c>
      <c r="P64" s="54">
        <v>0.0002</v>
      </c>
      <c r="Q64" s="54">
        <v>0.0699</v>
      </c>
    </row>
    <row r="65" spans="1:17">
      <c r="A65" s="13" t="s">
        <v>9</v>
      </c>
      <c r="B65" s="13" t="s">
        <v>41</v>
      </c>
      <c r="C65" s="47">
        <v>44651</v>
      </c>
      <c r="D65" s="44">
        <v>9526089</v>
      </c>
      <c r="E65" s="44">
        <v>463984</v>
      </c>
      <c r="F65" s="49">
        <f t="shared" si="5"/>
        <v>0.0487066623039109</v>
      </c>
      <c r="G65" s="50">
        <f>IFERROR(Table1_4[[#This Row],[GROSS NPA]]/Table1_4[[#This Row],[TOTAL ADVANCES]],"")</f>
        <v>0.0487066623039109</v>
      </c>
      <c r="H65" s="51">
        <f>ABS(Table1_4[[#This Row],[GNPA RATIO]]-G65)</f>
        <v>0</v>
      </c>
      <c r="I65" s="30">
        <v>0.727</v>
      </c>
      <c r="J65" s="45">
        <f t="shared" si="0"/>
        <v>337316.368</v>
      </c>
      <c r="K65" s="44">
        <f t="shared" si="1"/>
        <v>126667.632</v>
      </c>
      <c r="L65" s="53">
        <f t="shared" si="2"/>
        <v>0.0132969188089677</v>
      </c>
      <c r="M65" s="44">
        <v>170248</v>
      </c>
      <c r="N65" s="13">
        <v>20</v>
      </c>
      <c r="O65" s="52">
        <v>0.04</v>
      </c>
      <c r="P65" s="54">
        <v>0.0002</v>
      </c>
      <c r="Q65" s="54">
        <v>0.0699</v>
      </c>
    </row>
    <row r="66" spans="1:17">
      <c r="A66" s="13" t="s">
        <v>10</v>
      </c>
      <c r="B66" s="13" t="s">
        <v>41</v>
      </c>
      <c r="C66" s="47">
        <v>44651</v>
      </c>
      <c r="D66" s="44">
        <v>26143513</v>
      </c>
      <c r="E66" s="44">
        <v>7704642</v>
      </c>
      <c r="F66" s="49">
        <f t="shared" si="5"/>
        <v>0.294705688558382</v>
      </c>
      <c r="G66" s="50">
        <f>IFERROR(Table1_4[[#This Row],[GROSS NPA]]/Table1_4[[#This Row],[TOTAL ADVANCES]],"")</f>
        <v>0.294705688558382</v>
      </c>
      <c r="H66" s="51">
        <f>ABS(Table1_4[[#This Row],[GNPA RATIO]]-G66)</f>
        <v>0</v>
      </c>
      <c r="I66" s="30">
        <v>0.727</v>
      </c>
      <c r="J66" s="45">
        <f t="shared" ref="J66:J101" si="6">E66*I66</f>
        <v>5601274.734</v>
      </c>
      <c r="K66" s="44">
        <f t="shared" ref="K66:K101" si="7">E66-J66</f>
        <v>2103367.266</v>
      </c>
      <c r="L66" s="53">
        <f t="shared" ref="L66:L101" si="8">K66/D66</f>
        <v>0.0804546529764382</v>
      </c>
      <c r="M66" s="44">
        <v>2414553</v>
      </c>
      <c r="N66" s="13">
        <v>14</v>
      </c>
      <c r="O66" s="52">
        <v>0.04</v>
      </c>
      <c r="P66" s="54">
        <v>0.0002</v>
      </c>
      <c r="Q66" s="54">
        <v>0.0699</v>
      </c>
    </row>
    <row r="67" spans="1:17">
      <c r="A67" s="13" t="s">
        <v>6</v>
      </c>
      <c r="B67" s="13" t="s">
        <v>42</v>
      </c>
      <c r="C67" s="47">
        <v>44742</v>
      </c>
      <c r="D67" s="44">
        <v>6408410</v>
      </c>
      <c r="E67" s="44">
        <v>1613918</v>
      </c>
      <c r="F67" s="49">
        <f t="shared" si="5"/>
        <v>0.251843749073483</v>
      </c>
      <c r="G67" s="50">
        <f>IFERROR(Table1_4[[#This Row],[GROSS NPA]]/Table1_4[[#This Row],[TOTAL ADVANCES]],"")</f>
        <v>0.251843749073483</v>
      </c>
      <c r="H67" s="51">
        <f>ABS(Table1_4[[#This Row],[GNPA RATIO]]-G67)</f>
        <v>0</v>
      </c>
      <c r="I67" s="31">
        <v>0.73</v>
      </c>
      <c r="J67" s="45">
        <f t="shared" si="6"/>
        <v>1178160.14</v>
      </c>
      <c r="K67" s="44">
        <f t="shared" si="7"/>
        <v>435757.86</v>
      </c>
      <c r="L67" s="53">
        <f t="shared" si="8"/>
        <v>0.0679978122498405</v>
      </c>
      <c r="M67" s="44">
        <v>912314</v>
      </c>
      <c r="N67" s="13">
        <v>15</v>
      </c>
      <c r="O67" s="54">
        <v>0.049</v>
      </c>
      <c r="P67" s="54">
        <v>0.026</v>
      </c>
      <c r="Q67" s="54">
        <v>0.0699</v>
      </c>
    </row>
    <row r="68" spans="1:17">
      <c r="A68" s="13" t="s">
        <v>7</v>
      </c>
      <c r="B68" s="13" t="s">
        <v>42</v>
      </c>
      <c r="C68" s="47">
        <v>44742</v>
      </c>
      <c r="D68" s="44">
        <v>4915554</v>
      </c>
      <c r="E68" s="44">
        <v>0</v>
      </c>
      <c r="F68" s="49">
        <f t="shared" si="5"/>
        <v>0</v>
      </c>
      <c r="G68" s="50">
        <f>IFERROR(Table1_4[[#This Row],[GROSS NPA]]/Table1_4[[#This Row],[TOTAL ADVANCES]],"")</f>
        <v>0</v>
      </c>
      <c r="H68" s="51">
        <f>ABS(Table1_4[[#This Row],[GNPA RATIO]]-G68)</f>
        <v>0</v>
      </c>
      <c r="I68" s="31">
        <v>0.73</v>
      </c>
      <c r="J68" s="45">
        <f t="shared" si="6"/>
        <v>0</v>
      </c>
      <c r="K68" s="44">
        <f t="shared" si="7"/>
        <v>0</v>
      </c>
      <c r="L68" s="53">
        <f t="shared" si="8"/>
        <v>0</v>
      </c>
      <c r="M68" s="44">
        <v>0</v>
      </c>
      <c r="N68" s="13">
        <v>16</v>
      </c>
      <c r="O68" s="54">
        <v>0.049</v>
      </c>
      <c r="P68" s="54">
        <v>0.026</v>
      </c>
      <c r="Q68" s="54">
        <v>0.0699</v>
      </c>
    </row>
    <row r="69" spans="1:17">
      <c r="A69" s="13" t="s">
        <v>8</v>
      </c>
      <c r="B69" s="13" t="s">
        <v>42</v>
      </c>
      <c r="C69" s="47">
        <v>44742</v>
      </c>
      <c r="D69" s="44">
        <v>22030881</v>
      </c>
      <c r="E69" s="44">
        <v>296332</v>
      </c>
      <c r="F69" s="49">
        <f t="shared" si="5"/>
        <v>0.0134507557823039</v>
      </c>
      <c r="G69" s="50">
        <f>IFERROR(Table1_4[[#This Row],[GROSS NPA]]/Table1_4[[#This Row],[TOTAL ADVANCES]],"")</f>
        <v>0.0134507557823039</v>
      </c>
      <c r="H69" s="51">
        <f>ABS(Table1_4[[#This Row],[GNPA RATIO]]-G69)</f>
        <v>0</v>
      </c>
      <c r="I69" s="31">
        <v>0.73</v>
      </c>
      <c r="J69" s="45">
        <f t="shared" si="6"/>
        <v>216322.36</v>
      </c>
      <c r="K69" s="44">
        <f t="shared" si="7"/>
        <v>80009.64</v>
      </c>
      <c r="L69" s="53">
        <f t="shared" si="8"/>
        <v>0.00363170406122206</v>
      </c>
      <c r="M69" s="44">
        <v>236204</v>
      </c>
      <c r="N69" s="13">
        <v>11</v>
      </c>
      <c r="O69" s="54">
        <v>0.049</v>
      </c>
      <c r="P69" s="54">
        <v>0.026</v>
      </c>
      <c r="Q69" s="54">
        <v>0.0699</v>
      </c>
    </row>
    <row r="70" spans="1:17">
      <c r="A70" s="13" t="s">
        <v>9</v>
      </c>
      <c r="B70" s="13" t="s">
        <v>42</v>
      </c>
      <c r="C70" s="47">
        <v>44742</v>
      </c>
      <c r="D70" s="44">
        <v>8949029</v>
      </c>
      <c r="E70" s="44">
        <v>1455178</v>
      </c>
      <c r="F70" s="49">
        <f t="shared" si="5"/>
        <v>0.162607362206559</v>
      </c>
      <c r="G70" s="50">
        <f>IFERROR(Table1_4[[#This Row],[GROSS NPA]]/Table1_4[[#This Row],[TOTAL ADVANCES]],"")</f>
        <v>0.162607362206559</v>
      </c>
      <c r="H70" s="51">
        <f>ABS(Table1_4[[#This Row],[GNPA RATIO]]-G70)</f>
        <v>0</v>
      </c>
      <c r="I70" s="31">
        <v>0.73</v>
      </c>
      <c r="J70" s="45">
        <f t="shared" si="6"/>
        <v>1062279.94</v>
      </c>
      <c r="K70" s="44">
        <f t="shared" si="7"/>
        <v>392898.06</v>
      </c>
      <c r="L70" s="53">
        <f t="shared" si="8"/>
        <v>0.0439039877957709</v>
      </c>
      <c r="M70" s="44">
        <v>576281</v>
      </c>
      <c r="N70" s="13">
        <v>10</v>
      </c>
      <c r="O70" s="54">
        <v>0.049</v>
      </c>
      <c r="P70" s="54">
        <v>0.026</v>
      </c>
      <c r="Q70" s="54">
        <v>0.0699</v>
      </c>
    </row>
    <row r="71" spans="1:17">
      <c r="A71" s="13" t="s">
        <v>10</v>
      </c>
      <c r="B71" s="13" t="s">
        <v>42</v>
      </c>
      <c r="C71" s="47">
        <v>44742</v>
      </c>
      <c r="D71" s="44">
        <v>24401279</v>
      </c>
      <c r="E71" s="44">
        <v>10497755</v>
      </c>
      <c r="F71" s="49">
        <f t="shared" si="5"/>
        <v>0.430213309720363</v>
      </c>
      <c r="G71" s="50">
        <f>IFERROR(Table1_4[[#This Row],[GROSS NPA]]/Table1_4[[#This Row],[TOTAL ADVANCES]],"")</f>
        <v>0.430213309720363</v>
      </c>
      <c r="H71" s="51">
        <f>ABS(Table1_4[[#This Row],[GNPA RATIO]]-G71)</f>
        <v>0</v>
      </c>
      <c r="I71" s="31">
        <v>0.73</v>
      </c>
      <c r="J71" s="45">
        <f t="shared" si="6"/>
        <v>7663361.15</v>
      </c>
      <c r="K71" s="44">
        <f t="shared" si="7"/>
        <v>2834393.85</v>
      </c>
      <c r="L71" s="53">
        <f t="shared" si="8"/>
        <v>0.116157593624498</v>
      </c>
      <c r="M71" s="44">
        <v>5640949</v>
      </c>
      <c r="N71" s="13">
        <v>14</v>
      </c>
      <c r="O71" s="54">
        <v>0.049</v>
      </c>
      <c r="P71" s="54">
        <v>0.026</v>
      </c>
      <c r="Q71" s="54">
        <v>0.0699</v>
      </c>
    </row>
    <row r="72" spans="1:17">
      <c r="A72" s="13" t="s">
        <v>6</v>
      </c>
      <c r="B72" s="13" t="s">
        <v>43</v>
      </c>
      <c r="C72" s="47">
        <v>44834</v>
      </c>
      <c r="D72" s="44">
        <v>6768020</v>
      </c>
      <c r="E72" s="44">
        <v>592239</v>
      </c>
      <c r="F72" s="49">
        <f t="shared" si="5"/>
        <v>0.0875055038253433</v>
      </c>
      <c r="G72" s="50">
        <f>IFERROR(Table1_4[[#This Row],[GROSS NPA]]/Table1_4[[#This Row],[TOTAL ADVANCES]],"")</f>
        <v>0.0875055038253433</v>
      </c>
      <c r="H72" s="51">
        <f>ABS(Table1_4[[#This Row],[GNPA RATIO]]-G72)</f>
        <v>0</v>
      </c>
      <c r="I72" s="31">
        <v>0.71</v>
      </c>
      <c r="J72" s="45">
        <f t="shared" si="6"/>
        <v>420489.69</v>
      </c>
      <c r="K72" s="44">
        <f t="shared" si="7"/>
        <v>171749.31</v>
      </c>
      <c r="L72" s="53">
        <f t="shared" si="8"/>
        <v>0.0253765961093496</v>
      </c>
      <c r="M72" s="44">
        <v>935978</v>
      </c>
      <c r="N72" s="13">
        <v>12</v>
      </c>
      <c r="O72" s="54">
        <v>0.059</v>
      </c>
      <c r="P72" s="54">
        <v>0.0142</v>
      </c>
      <c r="Q72" s="54">
        <v>0.0699</v>
      </c>
    </row>
    <row r="73" spans="1:17">
      <c r="A73" s="13" t="s">
        <v>7</v>
      </c>
      <c r="B73" s="13" t="s">
        <v>43</v>
      </c>
      <c r="C73" s="47">
        <v>44834</v>
      </c>
      <c r="D73" s="44">
        <v>6772448</v>
      </c>
      <c r="E73" s="44">
        <v>0</v>
      </c>
      <c r="F73" s="49">
        <f t="shared" si="5"/>
        <v>0</v>
      </c>
      <c r="G73" s="50">
        <f>IFERROR(Table1_4[[#This Row],[GROSS NPA]]/Table1_4[[#This Row],[TOTAL ADVANCES]],"")</f>
        <v>0</v>
      </c>
      <c r="H73" s="51">
        <f>ABS(Table1_4[[#This Row],[GNPA RATIO]]-G73)</f>
        <v>0</v>
      </c>
      <c r="I73" s="31">
        <v>0.71</v>
      </c>
      <c r="J73" s="45">
        <f t="shared" si="6"/>
        <v>0</v>
      </c>
      <c r="K73" s="44">
        <f t="shared" si="7"/>
        <v>0</v>
      </c>
      <c r="L73" s="53">
        <f t="shared" si="8"/>
        <v>0</v>
      </c>
      <c r="M73" s="44">
        <v>0</v>
      </c>
      <c r="N73" s="13">
        <v>5</v>
      </c>
      <c r="O73" s="54">
        <v>0.059</v>
      </c>
      <c r="P73" s="54">
        <v>0.0142</v>
      </c>
      <c r="Q73" s="54">
        <v>0.0699</v>
      </c>
    </row>
    <row r="74" spans="1:17">
      <c r="A74" s="13" t="s">
        <v>8</v>
      </c>
      <c r="B74" s="13" t="s">
        <v>43</v>
      </c>
      <c r="C74" s="47">
        <v>44834</v>
      </c>
      <c r="D74" s="44">
        <v>19737721</v>
      </c>
      <c r="E74" s="44">
        <v>0</v>
      </c>
      <c r="F74" s="49">
        <f t="shared" si="5"/>
        <v>0</v>
      </c>
      <c r="G74" s="50">
        <f>IFERROR(Table1_4[[#This Row],[GROSS NPA]]/Table1_4[[#This Row],[TOTAL ADVANCES]],"")</f>
        <v>0</v>
      </c>
      <c r="H74" s="51">
        <f>ABS(Table1_4[[#This Row],[GNPA RATIO]]-G74)</f>
        <v>0</v>
      </c>
      <c r="I74" s="31">
        <v>0.71</v>
      </c>
      <c r="J74" s="45">
        <f t="shared" si="6"/>
        <v>0</v>
      </c>
      <c r="K74" s="44">
        <f t="shared" si="7"/>
        <v>0</v>
      </c>
      <c r="L74" s="53">
        <f t="shared" si="8"/>
        <v>0</v>
      </c>
      <c r="M74" s="44">
        <v>0</v>
      </c>
      <c r="N74" s="13">
        <v>18</v>
      </c>
      <c r="O74" s="54">
        <v>0.059</v>
      </c>
      <c r="P74" s="54">
        <v>0.0142</v>
      </c>
      <c r="Q74" s="54">
        <v>0.0699</v>
      </c>
    </row>
    <row r="75" spans="1:17">
      <c r="A75" s="13" t="s">
        <v>9</v>
      </c>
      <c r="B75" s="13" t="s">
        <v>43</v>
      </c>
      <c r="C75" s="47">
        <v>44834</v>
      </c>
      <c r="D75" s="44">
        <v>6638916</v>
      </c>
      <c r="E75" s="44">
        <v>1033561</v>
      </c>
      <c r="F75" s="49">
        <f t="shared" si="5"/>
        <v>0.155682192695313</v>
      </c>
      <c r="G75" s="50">
        <f>IFERROR(Table1_4[[#This Row],[GROSS NPA]]/Table1_4[[#This Row],[TOTAL ADVANCES]],"")</f>
        <v>0.155682192695313</v>
      </c>
      <c r="H75" s="51">
        <f>ABS(Table1_4[[#This Row],[GNPA RATIO]]-G75)</f>
        <v>0</v>
      </c>
      <c r="I75" s="31">
        <v>0.71</v>
      </c>
      <c r="J75" s="45">
        <f t="shared" si="6"/>
        <v>733828.31</v>
      </c>
      <c r="K75" s="44">
        <f t="shared" si="7"/>
        <v>299732.69</v>
      </c>
      <c r="L75" s="53">
        <f t="shared" si="8"/>
        <v>0.0451478358816409</v>
      </c>
      <c r="M75" s="44">
        <v>536211</v>
      </c>
      <c r="N75" s="13">
        <v>10</v>
      </c>
      <c r="O75" s="54">
        <v>0.059</v>
      </c>
      <c r="P75" s="54">
        <v>0.0142</v>
      </c>
      <c r="Q75" s="54">
        <v>0.0699</v>
      </c>
    </row>
    <row r="76" spans="1:17">
      <c r="A76" s="13" t="s">
        <v>10</v>
      </c>
      <c r="B76" s="13" t="s">
        <v>43</v>
      </c>
      <c r="C76" s="47">
        <v>44834</v>
      </c>
      <c r="D76" s="44">
        <v>18362346</v>
      </c>
      <c r="E76" s="44">
        <v>7223474</v>
      </c>
      <c r="F76" s="49">
        <f t="shared" si="5"/>
        <v>0.39338513717147</v>
      </c>
      <c r="G76" s="50">
        <f>IFERROR(Table1_4[[#This Row],[GROSS NPA]]/Table1_4[[#This Row],[TOTAL ADVANCES]],"")</f>
        <v>0.39338513717147</v>
      </c>
      <c r="H76" s="51">
        <f>ABS(Table1_4[[#This Row],[GNPA RATIO]]-G76)</f>
        <v>0</v>
      </c>
      <c r="I76" s="31">
        <v>0.71</v>
      </c>
      <c r="J76" s="45">
        <f t="shared" si="6"/>
        <v>5128666.54</v>
      </c>
      <c r="K76" s="44">
        <f t="shared" si="7"/>
        <v>2094807.46</v>
      </c>
      <c r="L76" s="53">
        <f t="shared" si="8"/>
        <v>0.114081689779726</v>
      </c>
      <c r="M76" s="44">
        <v>4068383</v>
      </c>
      <c r="N76" s="13">
        <v>17</v>
      </c>
      <c r="O76" s="54">
        <v>0.059</v>
      </c>
      <c r="P76" s="54">
        <v>0.0142</v>
      </c>
      <c r="Q76" s="54">
        <v>0.0699</v>
      </c>
    </row>
    <row r="77" spans="1:17">
      <c r="A77" s="13" t="s">
        <v>6</v>
      </c>
      <c r="B77" s="13" t="s">
        <v>44</v>
      </c>
      <c r="C77" s="47">
        <v>44926</v>
      </c>
      <c r="D77" s="44">
        <v>5394686</v>
      </c>
      <c r="E77" s="44">
        <v>766669</v>
      </c>
      <c r="F77" s="49">
        <f t="shared" si="5"/>
        <v>0.142115593011345</v>
      </c>
      <c r="G77" s="50">
        <f>IFERROR(Table1_4[[#This Row],[GROSS NPA]]/Table1_4[[#This Row],[TOTAL ADVANCES]],"")</f>
        <v>0.142115593011345</v>
      </c>
      <c r="H77" s="51">
        <f>ABS(Table1_4[[#This Row],[GNPA RATIO]]-G77)</f>
        <v>0</v>
      </c>
      <c r="I77" s="31">
        <v>0.73</v>
      </c>
      <c r="J77" s="45">
        <f t="shared" si="6"/>
        <v>559668.37</v>
      </c>
      <c r="K77" s="44">
        <f t="shared" si="7"/>
        <v>207000.63</v>
      </c>
      <c r="L77" s="53">
        <f t="shared" si="8"/>
        <v>0.0383712101130631</v>
      </c>
      <c r="M77" s="44">
        <v>305446</v>
      </c>
      <c r="N77" s="13">
        <v>13</v>
      </c>
      <c r="O77" s="54">
        <v>0.0625</v>
      </c>
      <c r="P77" s="54">
        <v>0.015</v>
      </c>
      <c r="Q77" s="54">
        <v>0.0699</v>
      </c>
    </row>
    <row r="78" spans="1:17">
      <c r="A78" s="13" t="s">
        <v>7</v>
      </c>
      <c r="B78" s="13" t="s">
        <v>44</v>
      </c>
      <c r="C78" s="47">
        <v>44926</v>
      </c>
      <c r="D78" s="44">
        <v>9130445</v>
      </c>
      <c r="E78" s="44">
        <v>890857</v>
      </c>
      <c r="F78" s="49">
        <f t="shared" si="5"/>
        <v>0.0975699431955398</v>
      </c>
      <c r="G78" s="50">
        <f>IFERROR(Table1_4[[#This Row],[GROSS NPA]]/Table1_4[[#This Row],[TOTAL ADVANCES]],"")</f>
        <v>0.0975699431955398</v>
      </c>
      <c r="H78" s="51">
        <f>ABS(Table1_4[[#This Row],[GNPA RATIO]]-G78)</f>
        <v>0</v>
      </c>
      <c r="I78" s="31">
        <v>0.73</v>
      </c>
      <c r="J78" s="45">
        <f t="shared" si="6"/>
        <v>650325.61</v>
      </c>
      <c r="K78" s="44">
        <f t="shared" si="7"/>
        <v>240531.39</v>
      </c>
      <c r="L78" s="53">
        <f t="shared" si="8"/>
        <v>0.0263438846627957</v>
      </c>
      <c r="M78" s="44">
        <v>290796</v>
      </c>
      <c r="N78" s="13">
        <v>6</v>
      </c>
      <c r="O78" s="54">
        <v>0.0625</v>
      </c>
      <c r="P78" s="54">
        <v>0.015</v>
      </c>
      <c r="Q78" s="54">
        <v>0.0699</v>
      </c>
    </row>
    <row r="79" spans="1:17">
      <c r="A79" s="13" t="s">
        <v>8</v>
      </c>
      <c r="B79" s="13" t="s">
        <v>44</v>
      </c>
      <c r="C79" s="47">
        <v>44926</v>
      </c>
      <c r="D79" s="44">
        <v>28157482</v>
      </c>
      <c r="E79" s="44">
        <v>335236</v>
      </c>
      <c r="F79" s="49">
        <f t="shared" si="5"/>
        <v>0.0119057520839399</v>
      </c>
      <c r="G79" s="50">
        <f>IFERROR(Table1_4[[#This Row],[GROSS NPA]]/Table1_4[[#This Row],[TOTAL ADVANCES]],"")</f>
        <v>0.0119057520839399</v>
      </c>
      <c r="H79" s="51">
        <f>ABS(Table1_4[[#This Row],[GNPA RATIO]]-G79)</f>
        <v>0</v>
      </c>
      <c r="I79" s="31">
        <v>0.73</v>
      </c>
      <c r="J79" s="45">
        <f t="shared" si="6"/>
        <v>244722.28</v>
      </c>
      <c r="K79" s="44">
        <f t="shared" si="7"/>
        <v>90513.72</v>
      </c>
      <c r="L79" s="53">
        <f t="shared" si="8"/>
        <v>0.00321455306266377</v>
      </c>
      <c r="M79" s="44">
        <v>204678</v>
      </c>
      <c r="N79" s="13">
        <v>15</v>
      </c>
      <c r="O79" s="54">
        <v>0.0625</v>
      </c>
      <c r="P79" s="54">
        <v>0.015</v>
      </c>
      <c r="Q79" s="54">
        <v>0.0699</v>
      </c>
    </row>
    <row r="80" spans="1:17">
      <c r="A80" s="13" t="s">
        <v>9</v>
      </c>
      <c r="B80" s="13" t="s">
        <v>44</v>
      </c>
      <c r="C80" s="47">
        <v>44926</v>
      </c>
      <c r="D80" s="44">
        <v>5814329</v>
      </c>
      <c r="E80" s="44">
        <v>1996889</v>
      </c>
      <c r="F80" s="49">
        <f t="shared" si="5"/>
        <v>0.343442725721231</v>
      </c>
      <c r="G80" s="50">
        <f>IFERROR(Table1_4[[#This Row],[GROSS NPA]]/Table1_4[[#This Row],[TOTAL ADVANCES]],"")</f>
        <v>0.343442725721231</v>
      </c>
      <c r="H80" s="51">
        <f>ABS(Table1_4[[#This Row],[GNPA RATIO]]-G80)</f>
        <v>0</v>
      </c>
      <c r="I80" s="31">
        <v>0.73</v>
      </c>
      <c r="J80" s="45">
        <f t="shared" si="6"/>
        <v>1457728.97</v>
      </c>
      <c r="K80" s="44">
        <f t="shared" si="7"/>
        <v>539160.03</v>
      </c>
      <c r="L80" s="53">
        <f t="shared" si="8"/>
        <v>0.0927295359447324</v>
      </c>
      <c r="M80" s="44">
        <v>610874</v>
      </c>
      <c r="N80" s="13">
        <v>9</v>
      </c>
      <c r="O80" s="54">
        <v>0.0625</v>
      </c>
      <c r="P80" s="54">
        <v>0.015</v>
      </c>
      <c r="Q80" s="54">
        <v>0.0699</v>
      </c>
    </row>
    <row r="81" spans="1:17">
      <c r="A81" s="13" t="s">
        <v>10</v>
      </c>
      <c r="B81" s="13" t="s">
        <v>44</v>
      </c>
      <c r="C81" s="47">
        <v>44926</v>
      </c>
      <c r="D81" s="44">
        <v>7927958</v>
      </c>
      <c r="E81" s="44">
        <v>1846679</v>
      </c>
      <c r="F81" s="49">
        <f t="shared" si="5"/>
        <v>0.232932490308349</v>
      </c>
      <c r="G81" s="50">
        <f>IFERROR(Table1_4[[#This Row],[GROSS NPA]]/Table1_4[[#This Row],[TOTAL ADVANCES]],"")</f>
        <v>0.232932490308349</v>
      </c>
      <c r="H81" s="51">
        <f>ABS(Table1_4[[#This Row],[GNPA RATIO]]-G81)</f>
        <v>0</v>
      </c>
      <c r="I81" s="31">
        <v>0.73</v>
      </c>
      <c r="J81" s="45">
        <f t="shared" si="6"/>
        <v>1348075.67</v>
      </c>
      <c r="K81" s="44">
        <f t="shared" si="7"/>
        <v>498603.33</v>
      </c>
      <c r="L81" s="53">
        <f t="shared" si="8"/>
        <v>0.0628917723832543</v>
      </c>
      <c r="M81" s="44">
        <v>472490</v>
      </c>
      <c r="N81" s="13">
        <v>14</v>
      </c>
      <c r="O81" s="54">
        <v>0.0625</v>
      </c>
      <c r="P81" s="54">
        <v>0.015</v>
      </c>
      <c r="Q81" s="54">
        <v>0.0699</v>
      </c>
    </row>
    <row r="82" spans="1:17">
      <c r="A82" s="13" t="s">
        <v>6</v>
      </c>
      <c r="B82" s="13" t="s">
        <v>45</v>
      </c>
      <c r="C82" s="47">
        <v>45016</v>
      </c>
      <c r="D82" s="44">
        <v>8700689</v>
      </c>
      <c r="E82" s="44">
        <v>1432985</v>
      </c>
      <c r="F82" s="49">
        <f t="shared" si="5"/>
        <v>0.164697876225664</v>
      </c>
      <c r="G82" s="50">
        <f>IFERROR(Table1_4[[#This Row],[GROSS NPA]]/Table1_4[[#This Row],[TOTAL ADVANCES]],"")</f>
        <v>0.164697876225664</v>
      </c>
      <c r="H82" s="51">
        <f>ABS(Table1_4[[#This Row],[GNPA RATIO]]-G82)</f>
        <v>0</v>
      </c>
      <c r="I82" s="31">
        <v>0.73</v>
      </c>
      <c r="J82" s="45">
        <f t="shared" si="6"/>
        <v>1046079.05</v>
      </c>
      <c r="K82" s="44">
        <f t="shared" si="7"/>
        <v>386905.95</v>
      </c>
      <c r="L82" s="53">
        <f t="shared" si="8"/>
        <v>0.0444684265809294</v>
      </c>
      <c r="M82" s="44">
        <v>605445</v>
      </c>
      <c r="N82" s="13">
        <v>21</v>
      </c>
      <c r="O82" s="54">
        <v>0.065</v>
      </c>
      <c r="P82" s="54">
        <v>0.0037</v>
      </c>
      <c r="Q82" s="54">
        <v>0.0815</v>
      </c>
    </row>
    <row r="83" spans="1:17">
      <c r="A83" s="13" t="s">
        <v>7</v>
      </c>
      <c r="B83" s="13" t="s">
        <v>45</v>
      </c>
      <c r="C83" s="47">
        <v>45016</v>
      </c>
      <c r="D83" s="44">
        <v>7955504</v>
      </c>
      <c r="E83" s="44">
        <v>2922599</v>
      </c>
      <c r="F83" s="49">
        <f t="shared" si="5"/>
        <v>0.367368176799358</v>
      </c>
      <c r="G83" s="50">
        <f>IFERROR(Table1_4[[#This Row],[GROSS NPA]]/Table1_4[[#This Row],[TOTAL ADVANCES]],"")</f>
        <v>0.367368176799358</v>
      </c>
      <c r="H83" s="51">
        <f>ABS(Table1_4[[#This Row],[GNPA RATIO]]-G83)</f>
        <v>0</v>
      </c>
      <c r="I83" s="31">
        <v>0.73</v>
      </c>
      <c r="J83" s="45">
        <f t="shared" si="6"/>
        <v>2133497.27</v>
      </c>
      <c r="K83" s="44">
        <f t="shared" si="7"/>
        <v>789101.73</v>
      </c>
      <c r="L83" s="53">
        <f t="shared" si="8"/>
        <v>0.0991894077358267</v>
      </c>
      <c r="M83" s="44">
        <v>1186841</v>
      </c>
      <c r="N83" s="13">
        <v>12</v>
      </c>
      <c r="O83" s="54">
        <v>0.065</v>
      </c>
      <c r="P83" s="54">
        <v>0.0037</v>
      </c>
      <c r="Q83" s="54">
        <v>0.0815</v>
      </c>
    </row>
    <row r="84" spans="1:17">
      <c r="A84" s="13" t="s">
        <v>8</v>
      </c>
      <c r="B84" s="13" t="s">
        <v>45</v>
      </c>
      <c r="C84" s="47">
        <v>45016</v>
      </c>
      <c r="D84" s="44">
        <v>32151497</v>
      </c>
      <c r="E84" s="44">
        <v>0</v>
      </c>
      <c r="F84" s="49">
        <f t="shared" si="5"/>
        <v>0</v>
      </c>
      <c r="G84" s="50">
        <f>IFERROR(Table1_4[[#This Row],[GROSS NPA]]/Table1_4[[#This Row],[TOTAL ADVANCES]],"")</f>
        <v>0</v>
      </c>
      <c r="H84" s="51">
        <f>ABS(Table1_4[[#This Row],[GNPA RATIO]]-G84)</f>
        <v>0</v>
      </c>
      <c r="I84" s="31">
        <v>0.73</v>
      </c>
      <c r="J84" s="45">
        <f t="shared" si="6"/>
        <v>0</v>
      </c>
      <c r="K84" s="44">
        <f t="shared" si="7"/>
        <v>0</v>
      </c>
      <c r="L84" s="53">
        <f t="shared" si="8"/>
        <v>0</v>
      </c>
      <c r="M84" s="44">
        <v>0</v>
      </c>
      <c r="N84" s="13">
        <v>14</v>
      </c>
      <c r="O84" s="54">
        <v>0.065</v>
      </c>
      <c r="P84" s="54">
        <v>0.0037</v>
      </c>
      <c r="Q84" s="54">
        <v>0.0815</v>
      </c>
    </row>
    <row r="85" spans="1:17">
      <c r="A85" s="13" t="s">
        <v>9</v>
      </c>
      <c r="B85" s="13" t="s">
        <v>45</v>
      </c>
      <c r="C85" s="47">
        <v>45016</v>
      </c>
      <c r="D85" s="44">
        <v>12811572</v>
      </c>
      <c r="E85" s="44">
        <v>2164096</v>
      </c>
      <c r="F85" s="49">
        <f t="shared" si="5"/>
        <v>0.168917288214124</v>
      </c>
      <c r="G85" s="50">
        <f>IFERROR(Table1_4[[#This Row],[GROSS NPA]]/Table1_4[[#This Row],[TOTAL ADVANCES]],"")</f>
        <v>0.168917288214124</v>
      </c>
      <c r="H85" s="51">
        <f>ABS(Table1_4[[#This Row],[GNPA RATIO]]-G85)</f>
        <v>0</v>
      </c>
      <c r="I85" s="31">
        <v>0.73</v>
      </c>
      <c r="J85" s="45">
        <f t="shared" si="6"/>
        <v>1579790.08</v>
      </c>
      <c r="K85" s="44">
        <f t="shared" si="7"/>
        <v>584305.92</v>
      </c>
      <c r="L85" s="53">
        <f t="shared" si="8"/>
        <v>0.0456076678178135</v>
      </c>
      <c r="M85" s="44">
        <v>1228598</v>
      </c>
      <c r="N85" s="13">
        <v>18</v>
      </c>
      <c r="O85" s="54">
        <v>0.065</v>
      </c>
      <c r="P85" s="54">
        <v>0.0037</v>
      </c>
      <c r="Q85" s="54">
        <v>0.0815</v>
      </c>
    </row>
    <row r="86" spans="1:17">
      <c r="A86" s="13" t="s">
        <v>10</v>
      </c>
      <c r="B86" s="13" t="s">
        <v>45</v>
      </c>
      <c r="C86" s="47">
        <v>45016</v>
      </c>
      <c r="D86" s="44">
        <v>19367018</v>
      </c>
      <c r="E86" s="44">
        <v>7814971</v>
      </c>
      <c r="F86" s="49">
        <f t="shared" si="5"/>
        <v>0.40351958158969</v>
      </c>
      <c r="G86" s="50">
        <f>IFERROR(Table1_4[[#This Row],[GROSS NPA]]/Table1_4[[#This Row],[TOTAL ADVANCES]],"")</f>
        <v>0.40351958158969</v>
      </c>
      <c r="H86" s="51">
        <f>ABS(Table1_4[[#This Row],[GNPA RATIO]]-G86)</f>
        <v>0</v>
      </c>
      <c r="I86" s="31">
        <v>0.73</v>
      </c>
      <c r="J86" s="45">
        <f t="shared" si="6"/>
        <v>5704928.83</v>
      </c>
      <c r="K86" s="44">
        <f t="shared" si="7"/>
        <v>2110042.17</v>
      </c>
      <c r="L86" s="53">
        <f t="shared" si="8"/>
        <v>0.108950287029216</v>
      </c>
      <c r="M86" s="44">
        <v>2570931</v>
      </c>
      <c r="N86" s="13">
        <v>16</v>
      </c>
      <c r="O86" s="54">
        <v>0.065</v>
      </c>
      <c r="P86" s="54">
        <v>0.0037</v>
      </c>
      <c r="Q86" s="54">
        <v>0.0815</v>
      </c>
    </row>
    <row r="87" spans="1:17">
      <c r="A87" s="13" t="s">
        <v>6</v>
      </c>
      <c r="B87" s="13" t="s">
        <v>46</v>
      </c>
      <c r="C87" s="47">
        <v>45107</v>
      </c>
      <c r="D87" s="44">
        <v>5499902</v>
      </c>
      <c r="E87" s="44">
        <v>1124218</v>
      </c>
      <c r="F87" s="49">
        <f t="shared" si="5"/>
        <v>0.204406914886847</v>
      </c>
      <c r="G87" s="50">
        <f>IFERROR(Table1_4[[#This Row],[GROSS NPA]]/Table1_4[[#This Row],[TOTAL ADVANCES]],"")</f>
        <v>0.204406914886847</v>
      </c>
      <c r="H87" s="51">
        <f>ABS(Table1_4[[#This Row],[GNPA RATIO]]-G87)</f>
        <v>0</v>
      </c>
      <c r="I87" s="31">
        <v>0.76</v>
      </c>
      <c r="J87" s="45">
        <f t="shared" si="6"/>
        <v>854405.68</v>
      </c>
      <c r="K87" s="44">
        <f t="shared" si="7"/>
        <v>269812.32</v>
      </c>
      <c r="L87" s="53">
        <f t="shared" si="8"/>
        <v>0.0490576595728433</v>
      </c>
      <c r="M87" s="44">
        <v>602870</v>
      </c>
      <c r="N87" s="13">
        <v>15</v>
      </c>
      <c r="O87" s="54">
        <v>0.065</v>
      </c>
      <c r="P87" s="54">
        <v>0.0162</v>
      </c>
      <c r="Q87" s="54">
        <v>0.0815</v>
      </c>
    </row>
    <row r="88" spans="1:17">
      <c r="A88" s="13" t="s">
        <v>7</v>
      </c>
      <c r="B88" s="13" t="s">
        <v>46</v>
      </c>
      <c r="C88" s="47">
        <v>45107</v>
      </c>
      <c r="D88" s="44">
        <v>4680130</v>
      </c>
      <c r="E88" s="44">
        <v>0</v>
      </c>
      <c r="F88" s="49">
        <f t="shared" si="5"/>
        <v>0</v>
      </c>
      <c r="G88" s="50">
        <f>IFERROR(Table1_4[[#This Row],[GROSS NPA]]/Table1_4[[#This Row],[TOTAL ADVANCES]],"")</f>
        <v>0</v>
      </c>
      <c r="H88" s="51">
        <f>ABS(Table1_4[[#This Row],[GNPA RATIO]]-G88)</f>
        <v>0</v>
      </c>
      <c r="I88" s="31">
        <v>0.76</v>
      </c>
      <c r="J88" s="45">
        <f t="shared" si="6"/>
        <v>0</v>
      </c>
      <c r="K88" s="44">
        <f t="shared" si="7"/>
        <v>0</v>
      </c>
      <c r="L88" s="53">
        <f t="shared" si="8"/>
        <v>0</v>
      </c>
      <c r="M88" s="44">
        <v>0</v>
      </c>
      <c r="N88" s="13">
        <v>8</v>
      </c>
      <c r="O88" s="54">
        <v>0.065</v>
      </c>
      <c r="P88" s="54">
        <v>0.0162</v>
      </c>
      <c r="Q88" s="54">
        <v>0.0815</v>
      </c>
    </row>
    <row r="89" spans="1:17">
      <c r="A89" s="13" t="s">
        <v>8</v>
      </c>
      <c r="B89" s="13" t="s">
        <v>46</v>
      </c>
      <c r="C89" s="47">
        <v>45107</v>
      </c>
      <c r="D89" s="44">
        <v>20797966</v>
      </c>
      <c r="E89" s="44">
        <v>2427957</v>
      </c>
      <c r="F89" s="49">
        <f t="shared" si="5"/>
        <v>0.116740117759592</v>
      </c>
      <c r="G89" s="50">
        <f>IFERROR(Table1_4[[#This Row],[GROSS NPA]]/Table1_4[[#This Row],[TOTAL ADVANCES]],"")</f>
        <v>0.116740117759592</v>
      </c>
      <c r="H89" s="51">
        <f>ABS(Table1_4[[#This Row],[GNPA RATIO]]-G89)</f>
        <v>0</v>
      </c>
      <c r="I89" s="31">
        <v>0.76</v>
      </c>
      <c r="J89" s="45">
        <f t="shared" si="6"/>
        <v>1845247.32</v>
      </c>
      <c r="K89" s="44">
        <f t="shared" si="7"/>
        <v>582709.68</v>
      </c>
      <c r="L89" s="53">
        <f t="shared" si="8"/>
        <v>0.0280176282623022</v>
      </c>
      <c r="M89" s="44">
        <v>1858564</v>
      </c>
      <c r="N89" s="13">
        <v>13</v>
      </c>
      <c r="O89" s="54">
        <v>0.065</v>
      </c>
      <c r="P89" s="54">
        <v>0.0162</v>
      </c>
      <c r="Q89" s="54">
        <v>0.0815</v>
      </c>
    </row>
    <row r="90" spans="1:17">
      <c r="A90" s="13" t="s">
        <v>9</v>
      </c>
      <c r="B90" s="13" t="s">
        <v>46</v>
      </c>
      <c r="C90" s="47">
        <v>45107</v>
      </c>
      <c r="D90" s="44">
        <v>11463614</v>
      </c>
      <c r="E90" s="44">
        <v>3505788</v>
      </c>
      <c r="F90" s="49">
        <f t="shared" si="5"/>
        <v>0.305818740931089</v>
      </c>
      <c r="G90" s="50">
        <f>IFERROR(Table1_4[[#This Row],[GROSS NPA]]/Table1_4[[#This Row],[TOTAL ADVANCES]],"")</f>
        <v>0.305818740931089</v>
      </c>
      <c r="H90" s="51">
        <f>ABS(Table1_4[[#This Row],[GNPA RATIO]]-G90)</f>
        <v>0</v>
      </c>
      <c r="I90" s="31">
        <v>0.76</v>
      </c>
      <c r="J90" s="45">
        <f t="shared" si="6"/>
        <v>2664398.88</v>
      </c>
      <c r="K90" s="44">
        <f t="shared" si="7"/>
        <v>841389.12</v>
      </c>
      <c r="L90" s="53">
        <f t="shared" si="8"/>
        <v>0.0733964978234613</v>
      </c>
      <c r="M90" s="44">
        <v>1513764</v>
      </c>
      <c r="N90" s="13">
        <v>15</v>
      </c>
      <c r="O90" s="54">
        <v>0.065</v>
      </c>
      <c r="P90" s="54">
        <v>0.0162</v>
      </c>
      <c r="Q90" s="54">
        <v>0.0815</v>
      </c>
    </row>
    <row r="91" spans="1:17">
      <c r="A91" s="13" t="s">
        <v>10</v>
      </c>
      <c r="B91" s="13" t="s">
        <v>46</v>
      </c>
      <c r="C91" s="47">
        <v>45107</v>
      </c>
      <c r="D91" s="44">
        <v>9839314</v>
      </c>
      <c r="E91" s="44">
        <v>3697933</v>
      </c>
      <c r="F91" s="49">
        <f t="shared" si="5"/>
        <v>0.375832400510849</v>
      </c>
      <c r="G91" s="50">
        <f>IFERROR(Table1_4[[#This Row],[GROSS NPA]]/Table1_4[[#This Row],[TOTAL ADVANCES]],"")</f>
        <v>0.375832400510849</v>
      </c>
      <c r="H91" s="51">
        <f>ABS(Table1_4[[#This Row],[GNPA RATIO]]-G91)</f>
        <v>0</v>
      </c>
      <c r="I91" s="31">
        <v>0.76</v>
      </c>
      <c r="J91" s="45">
        <f t="shared" si="6"/>
        <v>2810429.08</v>
      </c>
      <c r="K91" s="44">
        <f t="shared" si="7"/>
        <v>887503.92</v>
      </c>
      <c r="L91" s="53">
        <f t="shared" si="8"/>
        <v>0.0901997761226037</v>
      </c>
      <c r="M91" s="44">
        <v>1817281</v>
      </c>
      <c r="N91" s="13">
        <v>12</v>
      </c>
      <c r="O91" s="54">
        <v>0.065</v>
      </c>
      <c r="P91" s="54">
        <v>0.0162</v>
      </c>
      <c r="Q91" s="54">
        <v>0.0815</v>
      </c>
    </row>
    <row r="92" spans="1:17">
      <c r="A92" s="13" t="s">
        <v>6</v>
      </c>
      <c r="B92" s="13" t="s">
        <v>47</v>
      </c>
      <c r="C92" s="47">
        <v>45199</v>
      </c>
      <c r="D92" s="44">
        <v>4552265</v>
      </c>
      <c r="E92" s="44">
        <v>0</v>
      </c>
      <c r="F92" s="49">
        <f t="shared" si="5"/>
        <v>0</v>
      </c>
      <c r="G92" s="50">
        <f>IFERROR(Table1_4[[#This Row],[GROSS NPA]]/Table1_4[[#This Row],[TOTAL ADVANCES]],"")</f>
        <v>0</v>
      </c>
      <c r="H92" s="51">
        <f>ABS(Table1_4[[#This Row],[GNPA RATIO]]-G92)</f>
        <v>0</v>
      </c>
      <c r="I92" s="32">
        <v>0.74</v>
      </c>
      <c r="J92" s="45">
        <f t="shared" si="6"/>
        <v>0</v>
      </c>
      <c r="K92" s="44">
        <f t="shared" si="7"/>
        <v>0</v>
      </c>
      <c r="L92" s="53">
        <f t="shared" si="8"/>
        <v>0</v>
      </c>
      <c r="M92" s="44">
        <v>0</v>
      </c>
      <c r="N92" s="13">
        <v>9</v>
      </c>
      <c r="O92" s="54">
        <v>0.065</v>
      </c>
      <c r="P92" s="54">
        <v>0.0273</v>
      </c>
      <c r="Q92" s="54">
        <v>0.0815</v>
      </c>
    </row>
    <row r="93" spans="1:17">
      <c r="A93" s="13" t="s">
        <v>7</v>
      </c>
      <c r="B93" s="13" t="s">
        <v>47</v>
      </c>
      <c r="C93" s="47">
        <v>45199</v>
      </c>
      <c r="D93" s="44">
        <v>2994940</v>
      </c>
      <c r="E93" s="44">
        <v>0</v>
      </c>
      <c r="F93" s="49">
        <f t="shared" si="5"/>
        <v>0</v>
      </c>
      <c r="G93" s="50">
        <f>IFERROR(Table1_4[[#This Row],[GROSS NPA]]/Table1_4[[#This Row],[TOTAL ADVANCES]],"")</f>
        <v>0</v>
      </c>
      <c r="H93" s="51">
        <f>ABS(Table1_4[[#This Row],[GNPA RATIO]]-G93)</f>
        <v>0</v>
      </c>
      <c r="I93" s="32">
        <v>0.74</v>
      </c>
      <c r="J93" s="45">
        <f t="shared" si="6"/>
        <v>0</v>
      </c>
      <c r="K93" s="44">
        <f t="shared" si="7"/>
        <v>0</v>
      </c>
      <c r="L93" s="53">
        <f t="shared" si="8"/>
        <v>0</v>
      </c>
      <c r="M93" s="44">
        <v>0</v>
      </c>
      <c r="N93" s="13">
        <v>9</v>
      </c>
      <c r="O93" s="54">
        <v>0.065</v>
      </c>
      <c r="P93" s="54">
        <v>0.0273</v>
      </c>
      <c r="Q93" s="54">
        <v>0.0815</v>
      </c>
    </row>
    <row r="94" spans="1:17">
      <c r="A94" s="13" t="s">
        <v>8</v>
      </c>
      <c r="B94" s="13" t="s">
        <v>47</v>
      </c>
      <c r="C94" s="47">
        <v>45199</v>
      </c>
      <c r="D94" s="44">
        <v>16964481</v>
      </c>
      <c r="E94" s="44">
        <v>0</v>
      </c>
      <c r="F94" s="49">
        <f t="shared" si="5"/>
        <v>0</v>
      </c>
      <c r="G94" s="50">
        <f>IFERROR(Table1_4[[#This Row],[GROSS NPA]]/Table1_4[[#This Row],[TOTAL ADVANCES]],"")</f>
        <v>0</v>
      </c>
      <c r="H94" s="51">
        <f>ABS(Table1_4[[#This Row],[GNPA RATIO]]-G94)</f>
        <v>0</v>
      </c>
      <c r="I94" s="32">
        <v>0.74</v>
      </c>
      <c r="J94" s="45">
        <f t="shared" si="6"/>
        <v>0</v>
      </c>
      <c r="K94" s="44">
        <f t="shared" si="7"/>
        <v>0</v>
      </c>
      <c r="L94" s="53">
        <f t="shared" si="8"/>
        <v>0</v>
      </c>
      <c r="M94" s="44">
        <v>0</v>
      </c>
      <c r="N94" s="13">
        <v>10</v>
      </c>
      <c r="O94" s="54">
        <v>0.065</v>
      </c>
      <c r="P94" s="54">
        <v>0.0273</v>
      </c>
      <c r="Q94" s="54">
        <v>0.0815</v>
      </c>
    </row>
    <row r="95" spans="1:17">
      <c r="A95" s="13" t="s">
        <v>9</v>
      </c>
      <c r="B95" s="13" t="s">
        <v>47</v>
      </c>
      <c r="C95" s="47">
        <v>45199</v>
      </c>
      <c r="D95" s="44">
        <v>5212202</v>
      </c>
      <c r="E95" s="44">
        <v>287822</v>
      </c>
      <c r="F95" s="49">
        <f t="shared" si="5"/>
        <v>0.0552208068681912</v>
      </c>
      <c r="G95" s="50">
        <f>IFERROR(Table1_4[[#This Row],[GROSS NPA]]/Table1_4[[#This Row],[TOTAL ADVANCES]],"")</f>
        <v>0.0552208068681912</v>
      </c>
      <c r="H95" s="51">
        <f>ABS(Table1_4[[#This Row],[GNPA RATIO]]-G95)</f>
        <v>0</v>
      </c>
      <c r="I95" s="32">
        <v>0.74</v>
      </c>
      <c r="J95" s="45">
        <f t="shared" si="6"/>
        <v>212988.28</v>
      </c>
      <c r="K95" s="44">
        <f t="shared" si="7"/>
        <v>74833.72</v>
      </c>
      <c r="L95" s="53">
        <f t="shared" si="8"/>
        <v>0.0143574097857297</v>
      </c>
      <c r="M95" s="44">
        <v>123156</v>
      </c>
      <c r="N95" s="13">
        <v>11</v>
      </c>
      <c r="O95" s="54">
        <v>0.065</v>
      </c>
      <c r="P95" s="54">
        <v>0.0273</v>
      </c>
      <c r="Q95" s="54">
        <v>0.0815</v>
      </c>
    </row>
    <row r="96" spans="1:17">
      <c r="A96" s="13" t="s">
        <v>10</v>
      </c>
      <c r="B96" s="13" t="s">
        <v>47</v>
      </c>
      <c r="C96" s="47">
        <v>45199</v>
      </c>
      <c r="D96" s="44">
        <v>15041528</v>
      </c>
      <c r="E96" s="44">
        <v>2548681</v>
      </c>
      <c r="F96" s="49">
        <f t="shared" si="5"/>
        <v>0.169442958188822</v>
      </c>
      <c r="G96" s="50">
        <f>IFERROR(Table1_4[[#This Row],[GROSS NPA]]/Table1_4[[#This Row],[TOTAL ADVANCES]],"")</f>
        <v>0.169442958188822</v>
      </c>
      <c r="H96" s="51">
        <f>ABS(Table1_4[[#This Row],[GNPA RATIO]]-G96)</f>
        <v>0</v>
      </c>
      <c r="I96" s="32">
        <v>0.74</v>
      </c>
      <c r="J96" s="45">
        <f t="shared" si="6"/>
        <v>1886023.94</v>
      </c>
      <c r="K96" s="44">
        <f t="shared" si="7"/>
        <v>662657.06</v>
      </c>
      <c r="L96" s="53">
        <f t="shared" si="8"/>
        <v>0.0440551691290938</v>
      </c>
      <c r="M96" s="44">
        <v>1361602</v>
      </c>
      <c r="N96" s="13">
        <v>15</v>
      </c>
      <c r="O96" s="54">
        <v>0.065</v>
      </c>
      <c r="P96" s="54">
        <v>0.0273</v>
      </c>
      <c r="Q96" s="54">
        <v>0.0815</v>
      </c>
    </row>
    <row r="97" spans="1:17">
      <c r="A97" s="13" t="s">
        <v>6</v>
      </c>
      <c r="B97" s="13" t="s">
        <v>48</v>
      </c>
      <c r="C97" s="47">
        <v>45291</v>
      </c>
      <c r="D97" s="44">
        <v>2852697</v>
      </c>
      <c r="E97" s="44">
        <v>215900</v>
      </c>
      <c r="F97" s="49">
        <f t="shared" si="5"/>
        <v>0.0756827661682962</v>
      </c>
      <c r="G97" s="50">
        <f>IFERROR(Table1_4[[#This Row],[GROSS NPA]]/Table1_4[[#This Row],[TOTAL ADVANCES]],"")</f>
        <v>0.0756827661682962</v>
      </c>
      <c r="H97" s="51">
        <f>ABS(Table1_4[[#This Row],[GNPA RATIO]]-G97)</f>
        <v>0</v>
      </c>
      <c r="I97" s="31">
        <v>0.75</v>
      </c>
      <c r="J97" s="45">
        <f t="shared" si="6"/>
        <v>161925</v>
      </c>
      <c r="K97" s="44">
        <f t="shared" si="7"/>
        <v>53975</v>
      </c>
      <c r="L97" s="53">
        <f t="shared" si="8"/>
        <v>0.018920691542074</v>
      </c>
      <c r="M97" s="44">
        <v>116855</v>
      </c>
      <c r="N97" s="13">
        <v>12</v>
      </c>
      <c r="O97" s="54">
        <v>0.065</v>
      </c>
      <c r="P97" s="54">
        <v>0.0154</v>
      </c>
      <c r="Q97" s="54">
        <v>0.0815</v>
      </c>
    </row>
    <row r="98" spans="1:17">
      <c r="A98" s="13" t="s">
        <v>7</v>
      </c>
      <c r="B98" s="13" t="s">
        <v>48</v>
      </c>
      <c r="C98" s="47">
        <v>45291</v>
      </c>
      <c r="D98" s="44">
        <v>8185928</v>
      </c>
      <c r="E98" s="44">
        <v>1127261</v>
      </c>
      <c r="F98" s="49">
        <f t="shared" si="5"/>
        <v>0.137707172601567</v>
      </c>
      <c r="G98" s="50">
        <f>IFERROR(Table1_4[[#This Row],[GROSS NPA]]/Table1_4[[#This Row],[TOTAL ADVANCES]],"")</f>
        <v>0.137707172601567</v>
      </c>
      <c r="H98" s="51">
        <f>ABS(Table1_4[[#This Row],[GNPA RATIO]]-G98)</f>
        <v>0</v>
      </c>
      <c r="I98" s="31">
        <v>0.75</v>
      </c>
      <c r="J98" s="45">
        <f t="shared" si="6"/>
        <v>845445.75</v>
      </c>
      <c r="K98" s="44">
        <f t="shared" si="7"/>
        <v>281815.25</v>
      </c>
      <c r="L98" s="53">
        <f t="shared" si="8"/>
        <v>0.0344267931503917</v>
      </c>
      <c r="M98" s="44">
        <v>641533</v>
      </c>
      <c r="N98" s="13">
        <v>12</v>
      </c>
      <c r="O98" s="54">
        <v>0.065</v>
      </c>
      <c r="P98" s="54">
        <v>0.0154</v>
      </c>
      <c r="Q98" s="54">
        <v>0.0815</v>
      </c>
    </row>
    <row r="99" spans="1:17">
      <c r="A99" s="13" t="s">
        <v>8</v>
      </c>
      <c r="B99" s="13" t="s">
        <v>48</v>
      </c>
      <c r="C99" s="47">
        <v>45291</v>
      </c>
      <c r="D99" s="44">
        <v>23267068</v>
      </c>
      <c r="E99" s="44">
        <v>8231700</v>
      </c>
      <c r="F99" s="49">
        <f t="shared" si="5"/>
        <v>0.353791891612643</v>
      </c>
      <c r="G99" s="50">
        <f>IFERROR(Table1_4[[#This Row],[GROSS NPA]]/Table1_4[[#This Row],[TOTAL ADVANCES]],"")</f>
        <v>0.353791891612643</v>
      </c>
      <c r="H99" s="51">
        <f>ABS(Table1_4[[#This Row],[GNPA RATIO]]-G99)</f>
        <v>0</v>
      </c>
      <c r="I99" s="31">
        <v>0.75</v>
      </c>
      <c r="J99" s="45">
        <f t="shared" si="6"/>
        <v>6173775</v>
      </c>
      <c r="K99" s="44">
        <f t="shared" si="7"/>
        <v>2057925</v>
      </c>
      <c r="L99" s="53">
        <f t="shared" si="8"/>
        <v>0.0884479729031608</v>
      </c>
      <c r="M99" s="44">
        <v>4120737</v>
      </c>
      <c r="N99" s="13">
        <v>11</v>
      </c>
      <c r="O99" s="54">
        <v>0.065</v>
      </c>
      <c r="P99" s="54">
        <v>0.0154</v>
      </c>
      <c r="Q99" s="54">
        <v>0.0815</v>
      </c>
    </row>
    <row r="100" spans="1:17">
      <c r="A100" s="13" t="s">
        <v>9</v>
      </c>
      <c r="B100" s="13" t="s">
        <v>48</v>
      </c>
      <c r="C100" s="47">
        <v>45291</v>
      </c>
      <c r="D100" s="44">
        <v>7537730</v>
      </c>
      <c r="E100" s="44">
        <v>5359491</v>
      </c>
      <c r="F100" s="49">
        <f t="shared" si="5"/>
        <v>0.711021885899336</v>
      </c>
      <c r="G100" s="50">
        <f>IFERROR(Table1_4[[#This Row],[GROSS NPA]]/Table1_4[[#This Row],[TOTAL ADVANCES]],"")</f>
        <v>0.711021885899336</v>
      </c>
      <c r="H100" s="51">
        <f>ABS(Table1_4[[#This Row],[GNPA RATIO]]-G100)</f>
        <v>0</v>
      </c>
      <c r="I100" s="31">
        <v>0.75</v>
      </c>
      <c r="J100" s="45">
        <f t="shared" si="6"/>
        <v>4019618.25</v>
      </c>
      <c r="K100" s="44">
        <f t="shared" si="7"/>
        <v>1339872.75</v>
      </c>
      <c r="L100" s="53">
        <f t="shared" si="8"/>
        <v>0.177755471474834</v>
      </c>
      <c r="M100" s="44">
        <v>2573382</v>
      </c>
      <c r="N100" s="13">
        <v>13</v>
      </c>
      <c r="O100" s="54">
        <v>0.065</v>
      </c>
      <c r="P100" s="54">
        <v>0.0154</v>
      </c>
      <c r="Q100" s="54">
        <v>0.0815</v>
      </c>
    </row>
    <row r="101" spans="1:17">
      <c r="A101" s="13" t="s">
        <v>10</v>
      </c>
      <c r="B101" s="13" t="s">
        <v>48</v>
      </c>
      <c r="C101" s="47">
        <v>45291</v>
      </c>
      <c r="D101" s="44">
        <v>13428239</v>
      </c>
      <c r="E101" s="44">
        <v>6399381</v>
      </c>
      <c r="F101" s="49">
        <f t="shared" si="5"/>
        <v>0.476561446366869</v>
      </c>
      <c r="G101" s="50">
        <f>IFERROR(Table1_4[[#This Row],[GROSS NPA]]/Table1_4[[#This Row],[TOTAL ADVANCES]],"")</f>
        <v>0.476561446366869</v>
      </c>
      <c r="H101" s="51">
        <f>ABS(Table1_4[[#This Row],[GNPA RATIO]]-G101)</f>
        <v>0</v>
      </c>
      <c r="I101" s="31">
        <v>0.75</v>
      </c>
      <c r="J101" s="45">
        <f t="shared" si="6"/>
        <v>4799535.75</v>
      </c>
      <c r="K101" s="44">
        <f t="shared" si="7"/>
        <v>1599845.25</v>
      </c>
      <c r="L101" s="53">
        <f t="shared" si="8"/>
        <v>0.119140361591717</v>
      </c>
      <c r="M101" s="44">
        <v>2181475</v>
      </c>
      <c r="N101" s="13">
        <v>15</v>
      </c>
      <c r="O101" s="54">
        <v>0.065</v>
      </c>
      <c r="P101" s="54">
        <v>0.0154</v>
      </c>
      <c r="Q101" s="54">
        <v>0.0815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B9" sqref="B9"/>
    </sheetView>
  </sheetViews>
  <sheetFormatPr defaultColWidth="9" defaultRowHeight="16.8" outlineLevelCol="3"/>
  <cols>
    <col min="1" max="1" width="19.75"/>
    <col min="2" max="3" width="27.125"/>
    <col min="4" max="4" width="27.125" style="39"/>
  </cols>
  <sheetData>
    <row r="3" spans="1:4">
      <c r="A3" t="s">
        <v>58</v>
      </c>
      <c r="B3" t="s">
        <v>59</v>
      </c>
      <c r="C3" t="s">
        <v>60</v>
      </c>
      <c r="D3" s="39" t="s">
        <v>61</v>
      </c>
    </row>
    <row r="4" spans="1:4">
      <c r="A4">
        <v>0</v>
      </c>
      <c r="B4" s="1">
        <v>1815999.623439</v>
      </c>
      <c r="C4" s="40">
        <v>56.8587896253602</v>
      </c>
      <c r="D4" s="41">
        <v>9.46062439961576</v>
      </c>
    </row>
    <row r="5" spans="1:4">
      <c r="A5">
        <v>1</v>
      </c>
      <c r="B5" s="1">
        <v>1656922.62548263</v>
      </c>
      <c r="C5" s="40">
        <v>45.1235521235521</v>
      </c>
      <c r="D5" s="41">
        <v>9.67972972972973</v>
      </c>
    </row>
    <row r="6" spans="1:4">
      <c r="A6" t="s">
        <v>11</v>
      </c>
      <c r="B6" s="1">
        <v>1784306.59076923</v>
      </c>
      <c r="C6" s="40">
        <v>54.5207692307692</v>
      </c>
      <c r="D6" s="39">
        <v>9.50427692307693</v>
      </c>
    </row>
    <row r="9" spans="2:2">
      <c r="B9" s="4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01"/>
  <sheetViews>
    <sheetView zoomScale="93" zoomScaleNormal="93" workbookViewId="0">
      <selection activeCell="G15" sqref="G15"/>
    </sheetView>
  </sheetViews>
  <sheetFormatPr defaultColWidth="9" defaultRowHeight="16.8"/>
  <cols>
    <col min="1" max="1" width="9.5" style="13" customWidth="1"/>
    <col min="2" max="2" width="16.6640625" style="13" customWidth="1"/>
    <col min="3" max="3" width="16.015625" style="13" customWidth="1"/>
    <col min="4" max="4" width="19.3984375" style="14" customWidth="1"/>
    <col min="5" max="5" width="19.3984375" style="15" customWidth="1"/>
    <col min="6" max="6" width="19.078125" customWidth="1"/>
    <col min="7" max="7" width="20.578125" style="13" customWidth="1"/>
    <col min="8" max="8" width="23.4609375" style="16" customWidth="1"/>
    <col min="9" max="9" width="20.2890625" style="13" customWidth="1"/>
    <col min="10" max="10" width="23.765625" style="16" customWidth="1"/>
    <col min="11" max="11" width="22.3984375" style="16" customWidth="1"/>
  </cols>
  <sheetData>
    <row r="1" ht="17" spans="1:11">
      <c r="A1" s="17" t="s">
        <v>62</v>
      </c>
      <c r="B1" s="17" t="s">
        <v>0</v>
      </c>
      <c r="C1" s="17" t="s">
        <v>63</v>
      </c>
      <c r="D1" s="18" t="s">
        <v>64</v>
      </c>
      <c r="E1" s="23" t="s">
        <v>65</v>
      </c>
      <c r="F1" s="24" t="s">
        <v>66</v>
      </c>
      <c r="G1" s="17" t="s">
        <v>67</v>
      </c>
      <c r="H1" s="25" t="s">
        <v>68</v>
      </c>
      <c r="I1" s="17" t="s">
        <v>58</v>
      </c>
      <c r="J1" s="25" t="s">
        <v>69</v>
      </c>
      <c r="K1" s="29" t="s">
        <v>70</v>
      </c>
    </row>
    <row r="2" spans="1:11">
      <c r="A2" s="19" t="s">
        <v>71</v>
      </c>
      <c r="B2" s="19" t="s">
        <v>6</v>
      </c>
      <c r="C2" s="19" t="s">
        <v>72</v>
      </c>
      <c r="D2" s="20">
        <f ca="1" t="shared" ref="D2:D51" si="0">RANDBETWEEN(DATE(2019,1,1),DATE(2019,3,31))</f>
        <v>43553</v>
      </c>
      <c r="E2" s="26">
        <v>154902</v>
      </c>
      <c r="F2" s="19">
        <v>8.24</v>
      </c>
      <c r="G2" s="19">
        <v>43</v>
      </c>
      <c r="H2" s="27">
        <v>48272</v>
      </c>
      <c r="I2" s="19">
        <v>0</v>
      </c>
      <c r="J2" s="27">
        <v>0</v>
      </c>
      <c r="K2" s="30">
        <v>0.744</v>
      </c>
    </row>
    <row r="3" spans="1:11">
      <c r="A3" s="19" t="s">
        <v>73</v>
      </c>
      <c r="B3" s="19" t="s">
        <v>7</v>
      </c>
      <c r="C3" s="19" t="s">
        <v>72</v>
      </c>
      <c r="D3" s="20">
        <f ca="1" t="shared" si="0"/>
        <v>43528</v>
      </c>
      <c r="E3" s="26">
        <v>414647</v>
      </c>
      <c r="F3" s="19">
        <v>9.18</v>
      </c>
      <c r="G3" s="19">
        <v>16</v>
      </c>
      <c r="H3" s="27">
        <v>114009</v>
      </c>
      <c r="I3" s="19">
        <v>0</v>
      </c>
      <c r="J3" s="27">
        <v>0</v>
      </c>
      <c r="K3" s="31">
        <v>0.71</v>
      </c>
    </row>
    <row r="4" spans="1:11">
      <c r="A4" s="19" t="s">
        <v>74</v>
      </c>
      <c r="B4" s="19" t="s">
        <v>7</v>
      </c>
      <c r="C4" s="19" t="s">
        <v>72</v>
      </c>
      <c r="D4" s="20">
        <f ca="1" t="shared" si="0"/>
        <v>43550</v>
      </c>
      <c r="E4" s="26">
        <v>161299</v>
      </c>
      <c r="F4" s="19">
        <v>9.12</v>
      </c>
      <c r="G4" s="19">
        <v>81</v>
      </c>
      <c r="H4" s="27">
        <v>60705</v>
      </c>
      <c r="I4" s="19">
        <v>0</v>
      </c>
      <c r="J4" s="27">
        <v>0</v>
      </c>
      <c r="K4" s="31">
        <v>0.73</v>
      </c>
    </row>
    <row r="5" spans="1:11">
      <c r="A5" s="19" t="s">
        <v>75</v>
      </c>
      <c r="B5" s="19" t="s">
        <v>6</v>
      </c>
      <c r="C5" s="19" t="s">
        <v>72</v>
      </c>
      <c r="D5" s="20">
        <f ca="1" t="shared" si="0"/>
        <v>43529</v>
      </c>
      <c r="E5" s="26">
        <v>719659</v>
      </c>
      <c r="F5" s="19">
        <v>8.2</v>
      </c>
      <c r="G5" s="19">
        <v>55</v>
      </c>
      <c r="H5" s="27">
        <v>233445</v>
      </c>
      <c r="I5" s="19">
        <v>0</v>
      </c>
      <c r="J5" s="27">
        <v>0</v>
      </c>
      <c r="K5" s="31">
        <v>0.72</v>
      </c>
    </row>
    <row r="6" spans="1:11">
      <c r="A6" s="19" t="s">
        <v>76</v>
      </c>
      <c r="B6" s="19" t="s">
        <v>9</v>
      </c>
      <c r="C6" s="19" t="s">
        <v>72</v>
      </c>
      <c r="D6" s="20">
        <f ca="1" t="shared" si="0"/>
        <v>43535</v>
      </c>
      <c r="E6" s="26">
        <v>478700</v>
      </c>
      <c r="F6" s="28">
        <v>10.28</v>
      </c>
      <c r="G6" s="19">
        <v>24</v>
      </c>
      <c r="H6" s="27">
        <v>420296</v>
      </c>
      <c r="I6" s="19">
        <v>0</v>
      </c>
      <c r="J6" s="27">
        <v>0</v>
      </c>
      <c r="K6" s="31">
        <v>0.71</v>
      </c>
    </row>
    <row r="7" spans="1:11">
      <c r="A7" s="19" t="s">
        <v>77</v>
      </c>
      <c r="B7" s="19" t="s">
        <v>6</v>
      </c>
      <c r="C7" s="19" t="s">
        <v>72</v>
      </c>
      <c r="D7" s="20">
        <f ca="1" t="shared" si="0"/>
        <v>43554</v>
      </c>
      <c r="E7" s="26">
        <v>1976967</v>
      </c>
      <c r="F7" s="19">
        <v>8.04</v>
      </c>
      <c r="G7" s="19">
        <v>60</v>
      </c>
      <c r="H7" s="27">
        <v>1268486</v>
      </c>
      <c r="I7" s="19">
        <v>0</v>
      </c>
      <c r="J7" s="27">
        <v>0</v>
      </c>
      <c r="K7" s="31">
        <v>0.7</v>
      </c>
    </row>
    <row r="8" spans="1:11">
      <c r="A8" s="19" t="s">
        <v>78</v>
      </c>
      <c r="B8" s="19" t="s">
        <v>7</v>
      </c>
      <c r="C8" s="19" t="s">
        <v>72</v>
      </c>
      <c r="D8" s="20">
        <f ca="1" t="shared" si="0"/>
        <v>43534</v>
      </c>
      <c r="E8" s="26">
        <v>1566807</v>
      </c>
      <c r="F8" s="19">
        <v>9.15</v>
      </c>
      <c r="G8" s="19">
        <v>20</v>
      </c>
      <c r="H8" s="27">
        <v>1142218</v>
      </c>
      <c r="I8" s="19">
        <v>0</v>
      </c>
      <c r="J8" s="27">
        <v>0</v>
      </c>
      <c r="K8" s="31">
        <v>0.71</v>
      </c>
    </row>
    <row r="9" spans="1:11">
      <c r="A9" s="19" t="s">
        <v>79</v>
      </c>
      <c r="B9" s="19" t="s">
        <v>6</v>
      </c>
      <c r="C9" s="19" t="s">
        <v>72</v>
      </c>
      <c r="D9" s="20">
        <f ca="1" t="shared" si="0"/>
        <v>43541</v>
      </c>
      <c r="E9" s="26">
        <v>1026395</v>
      </c>
      <c r="F9" s="19">
        <v>8.37</v>
      </c>
      <c r="G9" s="19">
        <v>60</v>
      </c>
      <c r="H9" s="27">
        <v>577581</v>
      </c>
      <c r="I9" s="19">
        <v>0</v>
      </c>
      <c r="J9" s="27">
        <v>0</v>
      </c>
      <c r="K9" s="31">
        <v>0.72</v>
      </c>
    </row>
    <row r="10" spans="1:11">
      <c r="A10" s="19" t="s">
        <v>80</v>
      </c>
      <c r="B10" s="19" t="s">
        <v>10</v>
      </c>
      <c r="C10" s="19" t="s">
        <v>72</v>
      </c>
      <c r="D10" s="20">
        <f ca="1" t="shared" si="0"/>
        <v>43493</v>
      </c>
      <c r="E10" s="26">
        <v>1602651</v>
      </c>
      <c r="F10" s="19">
        <v>10.21</v>
      </c>
      <c r="G10" s="19">
        <v>46</v>
      </c>
      <c r="H10" s="27">
        <v>1101509</v>
      </c>
      <c r="I10" s="19">
        <v>0</v>
      </c>
      <c r="J10" s="27">
        <v>0</v>
      </c>
      <c r="K10" s="31">
        <v>0.7</v>
      </c>
    </row>
    <row r="11" spans="1:11">
      <c r="A11" s="19" t="s">
        <v>81</v>
      </c>
      <c r="B11" s="19" t="s">
        <v>10</v>
      </c>
      <c r="C11" s="19" t="s">
        <v>72</v>
      </c>
      <c r="D11" s="20">
        <f ca="1" t="shared" si="0"/>
        <v>43535</v>
      </c>
      <c r="E11" s="26">
        <v>735359</v>
      </c>
      <c r="F11" s="19">
        <v>10.42</v>
      </c>
      <c r="G11" s="19">
        <v>46</v>
      </c>
      <c r="H11" s="27">
        <v>276268</v>
      </c>
      <c r="I11" s="19">
        <v>0</v>
      </c>
      <c r="J11" s="27">
        <v>0</v>
      </c>
      <c r="K11" s="31">
        <v>0.76</v>
      </c>
    </row>
    <row r="12" spans="1:11">
      <c r="A12" s="19" t="s">
        <v>82</v>
      </c>
      <c r="B12" s="19" t="s">
        <v>6</v>
      </c>
      <c r="C12" s="19" t="s">
        <v>72</v>
      </c>
      <c r="D12" s="20">
        <f ca="1" t="shared" si="0"/>
        <v>43485</v>
      </c>
      <c r="E12" s="26">
        <v>1010697</v>
      </c>
      <c r="F12" s="19">
        <v>8.32</v>
      </c>
      <c r="G12" s="19">
        <v>52</v>
      </c>
      <c r="H12" s="27">
        <v>418623</v>
      </c>
      <c r="I12" s="19">
        <v>0</v>
      </c>
      <c r="J12" s="27">
        <v>0</v>
      </c>
      <c r="K12" s="30">
        <v>0.727</v>
      </c>
    </row>
    <row r="13" spans="1:11">
      <c r="A13" s="19" t="s">
        <v>83</v>
      </c>
      <c r="B13" s="19" t="s">
        <v>7</v>
      </c>
      <c r="C13" s="19" t="s">
        <v>72</v>
      </c>
      <c r="D13" s="20">
        <f ca="1" t="shared" si="0"/>
        <v>43520</v>
      </c>
      <c r="E13" s="26">
        <v>1369854</v>
      </c>
      <c r="F13" s="19">
        <v>8.43</v>
      </c>
      <c r="G13" s="19">
        <v>75</v>
      </c>
      <c r="H13" s="27">
        <v>1243480</v>
      </c>
      <c r="I13" s="19">
        <v>0</v>
      </c>
      <c r="J13" s="27">
        <v>0</v>
      </c>
      <c r="K13" s="30">
        <v>0.727</v>
      </c>
    </row>
    <row r="14" spans="1:11">
      <c r="A14" s="19" t="s">
        <v>84</v>
      </c>
      <c r="B14" s="19" t="s">
        <v>10</v>
      </c>
      <c r="C14" s="19" t="s">
        <v>72</v>
      </c>
      <c r="D14" s="20">
        <f ca="1" t="shared" si="0"/>
        <v>43478</v>
      </c>
      <c r="E14" s="26">
        <v>1160987</v>
      </c>
      <c r="F14" s="19">
        <v>9.78</v>
      </c>
      <c r="G14" s="19">
        <v>83</v>
      </c>
      <c r="H14" s="27">
        <v>476229</v>
      </c>
      <c r="I14" s="19">
        <v>0</v>
      </c>
      <c r="J14" s="27">
        <v>0</v>
      </c>
      <c r="K14" s="31">
        <v>0.76</v>
      </c>
    </row>
    <row r="15" spans="1:11">
      <c r="A15" s="19" t="s">
        <v>85</v>
      </c>
      <c r="B15" s="19" t="s">
        <v>7</v>
      </c>
      <c r="C15" s="19" t="s">
        <v>72</v>
      </c>
      <c r="D15" s="20">
        <f ca="1" t="shared" si="0"/>
        <v>43477</v>
      </c>
      <c r="E15" s="26">
        <v>1725207</v>
      </c>
      <c r="F15" s="19">
        <v>8.72</v>
      </c>
      <c r="G15" s="19">
        <v>29</v>
      </c>
      <c r="H15" s="27">
        <v>1026174</v>
      </c>
      <c r="I15" s="19">
        <v>0</v>
      </c>
      <c r="J15" s="27">
        <v>0</v>
      </c>
      <c r="K15" s="31">
        <v>0.73</v>
      </c>
    </row>
    <row r="16" spans="1:11">
      <c r="A16" s="19" t="s">
        <v>86</v>
      </c>
      <c r="B16" s="19" t="s">
        <v>6</v>
      </c>
      <c r="C16" s="19" t="s">
        <v>72</v>
      </c>
      <c r="D16" s="20">
        <f ca="1" t="shared" si="0"/>
        <v>43484</v>
      </c>
      <c r="E16" s="26">
        <v>691062</v>
      </c>
      <c r="F16" s="19">
        <v>8.13</v>
      </c>
      <c r="G16" s="19">
        <v>66</v>
      </c>
      <c r="H16" s="27">
        <v>173333</v>
      </c>
      <c r="I16" s="19">
        <v>0</v>
      </c>
      <c r="J16" s="27">
        <v>0</v>
      </c>
      <c r="K16" s="31">
        <v>0.75</v>
      </c>
    </row>
    <row r="17" spans="1:11">
      <c r="A17" s="19" t="s">
        <v>87</v>
      </c>
      <c r="B17" s="19" t="s">
        <v>8</v>
      </c>
      <c r="C17" s="19" t="s">
        <v>72</v>
      </c>
      <c r="D17" s="20">
        <f ca="1" t="shared" si="0"/>
        <v>43523</v>
      </c>
      <c r="E17" s="26">
        <v>2269266</v>
      </c>
      <c r="F17" s="19">
        <v>8.6</v>
      </c>
      <c r="G17" s="19">
        <v>82</v>
      </c>
      <c r="H17" s="27">
        <v>1688848</v>
      </c>
      <c r="I17" s="19">
        <v>0</v>
      </c>
      <c r="J17" s="27">
        <v>0</v>
      </c>
      <c r="K17" s="31">
        <v>0.71</v>
      </c>
    </row>
    <row r="18" spans="1:11">
      <c r="A18" s="19" t="s">
        <v>88</v>
      </c>
      <c r="B18" s="19" t="s">
        <v>7</v>
      </c>
      <c r="C18" s="19" t="s">
        <v>72</v>
      </c>
      <c r="D18" s="20">
        <f ca="1" t="shared" si="0"/>
        <v>43531</v>
      </c>
      <c r="E18" s="26">
        <v>1169145</v>
      </c>
      <c r="F18" s="19">
        <v>9.54</v>
      </c>
      <c r="G18" s="19">
        <v>55</v>
      </c>
      <c r="H18" s="27">
        <v>508344</v>
      </c>
      <c r="I18" s="19">
        <v>0</v>
      </c>
      <c r="J18" s="27">
        <v>0</v>
      </c>
      <c r="K18" s="31">
        <v>0.68</v>
      </c>
    </row>
    <row r="19" spans="1:11">
      <c r="A19" s="19" t="s">
        <v>89</v>
      </c>
      <c r="B19" s="19" t="s">
        <v>6</v>
      </c>
      <c r="C19" s="19" t="s">
        <v>72</v>
      </c>
      <c r="D19" s="20">
        <f ca="1" t="shared" si="0"/>
        <v>43532</v>
      </c>
      <c r="E19" s="26">
        <v>1154733</v>
      </c>
      <c r="F19" s="19">
        <v>8.47</v>
      </c>
      <c r="G19" s="19">
        <v>34</v>
      </c>
      <c r="H19" s="27">
        <v>1074019</v>
      </c>
      <c r="I19" s="19">
        <v>0</v>
      </c>
      <c r="J19" s="27">
        <v>0</v>
      </c>
      <c r="K19" s="31">
        <v>0.73</v>
      </c>
    </row>
    <row r="20" spans="1:11">
      <c r="A20" s="19" t="s">
        <v>90</v>
      </c>
      <c r="B20" s="19" t="s">
        <v>9</v>
      </c>
      <c r="C20" s="19" t="s">
        <v>72</v>
      </c>
      <c r="D20" s="20">
        <f ca="1" t="shared" si="0"/>
        <v>43484</v>
      </c>
      <c r="E20" s="26">
        <v>2179292</v>
      </c>
      <c r="F20" s="28">
        <v>11.83</v>
      </c>
      <c r="G20" s="19">
        <v>31</v>
      </c>
      <c r="H20" s="27">
        <v>1765245</v>
      </c>
      <c r="I20" s="19">
        <v>0</v>
      </c>
      <c r="J20" s="27">
        <v>0</v>
      </c>
      <c r="K20" s="31">
        <v>0.71</v>
      </c>
    </row>
    <row r="21" spans="1:11">
      <c r="A21" s="19" t="s">
        <v>91</v>
      </c>
      <c r="B21" s="19" t="s">
        <v>7</v>
      </c>
      <c r="C21" s="19" t="s">
        <v>72</v>
      </c>
      <c r="D21" s="20">
        <f ca="1" t="shared" si="0"/>
        <v>43502</v>
      </c>
      <c r="E21" s="26">
        <v>52398</v>
      </c>
      <c r="F21" s="19">
        <v>9.2</v>
      </c>
      <c r="G21" s="19">
        <v>74</v>
      </c>
      <c r="H21" s="27">
        <v>15168</v>
      </c>
      <c r="I21" s="19">
        <v>0</v>
      </c>
      <c r="J21" s="27">
        <v>0</v>
      </c>
      <c r="K21" s="31">
        <v>0.71</v>
      </c>
    </row>
    <row r="22" spans="1:11">
      <c r="A22" s="19" t="s">
        <v>92</v>
      </c>
      <c r="B22" s="19" t="s">
        <v>9</v>
      </c>
      <c r="C22" s="19" t="s">
        <v>72</v>
      </c>
      <c r="D22" s="20">
        <f ca="1" t="shared" si="0"/>
        <v>43469</v>
      </c>
      <c r="E22" s="26">
        <v>1054335</v>
      </c>
      <c r="F22" s="28">
        <v>10.17</v>
      </c>
      <c r="G22" s="19">
        <v>84</v>
      </c>
      <c r="H22" s="27">
        <v>283112</v>
      </c>
      <c r="I22" s="19">
        <v>0</v>
      </c>
      <c r="J22" s="27">
        <v>0</v>
      </c>
      <c r="K22" s="31">
        <v>0.7</v>
      </c>
    </row>
    <row r="23" spans="1:11">
      <c r="A23" s="19" t="s">
        <v>93</v>
      </c>
      <c r="B23" s="19" t="s">
        <v>6</v>
      </c>
      <c r="C23" s="19" t="s">
        <v>72</v>
      </c>
      <c r="D23" s="20">
        <f ca="1" t="shared" si="0"/>
        <v>43532</v>
      </c>
      <c r="E23" s="26">
        <v>2284331</v>
      </c>
      <c r="F23" s="19">
        <v>8.27</v>
      </c>
      <c r="G23" s="19">
        <v>28</v>
      </c>
      <c r="H23" s="27">
        <v>2187198</v>
      </c>
      <c r="I23" s="19">
        <v>0</v>
      </c>
      <c r="J23" s="27">
        <v>0</v>
      </c>
      <c r="K23" s="31">
        <v>0.73</v>
      </c>
    </row>
    <row r="24" spans="1:11">
      <c r="A24" s="19" t="s">
        <v>94</v>
      </c>
      <c r="B24" s="19" t="s">
        <v>7</v>
      </c>
      <c r="C24" s="19" t="s">
        <v>72</v>
      </c>
      <c r="D24" s="20">
        <f ca="1" t="shared" si="0"/>
        <v>43543</v>
      </c>
      <c r="E24" s="26">
        <v>1824769</v>
      </c>
      <c r="F24" s="19">
        <v>9.93</v>
      </c>
      <c r="G24" s="19">
        <v>81</v>
      </c>
      <c r="H24" s="27">
        <v>1405727</v>
      </c>
      <c r="I24" s="19">
        <v>0</v>
      </c>
      <c r="J24" s="27">
        <v>0</v>
      </c>
      <c r="K24" s="31">
        <v>0.68</v>
      </c>
    </row>
    <row r="25" spans="1:11">
      <c r="A25" s="19" t="s">
        <v>95</v>
      </c>
      <c r="B25" s="19" t="s">
        <v>9</v>
      </c>
      <c r="C25" s="19" t="s">
        <v>72</v>
      </c>
      <c r="D25" s="20">
        <f ca="1" t="shared" si="0"/>
        <v>43554</v>
      </c>
      <c r="E25" s="26">
        <v>1887524</v>
      </c>
      <c r="F25" s="28">
        <v>12.7</v>
      </c>
      <c r="G25" s="19">
        <v>69</v>
      </c>
      <c r="H25" s="27">
        <v>751847</v>
      </c>
      <c r="I25" s="19">
        <v>1</v>
      </c>
      <c r="J25" s="27">
        <v>156695</v>
      </c>
      <c r="K25" s="31">
        <v>0.68</v>
      </c>
    </row>
    <row r="26" spans="1:11">
      <c r="A26" s="19" t="s">
        <v>96</v>
      </c>
      <c r="B26" s="19" t="s">
        <v>7</v>
      </c>
      <c r="C26" s="19" t="s">
        <v>72</v>
      </c>
      <c r="D26" s="20">
        <f ca="1" t="shared" si="0"/>
        <v>43514</v>
      </c>
      <c r="E26" s="26">
        <v>1015171</v>
      </c>
      <c r="F26" s="19">
        <v>9.18</v>
      </c>
      <c r="G26" s="19">
        <v>12</v>
      </c>
      <c r="H26" s="27">
        <v>777897</v>
      </c>
      <c r="I26" s="19">
        <v>1</v>
      </c>
      <c r="J26" s="27">
        <v>176551</v>
      </c>
      <c r="K26" s="31">
        <v>0.7</v>
      </c>
    </row>
    <row r="27" spans="1:11">
      <c r="A27" s="19" t="s">
        <v>97</v>
      </c>
      <c r="B27" s="19" t="s">
        <v>6</v>
      </c>
      <c r="C27" s="19" t="s">
        <v>72</v>
      </c>
      <c r="D27" s="20">
        <f ca="1" t="shared" si="0"/>
        <v>43544</v>
      </c>
      <c r="E27" s="26">
        <v>1435917</v>
      </c>
      <c r="F27" s="19">
        <v>7.57</v>
      </c>
      <c r="G27" s="19">
        <v>42</v>
      </c>
      <c r="H27" s="27">
        <v>1055660</v>
      </c>
      <c r="I27" s="19">
        <v>0</v>
      </c>
      <c r="J27" s="27">
        <v>0</v>
      </c>
      <c r="K27" s="31">
        <v>0.72</v>
      </c>
    </row>
    <row r="28" spans="1:11">
      <c r="A28" s="19" t="s">
        <v>98</v>
      </c>
      <c r="B28" s="19" t="s">
        <v>10</v>
      </c>
      <c r="C28" s="19" t="s">
        <v>72</v>
      </c>
      <c r="D28" s="20">
        <f ca="1" t="shared" si="0"/>
        <v>43544</v>
      </c>
      <c r="E28" s="26">
        <v>2445128</v>
      </c>
      <c r="F28" s="19">
        <v>10.65</v>
      </c>
      <c r="G28" s="19">
        <v>43</v>
      </c>
      <c r="H28" s="27">
        <v>2068572</v>
      </c>
      <c r="I28" s="19">
        <v>0</v>
      </c>
      <c r="J28" s="27">
        <v>0</v>
      </c>
      <c r="K28" s="31">
        <v>0.73</v>
      </c>
    </row>
    <row r="29" spans="1:11">
      <c r="A29" s="19" t="s">
        <v>99</v>
      </c>
      <c r="B29" s="19" t="s">
        <v>6</v>
      </c>
      <c r="C29" s="19" t="s">
        <v>72</v>
      </c>
      <c r="D29" s="20">
        <f ca="1" t="shared" si="0"/>
        <v>43552</v>
      </c>
      <c r="E29" s="26">
        <v>1857959</v>
      </c>
      <c r="F29" s="19">
        <v>7.85</v>
      </c>
      <c r="G29" s="19">
        <v>64</v>
      </c>
      <c r="H29" s="27">
        <v>1655570</v>
      </c>
      <c r="I29" s="19">
        <v>1</v>
      </c>
      <c r="J29" s="27">
        <v>763850</v>
      </c>
      <c r="K29" s="31">
        <v>0.71</v>
      </c>
    </row>
    <row r="30" spans="1:11">
      <c r="A30" s="19" t="s">
        <v>100</v>
      </c>
      <c r="B30" s="19" t="s">
        <v>6</v>
      </c>
      <c r="C30" s="19" t="s">
        <v>72</v>
      </c>
      <c r="D30" s="20">
        <f ca="1" t="shared" si="0"/>
        <v>43500</v>
      </c>
      <c r="E30" s="26">
        <v>304227</v>
      </c>
      <c r="F30" s="19">
        <v>7.9</v>
      </c>
      <c r="G30" s="19">
        <v>55</v>
      </c>
      <c r="H30" s="27">
        <v>121363</v>
      </c>
      <c r="I30" s="19">
        <v>0</v>
      </c>
      <c r="J30" s="27">
        <v>0</v>
      </c>
      <c r="K30" s="31">
        <v>0.68</v>
      </c>
    </row>
    <row r="31" spans="1:11">
      <c r="A31" s="19" t="s">
        <v>101</v>
      </c>
      <c r="B31" s="19" t="s">
        <v>8</v>
      </c>
      <c r="C31" s="19" t="s">
        <v>72</v>
      </c>
      <c r="D31" s="20">
        <f ca="1" t="shared" si="0"/>
        <v>43489</v>
      </c>
      <c r="E31" s="26">
        <v>637967</v>
      </c>
      <c r="F31" s="19">
        <v>8.81</v>
      </c>
      <c r="G31" s="19">
        <v>47</v>
      </c>
      <c r="H31" s="27">
        <v>255088</v>
      </c>
      <c r="I31" s="19">
        <v>0</v>
      </c>
      <c r="J31" s="27">
        <v>0</v>
      </c>
      <c r="K31" s="31">
        <v>0.71</v>
      </c>
    </row>
    <row r="32" spans="1:11">
      <c r="A32" s="19" t="s">
        <v>102</v>
      </c>
      <c r="B32" s="19" t="s">
        <v>8</v>
      </c>
      <c r="C32" s="19" t="s">
        <v>72</v>
      </c>
      <c r="D32" s="20">
        <f ca="1" t="shared" si="0"/>
        <v>43470</v>
      </c>
      <c r="E32" s="26">
        <v>2358231</v>
      </c>
      <c r="F32" s="19">
        <v>8.42</v>
      </c>
      <c r="G32" s="19">
        <v>81</v>
      </c>
      <c r="H32" s="27">
        <v>2299739</v>
      </c>
      <c r="I32" s="19">
        <v>0</v>
      </c>
      <c r="J32" s="27">
        <v>0</v>
      </c>
      <c r="K32" s="31">
        <v>0.71</v>
      </c>
    </row>
    <row r="33" spans="1:11">
      <c r="A33" s="19" t="s">
        <v>103</v>
      </c>
      <c r="B33" s="19" t="s">
        <v>10</v>
      </c>
      <c r="C33" s="19" t="s">
        <v>72</v>
      </c>
      <c r="D33" s="20">
        <f ca="1" t="shared" si="0"/>
        <v>43492</v>
      </c>
      <c r="E33" s="26">
        <v>747559</v>
      </c>
      <c r="F33" s="19">
        <v>10.31</v>
      </c>
      <c r="G33" s="19">
        <v>73</v>
      </c>
      <c r="H33" s="27">
        <v>666613</v>
      </c>
      <c r="I33" s="19">
        <v>0</v>
      </c>
      <c r="J33" s="27">
        <v>0</v>
      </c>
      <c r="K33" s="31">
        <v>0.68</v>
      </c>
    </row>
    <row r="34" spans="1:11">
      <c r="A34" s="19" t="s">
        <v>104</v>
      </c>
      <c r="B34" s="19" t="s">
        <v>10</v>
      </c>
      <c r="C34" s="19" t="s">
        <v>72</v>
      </c>
      <c r="D34" s="20">
        <f ca="1" t="shared" si="0"/>
        <v>43531</v>
      </c>
      <c r="E34" s="26">
        <v>1639528</v>
      </c>
      <c r="F34" s="19">
        <v>9.5</v>
      </c>
      <c r="G34" s="19">
        <v>61</v>
      </c>
      <c r="H34" s="27">
        <v>1543147</v>
      </c>
      <c r="I34" s="19">
        <v>0</v>
      </c>
      <c r="J34" s="27">
        <v>0</v>
      </c>
      <c r="K34" s="31">
        <v>0.72</v>
      </c>
    </row>
    <row r="35" spans="1:11">
      <c r="A35" s="19" t="s">
        <v>105</v>
      </c>
      <c r="B35" s="19" t="s">
        <v>9</v>
      </c>
      <c r="C35" s="19" t="s">
        <v>72</v>
      </c>
      <c r="D35" s="20">
        <f ca="1" t="shared" si="0"/>
        <v>43514</v>
      </c>
      <c r="E35" s="26">
        <v>1824221</v>
      </c>
      <c r="F35" s="28">
        <v>12.09</v>
      </c>
      <c r="G35" s="19">
        <v>83</v>
      </c>
      <c r="H35" s="27">
        <v>590751</v>
      </c>
      <c r="I35" s="19">
        <v>0</v>
      </c>
      <c r="J35" s="27">
        <v>0</v>
      </c>
      <c r="K35" s="31">
        <v>0.73</v>
      </c>
    </row>
    <row r="36" spans="1:11">
      <c r="A36" s="19" t="s">
        <v>106</v>
      </c>
      <c r="B36" s="19" t="s">
        <v>6</v>
      </c>
      <c r="C36" s="19" t="s">
        <v>72</v>
      </c>
      <c r="D36" s="20">
        <f ca="1" t="shared" si="0"/>
        <v>43517</v>
      </c>
      <c r="E36" s="26">
        <v>2479258</v>
      </c>
      <c r="F36" s="19">
        <v>8.24</v>
      </c>
      <c r="G36" s="19">
        <v>19</v>
      </c>
      <c r="H36" s="27">
        <v>609233</v>
      </c>
      <c r="I36" s="19">
        <v>0</v>
      </c>
      <c r="J36" s="27">
        <v>0</v>
      </c>
      <c r="K36" s="31">
        <v>0.71</v>
      </c>
    </row>
    <row r="37" spans="1:11">
      <c r="A37" s="19" t="s">
        <v>107</v>
      </c>
      <c r="B37" s="19" t="s">
        <v>7</v>
      </c>
      <c r="C37" s="19" t="s">
        <v>72</v>
      </c>
      <c r="D37" s="20">
        <f ca="1" t="shared" si="0"/>
        <v>43505</v>
      </c>
      <c r="E37" s="26">
        <v>2277704</v>
      </c>
      <c r="F37" s="19">
        <v>8.31</v>
      </c>
      <c r="G37" s="19">
        <v>77</v>
      </c>
      <c r="H37" s="27">
        <v>2006825</v>
      </c>
      <c r="I37" s="19">
        <v>0</v>
      </c>
      <c r="J37" s="27">
        <v>0</v>
      </c>
      <c r="K37" s="31">
        <v>0.7</v>
      </c>
    </row>
    <row r="38" spans="1:11">
      <c r="A38" s="19" t="s">
        <v>108</v>
      </c>
      <c r="B38" s="19" t="s">
        <v>6</v>
      </c>
      <c r="C38" s="19" t="s">
        <v>72</v>
      </c>
      <c r="D38" s="20">
        <f ca="1" t="shared" si="0"/>
        <v>43530</v>
      </c>
      <c r="E38" s="26">
        <v>1036516</v>
      </c>
      <c r="F38" s="19">
        <v>7.9</v>
      </c>
      <c r="G38" s="19">
        <v>84</v>
      </c>
      <c r="H38" s="27">
        <v>687350</v>
      </c>
      <c r="I38" s="19">
        <v>1</v>
      </c>
      <c r="J38" s="27">
        <v>160010</v>
      </c>
      <c r="K38" s="30">
        <v>0.744</v>
      </c>
    </row>
    <row r="39" spans="1:11">
      <c r="A39" s="19" t="s">
        <v>109</v>
      </c>
      <c r="B39" s="19" t="s">
        <v>7</v>
      </c>
      <c r="C39" s="19" t="s">
        <v>72</v>
      </c>
      <c r="D39" s="20">
        <f ca="1" t="shared" si="0"/>
        <v>43504</v>
      </c>
      <c r="E39" s="26">
        <v>2420733</v>
      </c>
      <c r="F39" s="19">
        <v>9.05</v>
      </c>
      <c r="G39" s="19">
        <v>45</v>
      </c>
      <c r="H39" s="27">
        <v>1781128</v>
      </c>
      <c r="I39" s="19">
        <v>0</v>
      </c>
      <c r="J39" s="27">
        <v>0</v>
      </c>
      <c r="K39" s="31">
        <v>0.68</v>
      </c>
    </row>
    <row r="40" spans="1:11">
      <c r="A40" s="19" t="s">
        <v>110</v>
      </c>
      <c r="B40" s="19" t="s">
        <v>9</v>
      </c>
      <c r="C40" s="19" t="s">
        <v>72</v>
      </c>
      <c r="D40" s="20">
        <f ca="1" t="shared" si="0"/>
        <v>43532</v>
      </c>
      <c r="E40" s="26">
        <v>1710046</v>
      </c>
      <c r="F40" s="28">
        <v>10.39</v>
      </c>
      <c r="G40" s="19">
        <v>50</v>
      </c>
      <c r="H40" s="27">
        <v>774551</v>
      </c>
      <c r="I40" s="19">
        <v>0</v>
      </c>
      <c r="J40" s="27">
        <v>0</v>
      </c>
      <c r="K40" s="31">
        <v>0.71</v>
      </c>
    </row>
    <row r="41" spans="1:11">
      <c r="A41" s="19" t="s">
        <v>111</v>
      </c>
      <c r="B41" s="19" t="s">
        <v>6</v>
      </c>
      <c r="C41" s="19" t="s">
        <v>72</v>
      </c>
      <c r="D41" s="20">
        <f ca="1" t="shared" si="0"/>
        <v>43500</v>
      </c>
      <c r="E41" s="26">
        <v>89071</v>
      </c>
      <c r="F41" s="19">
        <v>7.96</v>
      </c>
      <c r="G41" s="19">
        <v>84</v>
      </c>
      <c r="H41" s="27">
        <v>23034</v>
      </c>
      <c r="I41" s="19">
        <v>0</v>
      </c>
      <c r="J41" s="27">
        <v>0</v>
      </c>
      <c r="K41" s="31">
        <v>0.68</v>
      </c>
    </row>
    <row r="42" spans="1:11">
      <c r="A42" s="19" t="s">
        <v>112</v>
      </c>
      <c r="B42" s="19" t="s">
        <v>9</v>
      </c>
      <c r="C42" s="19" t="s">
        <v>72</v>
      </c>
      <c r="D42" s="20">
        <f ca="1" t="shared" si="0"/>
        <v>43467</v>
      </c>
      <c r="E42" s="26">
        <v>605563</v>
      </c>
      <c r="F42" s="28">
        <v>12.8</v>
      </c>
      <c r="G42" s="19">
        <v>20</v>
      </c>
      <c r="H42" s="27">
        <v>300130</v>
      </c>
      <c r="I42" s="19">
        <v>0</v>
      </c>
      <c r="J42" s="27">
        <v>0</v>
      </c>
      <c r="K42" s="30">
        <v>0.744</v>
      </c>
    </row>
    <row r="43" spans="1:11">
      <c r="A43" s="19" t="s">
        <v>113</v>
      </c>
      <c r="B43" s="19" t="s">
        <v>7</v>
      </c>
      <c r="C43" s="19" t="s">
        <v>72</v>
      </c>
      <c r="D43" s="20">
        <f ca="1" t="shared" si="0"/>
        <v>43509</v>
      </c>
      <c r="E43" s="26">
        <v>1318848</v>
      </c>
      <c r="F43" s="19">
        <v>9.22</v>
      </c>
      <c r="G43" s="19">
        <v>79</v>
      </c>
      <c r="H43" s="27">
        <v>968417</v>
      </c>
      <c r="I43" s="19">
        <v>0</v>
      </c>
      <c r="J43" s="27">
        <v>0</v>
      </c>
      <c r="K43" s="31">
        <v>0.71</v>
      </c>
    </row>
    <row r="44" spans="1:11">
      <c r="A44" s="19" t="s">
        <v>114</v>
      </c>
      <c r="B44" s="19" t="s">
        <v>6</v>
      </c>
      <c r="C44" s="19" t="s">
        <v>72</v>
      </c>
      <c r="D44" s="20">
        <f ca="1" t="shared" si="0"/>
        <v>43541</v>
      </c>
      <c r="E44" s="26">
        <v>613257</v>
      </c>
      <c r="F44" s="19">
        <v>7.76</v>
      </c>
      <c r="G44" s="19">
        <v>25</v>
      </c>
      <c r="H44" s="27">
        <v>198915</v>
      </c>
      <c r="I44" s="19">
        <v>0</v>
      </c>
      <c r="J44" s="27">
        <v>0</v>
      </c>
      <c r="K44" s="31">
        <v>0.76</v>
      </c>
    </row>
    <row r="45" spans="1:11">
      <c r="A45" s="19" t="s">
        <v>115</v>
      </c>
      <c r="B45" s="19" t="s">
        <v>10</v>
      </c>
      <c r="C45" s="19" t="s">
        <v>72</v>
      </c>
      <c r="D45" s="20">
        <f ca="1" t="shared" si="0"/>
        <v>43507</v>
      </c>
      <c r="E45" s="26">
        <v>1488144</v>
      </c>
      <c r="F45" s="19">
        <v>9.91</v>
      </c>
      <c r="G45" s="19">
        <v>45</v>
      </c>
      <c r="H45" s="27">
        <v>879233</v>
      </c>
      <c r="I45" s="19">
        <v>0</v>
      </c>
      <c r="J45" s="27">
        <v>0</v>
      </c>
      <c r="K45" s="31">
        <v>0.73</v>
      </c>
    </row>
    <row r="46" spans="1:11">
      <c r="A46" s="19" t="s">
        <v>116</v>
      </c>
      <c r="B46" s="19" t="s">
        <v>6</v>
      </c>
      <c r="C46" s="19" t="s">
        <v>72</v>
      </c>
      <c r="D46" s="20">
        <f ca="1" t="shared" si="0"/>
        <v>43555</v>
      </c>
      <c r="E46" s="26">
        <v>437127</v>
      </c>
      <c r="F46" s="19">
        <v>8.13</v>
      </c>
      <c r="G46" s="19">
        <v>47</v>
      </c>
      <c r="H46" s="27">
        <v>88665</v>
      </c>
      <c r="I46" s="19">
        <v>0</v>
      </c>
      <c r="J46" s="27">
        <v>0</v>
      </c>
      <c r="K46" s="31">
        <v>0.71</v>
      </c>
    </row>
    <row r="47" spans="1:11">
      <c r="A47" s="19" t="s">
        <v>117</v>
      </c>
      <c r="B47" s="19" t="s">
        <v>9</v>
      </c>
      <c r="C47" s="19" t="s">
        <v>72</v>
      </c>
      <c r="D47" s="20">
        <f ca="1" t="shared" si="0"/>
        <v>43505</v>
      </c>
      <c r="E47" s="26">
        <v>727723</v>
      </c>
      <c r="F47" s="28">
        <v>12.22</v>
      </c>
      <c r="G47" s="19">
        <v>82</v>
      </c>
      <c r="H47" s="27">
        <v>472092</v>
      </c>
      <c r="I47" s="19">
        <v>1</v>
      </c>
      <c r="J47" s="27">
        <v>272878</v>
      </c>
      <c r="K47" s="31">
        <v>0.73</v>
      </c>
    </row>
    <row r="48" spans="1:11">
      <c r="A48" s="19" t="s">
        <v>118</v>
      </c>
      <c r="B48" s="19" t="s">
        <v>10</v>
      </c>
      <c r="C48" s="19" t="s">
        <v>72</v>
      </c>
      <c r="D48" s="20">
        <f ca="1" t="shared" si="0"/>
        <v>43513</v>
      </c>
      <c r="E48" s="26">
        <v>2338371</v>
      </c>
      <c r="F48" s="19">
        <v>9.57</v>
      </c>
      <c r="G48" s="19">
        <v>59</v>
      </c>
      <c r="H48" s="27">
        <v>1501281</v>
      </c>
      <c r="I48" s="19">
        <v>0</v>
      </c>
      <c r="J48" s="27">
        <v>0</v>
      </c>
      <c r="K48" s="32">
        <v>0.74</v>
      </c>
    </row>
    <row r="49" spans="1:11">
      <c r="A49" s="19" t="s">
        <v>119</v>
      </c>
      <c r="B49" s="19" t="s">
        <v>6</v>
      </c>
      <c r="C49" s="19" t="s">
        <v>72</v>
      </c>
      <c r="D49" s="20">
        <f ca="1" t="shared" si="0"/>
        <v>43490</v>
      </c>
      <c r="E49" s="26">
        <v>1342929</v>
      </c>
      <c r="F49" s="19">
        <v>7.86</v>
      </c>
      <c r="G49" s="19">
        <v>17</v>
      </c>
      <c r="H49" s="27">
        <v>494280</v>
      </c>
      <c r="I49" s="19">
        <v>0</v>
      </c>
      <c r="J49" s="27">
        <v>0</v>
      </c>
      <c r="K49" s="31">
        <v>0.71</v>
      </c>
    </row>
    <row r="50" spans="1:11">
      <c r="A50" s="19" t="s">
        <v>120</v>
      </c>
      <c r="B50" s="19" t="s">
        <v>6</v>
      </c>
      <c r="C50" s="19" t="s">
        <v>72</v>
      </c>
      <c r="D50" s="20">
        <f ca="1" t="shared" si="0"/>
        <v>43512</v>
      </c>
      <c r="E50" s="26">
        <v>1533435</v>
      </c>
      <c r="F50" s="19">
        <v>8.28</v>
      </c>
      <c r="G50" s="19">
        <v>64</v>
      </c>
      <c r="H50" s="27">
        <v>1226107</v>
      </c>
      <c r="I50" s="19">
        <v>0</v>
      </c>
      <c r="J50" s="27">
        <v>0</v>
      </c>
      <c r="K50" s="31">
        <v>0.75</v>
      </c>
    </row>
    <row r="51" spans="1:11">
      <c r="A51" s="19" t="s">
        <v>121</v>
      </c>
      <c r="B51" s="19" t="s">
        <v>10</v>
      </c>
      <c r="C51" s="19" t="s">
        <v>72</v>
      </c>
      <c r="D51" s="20">
        <f ca="1" t="shared" si="0"/>
        <v>43514</v>
      </c>
      <c r="E51" s="26">
        <v>731581</v>
      </c>
      <c r="F51" s="19">
        <v>11.45</v>
      </c>
      <c r="G51" s="19">
        <v>34</v>
      </c>
      <c r="H51" s="27">
        <v>160822</v>
      </c>
      <c r="I51" s="19">
        <v>0</v>
      </c>
      <c r="J51" s="27">
        <v>0</v>
      </c>
      <c r="K51" s="31">
        <v>0.73</v>
      </c>
    </row>
    <row r="52" spans="1:11">
      <c r="A52" s="19" t="s">
        <v>122</v>
      </c>
      <c r="B52" s="19" t="s">
        <v>9</v>
      </c>
      <c r="C52" s="19" t="s">
        <v>37</v>
      </c>
      <c r="D52" s="21">
        <f ca="1">RANDBETWEEN(DATE(2021,4,1),DATE(2021,6,30))</f>
        <v>44359</v>
      </c>
      <c r="E52" s="26">
        <v>1776850</v>
      </c>
      <c r="F52" s="28">
        <v>12.41</v>
      </c>
      <c r="G52" s="19">
        <v>43</v>
      </c>
      <c r="H52" s="27">
        <v>581666</v>
      </c>
      <c r="I52" s="19">
        <v>0</v>
      </c>
      <c r="J52" s="27">
        <v>0</v>
      </c>
      <c r="K52" s="31">
        <v>0.72</v>
      </c>
    </row>
    <row r="53" spans="1:11">
      <c r="A53" s="19" t="s">
        <v>123</v>
      </c>
      <c r="B53" s="19" t="s">
        <v>8</v>
      </c>
      <c r="C53" s="19" t="s">
        <v>35</v>
      </c>
      <c r="D53" s="21">
        <f ca="1">RANDBETWEEN(DATE(2020,10,1),DATE(2020,12,31))</f>
        <v>44110</v>
      </c>
      <c r="E53" s="26">
        <v>212422</v>
      </c>
      <c r="F53" s="19">
        <v>9.33</v>
      </c>
      <c r="G53" s="19">
        <v>40</v>
      </c>
      <c r="H53" s="27">
        <v>181253</v>
      </c>
      <c r="I53" s="19">
        <v>0</v>
      </c>
      <c r="J53" s="27">
        <v>0</v>
      </c>
      <c r="K53" s="31">
        <v>0.68</v>
      </c>
    </row>
    <row r="54" spans="1:11">
      <c r="A54" s="19" t="s">
        <v>124</v>
      </c>
      <c r="B54" s="19" t="s">
        <v>9</v>
      </c>
      <c r="C54" s="19" t="s">
        <v>41</v>
      </c>
      <c r="D54" s="21">
        <f ca="1">RANDBETWEEN(DATE(2022,4,1),DATE(2022,6,30))</f>
        <v>44698</v>
      </c>
      <c r="E54" s="26">
        <v>1004604</v>
      </c>
      <c r="F54" s="28">
        <v>10.67</v>
      </c>
      <c r="G54" s="19">
        <v>36</v>
      </c>
      <c r="H54" s="27">
        <v>464739</v>
      </c>
      <c r="I54" s="19">
        <v>0</v>
      </c>
      <c r="J54" s="27">
        <v>0</v>
      </c>
      <c r="K54" s="30">
        <v>0.727</v>
      </c>
    </row>
    <row r="55" spans="1:11">
      <c r="A55" s="19" t="s">
        <v>125</v>
      </c>
      <c r="B55" s="19" t="s">
        <v>9</v>
      </c>
      <c r="C55" s="19" t="s">
        <v>46</v>
      </c>
      <c r="D55" s="21">
        <f ca="1">RANDBETWEEN(DATE(2023,7,1),DATE(2023,9,30))</f>
        <v>45180</v>
      </c>
      <c r="E55" s="26">
        <v>1522813</v>
      </c>
      <c r="F55" s="28">
        <v>11.92</v>
      </c>
      <c r="G55" s="19">
        <v>63</v>
      </c>
      <c r="H55" s="27">
        <v>707986</v>
      </c>
      <c r="I55" s="19">
        <v>1</v>
      </c>
      <c r="J55" s="27">
        <v>389969</v>
      </c>
      <c r="K55" s="31">
        <v>0.76</v>
      </c>
    </row>
    <row r="56" spans="1:11">
      <c r="A56" s="19" t="s">
        <v>126</v>
      </c>
      <c r="B56" s="19" t="s">
        <v>9</v>
      </c>
      <c r="C56" s="19" t="s">
        <v>30</v>
      </c>
      <c r="D56" s="21">
        <f ca="1">RANDBETWEEN(DATE(2019,7,1),DATE(2019,9,30))</f>
        <v>43695</v>
      </c>
      <c r="E56" s="26">
        <v>798967</v>
      </c>
      <c r="F56" s="28">
        <v>11.74</v>
      </c>
      <c r="G56" s="19">
        <v>45</v>
      </c>
      <c r="H56" s="27">
        <v>229081</v>
      </c>
      <c r="I56" s="19">
        <v>0</v>
      </c>
      <c r="J56" s="27">
        <v>0</v>
      </c>
      <c r="K56" s="31">
        <v>0.71</v>
      </c>
    </row>
    <row r="57" spans="1:11">
      <c r="A57" s="19" t="s">
        <v>127</v>
      </c>
      <c r="B57" s="19" t="s">
        <v>9</v>
      </c>
      <c r="C57" s="19" t="s">
        <v>32</v>
      </c>
      <c r="D57" s="21">
        <f ca="1">RANDBETWEEN(DATE(2020,1,1),DATE(2020,3,31))</f>
        <v>43838</v>
      </c>
      <c r="E57" s="26">
        <v>1880368</v>
      </c>
      <c r="F57" s="28">
        <v>11.82</v>
      </c>
      <c r="G57" s="19">
        <v>77</v>
      </c>
      <c r="H57" s="27">
        <v>955520</v>
      </c>
      <c r="I57" s="19">
        <v>0</v>
      </c>
      <c r="J57" s="27">
        <v>0</v>
      </c>
      <c r="K57" s="31">
        <v>0.68</v>
      </c>
    </row>
    <row r="58" spans="1:11">
      <c r="A58" s="19" t="s">
        <v>128</v>
      </c>
      <c r="B58" s="19" t="s">
        <v>9</v>
      </c>
      <c r="C58" s="19" t="s">
        <v>45</v>
      </c>
      <c r="D58" s="21">
        <f ca="1">RANDBETWEEN(DATE(2023,4,1),DATE(2023,6,30))</f>
        <v>45053</v>
      </c>
      <c r="E58" s="26">
        <v>236170</v>
      </c>
      <c r="F58" s="28">
        <v>12.13</v>
      </c>
      <c r="G58" s="19">
        <v>12</v>
      </c>
      <c r="H58" s="27">
        <v>222108</v>
      </c>
      <c r="I58" s="19">
        <v>0</v>
      </c>
      <c r="J58" s="27">
        <v>0</v>
      </c>
      <c r="K58" s="31">
        <v>0.73</v>
      </c>
    </row>
    <row r="59" spans="1:11">
      <c r="A59" s="19" t="s">
        <v>129</v>
      </c>
      <c r="B59" s="19" t="s">
        <v>10</v>
      </c>
      <c r="C59" s="19" t="s">
        <v>48</v>
      </c>
      <c r="D59" s="21">
        <f ca="1">RANDBETWEEN(DATE(2024,1,1),DATE(2024,3,31))</f>
        <v>45379</v>
      </c>
      <c r="E59" s="26">
        <v>1577655</v>
      </c>
      <c r="F59" s="19">
        <v>10.36</v>
      </c>
      <c r="G59" s="19">
        <v>54</v>
      </c>
      <c r="H59" s="27">
        <v>711731</v>
      </c>
      <c r="I59" s="19">
        <v>0</v>
      </c>
      <c r="J59" s="27">
        <v>0</v>
      </c>
      <c r="K59" s="31">
        <v>0.75</v>
      </c>
    </row>
    <row r="60" spans="1:11">
      <c r="A60" s="19" t="s">
        <v>130</v>
      </c>
      <c r="B60" s="19" t="s">
        <v>9</v>
      </c>
      <c r="C60" s="19" t="s">
        <v>39</v>
      </c>
      <c r="D60" s="22">
        <f ca="1">RANDBETWEEN(DATE(2021,10,1),DATE(2021,12,31))</f>
        <v>44476</v>
      </c>
      <c r="E60" s="26">
        <v>2177025</v>
      </c>
      <c r="F60" s="28">
        <v>10.93</v>
      </c>
      <c r="G60" s="19">
        <v>64</v>
      </c>
      <c r="H60" s="27">
        <v>1136233</v>
      </c>
      <c r="I60" s="19">
        <v>0</v>
      </c>
      <c r="J60" s="27">
        <v>0</v>
      </c>
      <c r="K60" s="31">
        <v>0.71</v>
      </c>
    </row>
    <row r="61" spans="1:11">
      <c r="A61" s="19" t="s">
        <v>131</v>
      </c>
      <c r="B61" s="19" t="s">
        <v>10</v>
      </c>
      <c r="C61" s="19" t="s">
        <v>34</v>
      </c>
      <c r="D61" s="21">
        <f ca="1">RANDBETWEEN(DATE(2020,7,1),DATE(2020,9,30))</f>
        <v>44100</v>
      </c>
      <c r="E61" s="26">
        <v>854635</v>
      </c>
      <c r="F61" s="19">
        <v>10.34</v>
      </c>
      <c r="G61" s="19">
        <v>60</v>
      </c>
      <c r="H61" s="27">
        <v>591759</v>
      </c>
      <c r="I61" s="19">
        <v>0</v>
      </c>
      <c r="J61" s="27">
        <v>0</v>
      </c>
      <c r="K61" s="31">
        <v>0.68</v>
      </c>
    </row>
    <row r="62" spans="1:11">
      <c r="A62" s="19" t="s">
        <v>132</v>
      </c>
      <c r="B62" s="19" t="s">
        <v>7</v>
      </c>
      <c r="C62" s="19" t="s">
        <v>42</v>
      </c>
      <c r="D62" s="21">
        <f ca="1">RANDBETWEEN(DATE(2022,7,1),DATE(2022,9,30))</f>
        <v>44777</v>
      </c>
      <c r="E62" s="26">
        <v>51702</v>
      </c>
      <c r="F62" s="19">
        <v>8.61</v>
      </c>
      <c r="G62" s="19">
        <v>38</v>
      </c>
      <c r="H62" s="27">
        <v>42840</v>
      </c>
      <c r="I62" s="19">
        <v>0</v>
      </c>
      <c r="J62" s="27">
        <v>0</v>
      </c>
      <c r="K62" s="31">
        <v>0.73</v>
      </c>
    </row>
    <row r="63" spans="1:11">
      <c r="A63" s="19" t="s">
        <v>133</v>
      </c>
      <c r="B63" s="19" t="s">
        <v>9</v>
      </c>
      <c r="C63" s="19" t="s">
        <v>45</v>
      </c>
      <c r="D63" s="21">
        <f ca="1">RANDBETWEEN(DATE(2023,4,1),DATE(2023,6,30))</f>
        <v>45073</v>
      </c>
      <c r="E63" s="26">
        <v>2000301</v>
      </c>
      <c r="F63" s="28">
        <v>11.33</v>
      </c>
      <c r="G63" s="19">
        <v>39</v>
      </c>
      <c r="H63" s="27">
        <v>1157272</v>
      </c>
      <c r="I63" s="19">
        <v>0</v>
      </c>
      <c r="J63" s="27">
        <v>0</v>
      </c>
      <c r="K63" s="31">
        <v>0.73</v>
      </c>
    </row>
    <row r="64" spans="1:11">
      <c r="A64" s="19" t="s">
        <v>134</v>
      </c>
      <c r="B64" s="19" t="s">
        <v>10</v>
      </c>
      <c r="C64" s="19" t="s">
        <v>31</v>
      </c>
      <c r="D64" s="21">
        <f ca="1">RANDBETWEEN(DATE(2019,10,1),DATE(2019,12,31))</f>
        <v>43784</v>
      </c>
      <c r="E64" s="26">
        <v>405658</v>
      </c>
      <c r="F64" s="19">
        <v>10.07</v>
      </c>
      <c r="G64" s="19">
        <v>54</v>
      </c>
      <c r="H64" s="27">
        <v>346731</v>
      </c>
      <c r="I64" s="19">
        <v>0</v>
      </c>
      <c r="J64" s="27">
        <v>0</v>
      </c>
      <c r="K64" s="31">
        <v>0.7</v>
      </c>
    </row>
    <row r="65" spans="1:11">
      <c r="A65" s="19" t="s">
        <v>135</v>
      </c>
      <c r="B65" s="19" t="s">
        <v>9</v>
      </c>
      <c r="C65" s="19" t="s">
        <v>29</v>
      </c>
      <c r="D65" s="21">
        <f ca="1">RANDBETWEEN(DATE(2019,4,1),DATE(2019,6,30))</f>
        <v>43606</v>
      </c>
      <c r="E65" s="26">
        <v>992211</v>
      </c>
      <c r="F65" s="28">
        <v>12.42</v>
      </c>
      <c r="G65" s="19">
        <v>30</v>
      </c>
      <c r="H65" s="27">
        <v>235125</v>
      </c>
      <c r="I65" s="19">
        <v>0</v>
      </c>
      <c r="J65" s="27">
        <v>0</v>
      </c>
      <c r="K65" s="31">
        <v>0.71</v>
      </c>
    </row>
    <row r="66" spans="1:11">
      <c r="A66" s="19" t="s">
        <v>136</v>
      </c>
      <c r="B66" s="19" t="s">
        <v>7</v>
      </c>
      <c r="C66" s="19" t="s">
        <v>41</v>
      </c>
      <c r="D66" s="21">
        <f ca="1">RANDBETWEEN(DATE(2022,4,1),DATE(2022,6,30))</f>
        <v>44652</v>
      </c>
      <c r="E66" s="26">
        <v>355463</v>
      </c>
      <c r="F66" s="19">
        <v>8.91</v>
      </c>
      <c r="G66" s="19">
        <v>36</v>
      </c>
      <c r="H66" s="27">
        <v>211678</v>
      </c>
      <c r="I66" s="19">
        <v>0</v>
      </c>
      <c r="J66" s="27">
        <v>0</v>
      </c>
      <c r="K66" s="30">
        <v>0.727</v>
      </c>
    </row>
    <row r="67" spans="1:11">
      <c r="A67" s="19" t="s">
        <v>137</v>
      </c>
      <c r="B67" s="19" t="s">
        <v>6</v>
      </c>
      <c r="C67" s="19" t="s">
        <v>34</v>
      </c>
      <c r="D67" s="21">
        <f ca="1">RANDBETWEEN(DATE(2020,7,1),DATE(2020,9,30))</f>
        <v>44033</v>
      </c>
      <c r="E67" s="26">
        <v>497059</v>
      </c>
      <c r="F67" s="19">
        <v>8.28</v>
      </c>
      <c r="G67" s="19">
        <v>40</v>
      </c>
      <c r="H67" s="27">
        <v>419163</v>
      </c>
      <c r="I67" s="19">
        <v>0</v>
      </c>
      <c r="J67" s="27">
        <v>0</v>
      </c>
      <c r="K67" s="31">
        <v>0.68</v>
      </c>
    </row>
    <row r="68" spans="1:11">
      <c r="A68" s="19" t="s">
        <v>138</v>
      </c>
      <c r="B68" s="19" t="s">
        <v>8</v>
      </c>
      <c r="C68" s="19" t="s">
        <v>43</v>
      </c>
      <c r="D68" s="21">
        <f ca="1">RANDBETWEEN(DATE(2022,10,1),DATE(2022,12,31))</f>
        <v>44910</v>
      </c>
      <c r="E68" s="26">
        <v>260631</v>
      </c>
      <c r="F68" s="19">
        <v>8.97</v>
      </c>
      <c r="G68" s="19">
        <v>27</v>
      </c>
      <c r="H68" s="27">
        <v>79928</v>
      </c>
      <c r="I68" s="19">
        <v>0</v>
      </c>
      <c r="J68" s="27">
        <v>0</v>
      </c>
      <c r="K68" s="31">
        <v>0.71</v>
      </c>
    </row>
    <row r="69" spans="1:11">
      <c r="A69" s="19" t="s">
        <v>139</v>
      </c>
      <c r="B69" s="19" t="s">
        <v>7</v>
      </c>
      <c r="C69" s="19" t="s">
        <v>48</v>
      </c>
      <c r="D69" s="21">
        <f ca="1">RANDBETWEEN(DATE(2024,1,1),DATE(2024,3,31))</f>
        <v>45371</v>
      </c>
      <c r="E69" s="26">
        <v>2394302</v>
      </c>
      <c r="F69" s="19">
        <v>9.19</v>
      </c>
      <c r="G69" s="19">
        <v>68</v>
      </c>
      <c r="H69" s="27">
        <v>2039957</v>
      </c>
      <c r="I69" s="19">
        <v>0</v>
      </c>
      <c r="J69" s="27">
        <v>0</v>
      </c>
      <c r="K69" s="31">
        <v>0.75</v>
      </c>
    </row>
    <row r="70" spans="1:11">
      <c r="A70" s="19" t="s">
        <v>140</v>
      </c>
      <c r="B70" s="19" t="s">
        <v>8</v>
      </c>
      <c r="C70" s="19" t="s">
        <v>44</v>
      </c>
      <c r="D70" s="21">
        <f ca="1">RANDBETWEEN(DATE(2023,1,1),DATE(2023,3,31))</f>
        <v>44989</v>
      </c>
      <c r="E70" s="26">
        <v>2347941</v>
      </c>
      <c r="F70" s="19">
        <v>8.84</v>
      </c>
      <c r="G70" s="19">
        <v>32</v>
      </c>
      <c r="H70" s="27">
        <v>1314977</v>
      </c>
      <c r="I70" s="19">
        <v>0</v>
      </c>
      <c r="J70" s="27">
        <v>0</v>
      </c>
      <c r="K70" s="31">
        <v>0.73</v>
      </c>
    </row>
    <row r="71" spans="1:11">
      <c r="A71" s="19" t="s">
        <v>141</v>
      </c>
      <c r="B71" s="19" t="s">
        <v>9</v>
      </c>
      <c r="C71" s="19" t="s">
        <v>37</v>
      </c>
      <c r="D71" s="21">
        <f ca="1">RANDBETWEEN(DATE(2021,4,1),DATE(2021,6,30))</f>
        <v>44346</v>
      </c>
      <c r="E71" s="26">
        <v>2236489</v>
      </c>
      <c r="F71" s="28">
        <v>11.45</v>
      </c>
      <c r="G71" s="19">
        <v>42</v>
      </c>
      <c r="H71" s="27">
        <v>1234313</v>
      </c>
      <c r="I71" s="19">
        <v>0</v>
      </c>
      <c r="J71" s="27">
        <v>0</v>
      </c>
      <c r="K71" s="31">
        <v>0.72</v>
      </c>
    </row>
    <row r="72" spans="1:11">
      <c r="A72" s="19" t="s">
        <v>142</v>
      </c>
      <c r="B72" s="19" t="s">
        <v>10</v>
      </c>
      <c r="C72" s="19" t="s">
        <v>31</v>
      </c>
      <c r="D72" s="21">
        <f ca="1">RANDBETWEEN(DATE(2019,10,1),DATE(2019,12,31))</f>
        <v>43772</v>
      </c>
      <c r="E72" s="26">
        <v>1189655</v>
      </c>
      <c r="F72" s="19">
        <v>10.17</v>
      </c>
      <c r="G72" s="19">
        <v>81</v>
      </c>
      <c r="H72" s="27">
        <v>369624</v>
      </c>
      <c r="I72" s="19">
        <v>0</v>
      </c>
      <c r="J72" s="27">
        <v>0</v>
      </c>
      <c r="K72" s="31">
        <v>0.7</v>
      </c>
    </row>
    <row r="73" spans="1:11">
      <c r="A73" s="19" t="s">
        <v>143</v>
      </c>
      <c r="B73" s="19" t="s">
        <v>10</v>
      </c>
      <c r="C73" s="19" t="s">
        <v>39</v>
      </c>
      <c r="D73" s="21">
        <f ca="1">RANDBETWEEN(DATE(2021,10,1),DATE(2021,12,31))</f>
        <v>44506</v>
      </c>
      <c r="E73" s="26">
        <v>947383</v>
      </c>
      <c r="F73" s="19">
        <v>9.63</v>
      </c>
      <c r="G73" s="19">
        <v>64</v>
      </c>
      <c r="H73" s="27">
        <v>600725</v>
      </c>
      <c r="I73" s="19">
        <v>0</v>
      </c>
      <c r="J73" s="27">
        <v>0</v>
      </c>
      <c r="K73" s="31">
        <v>0.71</v>
      </c>
    </row>
    <row r="74" spans="1:11">
      <c r="A74" s="19" t="s">
        <v>144</v>
      </c>
      <c r="B74" s="19" t="s">
        <v>10</v>
      </c>
      <c r="C74" s="19" t="s">
        <v>47</v>
      </c>
      <c r="D74" s="21">
        <f ca="1">RANDBETWEEN(DATE(2023,10,1),DATE(2023,12,31))</f>
        <v>45235</v>
      </c>
      <c r="E74" s="26">
        <v>1812209</v>
      </c>
      <c r="F74" s="19">
        <v>10.28</v>
      </c>
      <c r="G74" s="19">
        <v>14</v>
      </c>
      <c r="H74" s="27">
        <v>913905</v>
      </c>
      <c r="I74" s="19">
        <v>1</v>
      </c>
      <c r="J74" s="27">
        <v>311370</v>
      </c>
      <c r="K74" s="32">
        <v>0.74</v>
      </c>
    </row>
    <row r="75" spans="1:11">
      <c r="A75" s="19" t="s">
        <v>145</v>
      </c>
      <c r="B75" s="19" t="s">
        <v>8</v>
      </c>
      <c r="C75" s="19" t="s">
        <v>48</v>
      </c>
      <c r="D75" s="21">
        <f ca="1">RANDBETWEEN(DATE(2024,1,1),DATE(2024,3,31))</f>
        <v>45329</v>
      </c>
      <c r="E75" s="26">
        <v>1807502</v>
      </c>
      <c r="F75" s="19">
        <v>8.95</v>
      </c>
      <c r="G75" s="19">
        <v>81</v>
      </c>
      <c r="H75" s="27">
        <v>1659737</v>
      </c>
      <c r="I75" s="19">
        <v>0</v>
      </c>
      <c r="J75" s="27">
        <v>0</v>
      </c>
      <c r="K75" s="31">
        <v>0.75</v>
      </c>
    </row>
    <row r="76" spans="1:11">
      <c r="A76" s="19" t="s">
        <v>146</v>
      </c>
      <c r="B76" s="19" t="s">
        <v>9</v>
      </c>
      <c r="C76" s="19" t="s">
        <v>39</v>
      </c>
      <c r="D76" s="21">
        <f ca="1">RANDBETWEEN(DATE(2021,10,1),DATE(2021,12,31))</f>
        <v>44477</v>
      </c>
      <c r="E76" s="26">
        <v>1878028</v>
      </c>
      <c r="F76" s="28">
        <v>11.46</v>
      </c>
      <c r="G76" s="19">
        <v>61</v>
      </c>
      <c r="H76" s="27">
        <v>1380536</v>
      </c>
      <c r="I76" s="19">
        <v>0</v>
      </c>
      <c r="J76" s="27">
        <v>0</v>
      </c>
      <c r="K76" s="31">
        <v>0.71</v>
      </c>
    </row>
    <row r="77" spans="1:11">
      <c r="A77" s="19" t="s">
        <v>147</v>
      </c>
      <c r="B77" s="19" t="s">
        <v>10</v>
      </c>
      <c r="C77" s="19" t="s">
        <v>29</v>
      </c>
      <c r="D77" s="21">
        <f ca="1">RANDBETWEEN(DATE(2019,4,1),DATE(2019,6,30))</f>
        <v>43562</v>
      </c>
      <c r="E77" s="26">
        <v>2010376</v>
      </c>
      <c r="F77" s="19">
        <v>11.34</v>
      </c>
      <c r="G77" s="19">
        <v>80</v>
      </c>
      <c r="H77" s="27">
        <v>1860689</v>
      </c>
      <c r="I77" s="19">
        <v>0</v>
      </c>
      <c r="J77" s="27">
        <v>0</v>
      </c>
      <c r="K77" s="31">
        <v>0.71</v>
      </c>
    </row>
    <row r="78" spans="1:11">
      <c r="A78" s="19" t="s">
        <v>148</v>
      </c>
      <c r="B78" s="19" t="s">
        <v>6</v>
      </c>
      <c r="C78" s="19" t="s">
        <v>43</v>
      </c>
      <c r="D78" s="21">
        <f ca="1">RANDBETWEEN(DATE(2022,10,1),DATE(2022,12,31))</f>
        <v>44863</v>
      </c>
      <c r="E78" s="26">
        <v>402101</v>
      </c>
      <c r="F78" s="19">
        <v>8.14</v>
      </c>
      <c r="G78" s="19">
        <v>29</v>
      </c>
      <c r="H78" s="27">
        <v>138878</v>
      </c>
      <c r="I78" s="19">
        <v>0</v>
      </c>
      <c r="J78" s="27">
        <v>0</v>
      </c>
      <c r="K78" s="31">
        <v>0.71</v>
      </c>
    </row>
    <row r="79" spans="1:11">
      <c r="A79" s="19" t="s">
        <v>149</v>
      </c>
      <c r="B79" s="19" t="s">
        <v>9</v>
      </c>
      <c r="C79" s="19" t="s">
        <v>41</v>
      </c>
      <c r="D79" s="21">
        <f ca="1">RANDBETWEEN(DATE(2022,4,1),DATE(2022,6,30))</f>
        <v>44700</v>
      </c>
      <c r="E79" s="26">
        <v>937767</v>
      </c>
      <c r="F79" s="28">
        <v>11.36</v>
      </c>
      <c r="G79" s="19">
        <v>55</v>
      </c>
      <c r="H79" s="27">
        <v>396305</v>
      </c>
      <c r="I79" s="19">
        <v>0</v>
      </c>
      <c r="J79" s="27">
        <v>0</v>
      </c>
      <c r="K79" s="30">
        <v>0.727</v>
      </c>
    </row>
    <row r="80" spans="1:11">
      <c r="A80" s="19" t="s">
        <v>150</v>
      </c>
      <c r="B80" s="19" t="s">
        <v>8</v>
      </c>
      <c r="C80" s="19" t="s">
        <v>29</v>
      </c>
      <c r="D80" s="21">
        <f ca="1">RANDBETWEEN(DATE(2019,4,1),DATE(2019,6,30))</f>
        <v>43634</v>
      </c>
      <c r="E80" s="26">
        <v>1108103</v>
      </c>
      <c r="F80" s="19">
        <v>9.3</v>
      </c>
      <c r="G80" s="19">
        <v>72</v>
      </c>
      <c r="H80" s="27">
        <v>885617</v>
      </c>
      <c r="I80" s="19">
        <v>0</v>
      </c>
      <c r="J80" s="27">
        <v>0</v>
      </c>
      <c r="K80" s="31">
        <v>0.71</v>
      </c>
    </row>
    <row r="81" spans="1:11">
      <c r="A81" s="19" t="s">
        <v>151</v>
      </c>
      <c r="B81" s="19" t="s">
        <v>9</v>
      </c>
      <c r="C81" s="19" t="s">
        <v>29</v>
      </c>
      <c r="D81" s="21">
        <f ca="1">RANDBETWEEN(DATE(2019,4,1),DATE(2019,6,30))</f>
        <v>43563</v>
      </c>
      <c r="E81" s="26">
        <v>990455</v>
      </c>
      <c r="F81" s="28">
        <v>11.95</v>
      </c>
      <c r="G81" s="19">
        <v>17</v>
      </c>
      <c r="H81" s="27">
        <v>950529</v>
      </c>
      <c r="I81" s="19">
        <v>0</v>
      </c>
      <c r="J81" s="27">
        <v>0</v>
      </c>
      <c r="K81" s="31">
        <v>0.71</v>
      </c>
    </row>
    <row r="82" spans="1:11">
      <c r="A82" s="19" t="s">
        <v>152</v>
      </c>
      <c r="B82" s="19" t="s">
        <v>6</v>
      </c>
      <c r="C82" s="19" t="s">
        <v>32</v>
      </c>
      <c r="D82" s="21">
        <f ca="1">RANDBETWEEN(DATE(2020,1,1),DATE(2020,3,31))</f>
        <v>43867</v>
      </c>
      <c r="E82" s="26">
        <v>689137</v>
      </c>
      <c r="F82" s="19">
        <v>7.74</v>
      </c>
      <c r="G82" s="19">
        <v>72</v>
      </c>
      <c r="H82" s="27">
        <v>448749</v>
      </c>
      <c r="I82" s="19">
        <v>0</v>
      </c>
      <c r="J82" s="27">
        <v>0</v>
      </c>
      <c r="K82" s="31">
        <v>0.68</v>
      </c>
    </row>
    <row r="83" spans="1:11">
      <c r="A83" s="19" t="s">
        <v>153</v>
      </c>
      <c r="B83" s="19" t="s">
        <v>9</v>
      </c>
      <c r="C83" s="19" t="s">
        <v>34</v>
      </c>
      <c r="D83" s="21">
        <f ca="1">RANDBETWEEN(DATE(2020,7,1),DATE(2020,9,30))</f>
        <v>44087</v>
      </c>
      <c r="E83" s="26">
        <v>1597258</v>
      </c>
      <c r="F83" s="28">
        <v>10.5</v>
      </c>
      <c r="G83" s="19">
        <v>26</v>
      </c>
      <c r="H83" s="27">
        <v>1552177</v>
      </c>
      <c r="I83" s="19">
        <v>1</v>
      </c>
      <c r="J83" s="27">
        <v>326378</v>
      </c>
      <c r="K83" s="31">
        <v>0.68</v>
      </c>
    </row>
    <row r="84" spans="1:11">
      <c r="A84" s="19" t="s">
        <v>154</v>
      </c>
      <c r="B84" s="19" t="s">
        <v>9</v>
      </c>
      <c r="C84" s="19" t="s">
        <v>41</v>
      </c>
      <c r="D84" s="21">
        <f ca="1">RANDBETWEEN(DATE(2022,4,1),DATE(2022,6,30))</f>
        <v>44703</v>
      </c>
      <c r="E84" s="26">
        <v>2465066</v>
      </c>
      <c r="F84" s="28">
        <v>12.03</v>
      </c>
      <c r="G84" s="19">
        <v>60</v>
      </c>
      <c r="H84" s="27">
        <v>2349642</v>
      </c>
      <c r="I84" s="19">
        <v>0</v>
      </c>
      <c r="J84" s="27">
        <v>0</v>
      </c>
      <c r="K84" s="30">
        <v>0.727</v>
      </c>
    </row>
    <row r="85" spans="1:11">
      <c r="A85" s="19" t="s">
        <v>155</v>
      </c>
      <c r="B85" s="19" t="s">
        <v>7</v>
      </c>
      <c r="C85" s="19" t="s">
        <v>48</v>
      </c>
      <c r="D85" s="21">
        <f ca="1">RANDBETWEEN(DATE(2024,1,1),DATE(2024,3,31))</f>
        <v>45369</v>
      </c>
      <c r="E85" s="26">
        <v>1068584</v>
      </c>
      <c r="F85" s="19">
        <v>8.2</v>
      </c>
      <c r="G85" s="19">
        <v>50</v>
      </c>
      <c r="H85" s="27">
        <v>902336</v>
      </c>
      <c r="I85" s="19">
        <v>0</v>
      </c>
      <c r="J85" s="27">
        <v>0</v>
      </c>
      <c r="K85" s="31">
        <v>0.75</v>
      </c>
    </row>
    <row r="86" spans="1:11">
      <c r="A86" s="19" t="s">
        <v>156</v>
      </c>
      <c r="B86" s="19" t="s">
        <v>7</v>
      </c>
      <c r="C86" s="19" t="s">
        <v>40</v>
      </c>
      <c r="D86" s="21">
        <f ca="1">RANDBETWEEN(DATE(2022,1,1),DATE(2022,3,31))</f>
        <v>44574</v>
      </c>
      <c r="E86" s="26">
        <v>222256</v>
      </c>
      <c r="F86" s="19">
        <v>8.69</v>
      </c>
      <c r="G86" s="19">
        <v>66</v>
      </c>
      <c r="H86" s="27">
        <v>56712</v>
      </c>
      <c r="I86" s="19">
        <v>0</v>
      </c>
      <c r="J86" s="27">
        <v>0</v>
      </c>
      <c r="K86" s="31">
        <v>0.71</v>
      </c>
    </row>
    <row r="87" spans="1:11">
      <c r="A87" s="19" t="s">
        <v>157</v>
      </c>
      <c r="B87" s="19" t="s">
        <v>6</v>
      </c>
      <c r="C87" s="19" t="s">
        <v>42</v>
      </c>
      <c r="D87" s="21">
        <f ca="1">RANDBETWEEN(DATE(2022,7,1),DATE(2022,9,30))</f>
        <v>44776</v>
      </c>
      <c r="E87" s="26">
        <v>1811854</v>
      </c>
      <c r="F87" s="19">
        <v>8.32</v>
      </c>
      <c r="G87" s="19">
        <v>25</v>
      </c>
      <c r="H87" s="27">
        <v>1755016</v>
      </c>
      <c r="I87" s="19">
        <v>0</v>
      </c>
      <c r="J87" s="27">
        <v>0</v>
      </c>
      <c r="K87" s="31">
        <v>0.73</v>
      </c>
    </row>
    <row r="88" spans="1:11">
      <c r="A88" s="19" t="s">
        <v>158</v>
      </c>
      <c r="B88" s="19" t="s">
        <v>8</v>
      </c>
      <c r="C88" s="19" t="s">
        <v>37</v>
      </c>
      <c r="D88" s="21">
        <f ca="1">RANDBETWEEN(DATE(2021,4,1),DATE(2021,6,30))</f>
        <v>44338</v>
      </c>
      <c r="E88" s="26">
        <v>691691</v>
      </c>
      <c r="F88" s="19">
        <v>8.82</v>
      </c>
      <c r="G88" s="19">
        <v>78</v>
      </c>
      <c r="H88" s="27">
        <v>479155</v>
      </c>
      <c r="I88" s="19">
        <v>0</v>
      </c>
      <c r="J88" s="27">
        <v>0</v>
      </c>
      <c r="K88" s="31">
        <v>0.72</v>
      </c>
    </row>
    <row r="89" spans="1:11">
      <c r="A89" s="19" t="s">
        <v>159</v>
      </c>
      <c r="B89" s="19" t="s">
        <v>8</v>
      </c>
      <c r="C89" s="19" t="s">
        <v>39</v>
      </c>
      <c r="D89" s="21">
        <f ca="1">RANDBETWEEN(DATE(2021,10,1),DATE(2021,12,31))</f>
        <v>44526</v>
      </c>
      <c r="E89" s="26">
        <v>1999821</v>
      </c>
      <c r="F89" s="19">
        <v>8.82</v>
      </c>
      <c r="G89" s="19">
        <v>46</v>
      </c>
      <c r="H89" s="27">
        <v>1762583</v>
      </c>
      <c r="I89" s="19">
        <v>0</v>
      </c>
      <c r="J89" s="27">
        <v>0</v>
      </c>
      <c r="K89" s="31">
        <v>0.71</v>
      </c>
    </row>
    <row r="90" spans="1:11">
      <c r="A90" s="19" t="s">
        <v>160</v>
      </c>
      <c r="B90" s="19" t="s">
        <v>6</v>
      </c>
      <c r="C90" s="19" t="s">
        <v>43</v>
      </c>
      <c r="D90" s="21">
        <f ca="1">RANDBETWEEN(DATE(2022,10,1),DATE(2022,12,31))</f>
        <v>44862</v>
      </c>
      <c r="E90" s="26">
        <v>1219909</v>
      </c>
      <c r="F90" s="19">
        <v>8.38</v>
      </c>
      <c r="G90" s="19">
        <v>43</v>
      </c>
      <c r="H90" s="27">
        <v>800113</v>
      </c>
      <c r="I90" s="19">
        <v>0</v>
      </c>
      <c r="J90" s="27">
        <v>0</v>
      </c>
      <c r="K90" s="31">
        <v>0.71</v>
      </c>
    </row>
    <row r="91" spans="1:11">
      <c r="A91" s="19" t="s">
        <v>161</v>
      </c>
      <c r="B91" s="19" t="s">
        <v>9</v>
      </c>
      <c r="C91" s="19" t="s">
        <v>34</v>
      </c>
      <c r="D91" s="21">
        <f ca="1">RANDBETWEEN(DATE(2020,7,1),DATE(2020,9,30))</f>
        <v>44097</v>
      </c>
      <c r="E91" s="26">
        <v>170376</v>
      </c>
      <c r="F91" s="28">
        <v>11.48</v>
      </c>
      <c r="G91" s="19">
        <v>53</v>
      </c>
      <c r="H91" s="27">
        <v>100528</v>
      </c>
      <c r="I91" s="19">
        <v>0</v>
      </c>
      <c r="J91" s="27">
        <v>0</v>
      </c>
      <c r="K91" s="31">
        <v>0.68</v>
      </c>
    </row>
    <row r="92" spans="1:11">
      <c r="A92" s="19" t="s">
        <v>162</v>
      </c>
      <c r="B92" s="19" t="s">
        <v>9</v>
      </c>
      <c r="C92" s="19" t="s">
        <v>46</v>
      </c>
      <c r="D92" s="21">
        <f ca="1">RANDBETWEEN(DATE(2023,7,1),DATE(2023,9,30))</f>
        <v>45160</v>
      </c>
      <c r="E92" s="26">
        <v>1477484</v>
      </c>
      <c r="F92" s="28">
        <v>10.84</v>
      </c>
      <c r="G92" s="19">
        <v>47</v>
      </c>
      <c r="H92" s="27">
        <v>307495</v>
      </c>
      <c r="I92" s="19">
        <v>0</v>
      </c>
      <c r="J92" s="27">
        <v>0</v>
      </c>
      <c r="K92" s="31">
        <v>0.76</v>
      </c>
    </row>
    <row r="93" spans="1:11">
      <c r="A93" s="19" t="s">
        <v>163</v>
      </c>
      <c r="B93" s="19" t="s">
        <v>6</v>
      </c>
      <c r="C93" s="19" t="s">
        <v>46</v>
      </c>
      <c r="D93" s="21">
        <f ca="1">RANDBETWEEN(DATE(2023,7,1),DATE(2023,9,30))</f>
        <v>45108</v>
      </c>
      <c r="E93" s="26">
        <v>1062320</v>
      </c>
      <c r="F93" s="19">
        <v>8.22</v>
      </c>
      <c r="G93" s="19">
        <v>74</v>
      </c>
      <c r="H93" s="27">
        <v>856794</v>
      </c>
      <c r="I93" s="19">
        <v>0</v>
      </c>
      <c r="J93" s="27">
        <v>0</v>
      </c>
      <c r="K93" s="31">
        <v>0.76</v>
      </c>
    </row>
    <row r="94" spans="1:11">
      <c r="A94" s="19" t="s">
        <v>164</v>
      </c>
      <c r="B94" s="19" t="s">
        <v>8</v>
      </c>
      <c r="C94" s="19" t="s">
        <v>38</v>
      </c>
      <c r="D94" s="21">
        <f ca="1">RANDBETWEEN(DATE(2021,7,1),DATE(2021,9,30))</f>
        <v>44421</v>
      </c>
      <c r="E94" s="26">
        <v>1929780</v>
      </c>
      <c r="F94" s="19">
        <v>9.25</v>
      </c>
      <c r="G94" s="19">
        <v>23</v>
      </c>
      <c r="H94" s="27">
        <v>728061</v>
      </c>
      <c r="I94" s="19">
        <v>0</v>
      </c>
      <c r="J94" s="27">
        <v>0</v>
      </c>
      <c r="K94" s="33">
        <v>0.68</v>
      </c>
    </row>
    <row r="95" spans="1:11">
      <c r="A95" s="19" t="s">
        <v>165</v>
      </c>
      <c r="B95" s="19" t="s">
        <v>9</v>
      </c>
      <c r="C95" s="19" t="s">
        <v>45</v>
      </c>
      <c r="D95" s="21">
        <f ca="1">RANDBETWEEN(DATE(2023,4,1),DATE(2023,6,30))</f>
        <v>45030</v>
      </c>
      <c r="E95" s="26">
        <v>2489220</v>
      </c>
      <c r="F95" s="28">
        <v>11.11</v>
      </c>
      <c r="G95" s="19">
        <v>82</v>
      </c>
      <c r="H95" s="27">
        <v>1182394</v>
      </c>
      <c r="I95" s="19">
        <v>0</v>
      </c>
      <c r="J95" s="27">
        <v>0</v>
      </c>
      <c r="K95" s="31">
        <v>0.73</v>
      </c>
    </row>
    <row r="96" spans="1:11">
      <c r="A96" s="19" t="s">
        <v>166</v>
      </c>
      <c r="B96" s="19" t="s">
        <v>7</v>
      </c>
      <c r="C96" s="19" t="s">
        <v>37</v>
      </c>
      <c r="D96" s="21">
        <f ca="1">RANDBETWEEN(DATE(2021,4,1),DATE(2021,6,30))</f>
        <v>44346</v>
      </c>
      <c r="E96" s="26">
        <v>1437439</v>
      </c>
      <c r="F96" s="19">
        <v>8.7</v>
      </c>
      <c r="G96" s="19">
        <v>70</v>
      </c>
      <c r="H96" s="27">
        <v>640089</v>
      </c>
      <c r="I96" s="19">
        <v>0</v>
      </c>
      <c r="J96" s="27">
        <v>0</v>
      </c>
      <c r="K96" s="31">
        <v>0.72</v>
      </c>
    </row>
    <row r="97" spans="1:11">
      <c r="A97" s="19" t="s">
        <v>167</v>
      </c>
      <c r="B97" s="19" t="s">
        <v>10</v>
      </c>
      <c r="C97" s="19" t="s">
        <v>34</v>
      </c>
      <c r="D97" s="21">
        <f ca="1">RANDBETWEEN(DATE(2020,7,1),DATE(2020,9,30))</f>
        <v>44090</v>
      </c>
      <c r="E97" s="26">
        <v>1373504</v>
      </c>
      <c r="F97" s="19">
        <v>9.74</v>
      </c>
      <c r="G97" s="19">
        <v>80</v>
      </c>
      <c r="H97" s="27">
        <v>485166</v>
      </c>
      <c r="I97" s="19">
        <v>0</v>
      </c>
      <c r="J97" s="27">
        <v>0</v>
      </c>
      <c r="K97" s="31">
        <v>0.68</v>
      </c>
    </row>
    <row r="98" spans="1:11">
      <c r="A98" s="19" t="s">
        <v>168</v>
      </c>
      <c r="B98" s="19" t="s">
        <v>9</v>
      </c>
      <c r="C98" s="19" t="s">
        <v>35</v>
      </c>
      <c r="D98" s="21">
        <f ca="1">RANDBETWEEN(DATE(2020,10,1),DATE(2020,12,31))</f>
        <v>44189</v>
      </c>
      <c r="E98" s="26">
        <v>2250486</v>
      </c>
      <c r="F98" s="28">
        <v>11.79</v>
      </c>
      <c r="G98" s="19">
        <v>24</v>
      </c>
      <c r="H98" s="27">
        <v>983456</v>
      </c>
      <c r="I98" s="19">
        <v>0</v>
      </c>
      <c r="J98" s="27">
        <v>0</v>
      </c>
      <c r="K98" s="31">
        <v>0.68</v>
      </c>
    </row>
    <row r="99" spans="1:11">
      <c r="A99" s="19" t="s">
        <v>169</v>
      </c>
      <c r="B99" s="19" t="s">
        <v>9</v>
      </c>
      <c r="C99" s="19" t="s">
        <v>37</v>
      </c>
      <c r="D99" s="21">
        <f ca="1">RANDBETWEEN(DATE(2021,4,1),DATE(2021,6,30))</f>
        <v>44345</v>
      </c>
      <c r="E99" s="26">
        <v>109342</v>
      </c>
      <c r="F99" s="28">
        <v>12.12</v>
      </c>
      <c r="G99" s="19">
        <v>28</v>
      </c>
      <c r="H99" s="27">
        <v>25849</v>
      </c>
      <c r="I99" s="19">
        <v>1</v>
      </c>
      <c r="J99" s="27">
        <v>8190</v>
      </c>
      <c r="K99" s="31">
        <v>0.72</v>
      </c>
    </row>
    <row r="100" spans="1:11">
      <c r="A100" s="19" t="s">
        <v>170</v>
      </c>
      <c r="B100" s="19" t="s">
        <v>10</v>
      </c>
      <c r="C100" s="19" t="s">
        <v>47</v>
      </c>
      <c r="D100" s="21">
        <f ca="1">RANDBETWEEN(DATE(2023,10,1),DATE(2023,12,31))</f>
        <v>45262</v>
      </c>
      <c r="E100" s="26">
        <v>2108894</v>
      </c>
      <c r="F100" s="19">
        <v>9.71</v>
      </c>
      <c r="G100" s="19">
        <v>13</v>
      </c>
      <c r="H100" s="27">
        <v>901492</v>
      </c>
      <c r="I100" s="19">
        <v>0</v>
      </c>
      <c r="J100" s="27">
        <v>0</v>
      </c>
      <c r="K100" s="32">
        <v>0.74</v>
      </c>
    </row>
    <row r="101" spans="1:11">
      <c r="A101" s="19" t="s">
        <v>171</v>
      </c>
      <c r="B101" s="19" t="s">
        <v>9</v>
      </c>
      <c r="C101" s="19" t="s">
        <v>44</v>
      </c>
      <c r="D101" s="22">
        <f ca="1">RANDBETWEEN(DATE(2023,1,1),DATE(2023,3,31))</f>
        <v>44963</v>
      </c>
      <c r="E101" s="26">
        <v>823277</v>
      </c>
      <c r="F101" s="28">
        <v>12.9</v>
      </c>
      <c r="G101" s="19">
        <v>44</v>
      </c>
      <c r="H101" s="27">
        <v>239795</v>
      </c>
      <c r="I101" s="19">
        <v>1</v>
      </c>
      <c r="J101" s="27">
        <v>95126</v>
      </c>
      <c r="K101" s="31">
        <v>0.73</v>
      </c>
    </row>
    <row r="102" spans="1:11">
      <c r="A102" s="19" t="s">
        <v>172</v>
      </c>
      <c r="B102" s="19" t="s">
        <v>7</v>
      </c>
      <c r="C102" s="19" t="s">
        <v>38</v>
      </c>
      <c r="D102" s="21">
        <f ca="1">RANDBETWEEN(DATE(2021,7,1),DATE(2021,9,30))</f>
        <v>44454</v>
      </c>
      <c r="E102" s="26">
        <v>274852</v>
      </c>
      <c r="F102" s="19">
        <v>8.3</v>
      </c>
      <c r="G102" s="19">
        <v>84</v>
      </c>
      <c r="H102" s="27">
        <v>73700</v>
      </c>
      <c r="I102" s="19">
        <v>0</v>
      </c>
      <c r="J102" s="27">
        <v>0</v>
      </c>
      <c r="K102" s="33">
        <v>0.68</v>
      </c>
    </row>
    <row r="103" spans="1:11">
      <c r="A103" s="19" t="s">
        <v>173</v>
      </c>
      <c r="B103" s="19" t="s">
        <v>7</v>
      </c>
      <c r="C103" s="19" t="s">
        <v>45</v>
      </c>
      <c r="D103" s="21">
        <f ca="1">RANDBETWEEN(DATE(2023,4,1),DATE(2023,6,30))</f>
        <v>45073</v>
      </c>
      <c r="E103" s="26">
        <v>1795560</v>
      </c>
      <c r="F103" s="19">
        <v>9.21</v>
      </c>
      <c r="G103" s="19">
        <v>40</v>
      </c>
      <c r="H103" s="27">
        <v>905505</v>
      </c>
      <c r="I103" s="19">
        <v>0</v>
      </c>
      <c r="J103" s="27">
        <v>0</v>
      </c>
      <c r="K103" s="31">
        <v>0.73</v>
      </c>
    </row>
    <row r="104" spans="1:11">
      <c r="A104" s="19" t="s">
        <v>174</v>
      </c>
      <c r="B104" s="19" t="s">
        <v>9</v>
      </c>
      <c r="C104" s="19" t="s">
        <v>48</v>
      </c>
      <c r="D104" s="21">
        <f ca="1">RANDBETWEEN(DATE(2024,1,1),DATE(2024,3,31))</f>
        <v>45370</v>
      </c>
      <c r="E104" s="26">
        <v>1848642</v>
      </c>
      <c r="F104" s="28">
        <v>10.92</v>
      </c>
      <c r="G104" s="19">
        <v>19</v>
      </c>
      <c r="H104" s="27">
        <v>1789646</v>
      </c>
      <c r="I104" s="19">
        <v>1</v>
      </c>
      <c r="J104" s="27">
        <v>903940</v>
      </c>
      <c r="K104" s="31">
        <v>0.75</v>
      </c>
    </row>
    <row r="105" spans="1:11">
      <c r="A105" s="19" t="s">
        <v>175</v>
      </c>
      <c r="B105" s="19" t="s">
        <v>10</v>
      </c>
      <c r="C105" s="19" t="s">
        <v>36</v>
      </c>
      <c r="D105" s="21">
        <f ca="1">RANDBETWEEN(DATE(2021,1,1),DATE(2021,3,31))</f>
        <v>44206</v>
      </c>
      <c r="E105" s="26">
        <v>1160006</v>
      </c>
      <c r="F105" s="19">
        <v>10.82</v>
      </c>
      <c r="G105" s="19">
        <v>32</v>
      </c>
      <c r="H105" s="27">
        <v>393301</v>
      </c>
      <c r="I105" s="19">
        <v>1</v>
      </c>
      <c r="J105" s="27">
        <v>79081</v>
      </c>
      <c r="K105" s="30">
        <v>0.744</v>
      </c>
    </row>
    <row r="106" spans="1:11">
      <c r="A106" s="19" t="s">
        <v>176</v>
      </c>
      <c r="B106" s="19" t="s">
        <v>8</v>
      </c>
      <c r="C106" s="19" t="s">
        <v>38</v>
      </c>
      <c r="D106" s="21">
        <f ca="1">RANDBETWEEN(DATE(2021,7,1),DATE(2021,9,30))</f>
        <v>44459</v>
      </c>
      <c r="E106" s="26">
        <v>2020955</v>
      </c>
      <c r="F106" s="19">
        <v>8.65</v>
      </c>
      <c r="G106" s="19">
        <v>41</v>
      </c>
      <c r="H106" s="27">
        <v>1547171</v>
      </c>
      <c r="I106" s="19">
        <v>0</v>
      </c>
      <c r="J106" s="27">
        <v>0</v>
      </c>
      <c r="K106" s="33">
        <v>0.68</v>
      </c>
    </row>
    <row r="107" spans="1:11">
      <c r="A107" s="19" t="s">
        <v>177</v>
      </c>
      <c r="B107" s="19" t="s">
        <v>8</v>
      </c>
      <c r="C107" s="19" t="s">
        <v>47</v>
      </c>
      <c r="D107" s="21">
        <f ca="1">RANDBETWEEN(DATE(2023,10,1),DATE(2023,12,31))</f>
        <v>45229</v>
      </c>
      <c r="E107" s="26">
        <v>348549</v>
      </c>
      <c r="F107" s="19">
        <v>9.12</v>
      </c>
      <c r="G107" s="19">
        <v>45</v>
      </c>
      <c r="H107" s="27">
        <v>254073</v>
      </c>
      <c r="I107" s="19">
        <v>0</v>
      </c>
      <c r="J107" s="27">
        <v>0</v>
      </c>
      <c r="K107" s="32">
        <v>0.74</v>
      </c>
    </row>
    <row r="108" spans="1:11">
      <c r="A108" s="19" t="s">
        <v>178</v>
      </c>
      <c r="B108" s="19" t="s">
        <v>8</v>
      </c>
      <c r="C108" s="19" t="s">
        <v>37</v>
      </c>
      <c r="D108" s="21">
        <f ca="1">RANDBETWEEN(DATE(2021,4,1),DATE(2021,6,30))</f>
        <v>44358</v>
      </c>
      <c r="E108" s="26">
        <v>531406</v>
      </c>
      <c r="F108" s="19">
        <v>8.95</v>
      </c>
      <c r="G108" s="19">
        <v>31</v>
      </c>
      <c r="H108" s="27">
        <v>457702</v>
      </c>
      <c r="I108" s="19">
        <v>0</v>
      </c>
      <c r="J108" s="27">
        <v>0</v>
      </c>
      <c r="K108" s="31">
        <v>0.72</v>
      </c>
    </row>
    <row r="109" spans="1:11">
      <c r="A109" s="19" t="s">
        <v>179</v>
      </c>
      <c r="B109" s="19" t="s">
        <v>10</v>
      </c>
      <c r="C109" s="19" t="s">
        <v>38</v>
      </c>
      <c r="D109" s="21">
        <f ca="1">RANDBETWEEN(DATE(2021,7,1),DATE(2021,9,30))</f>
        <v>44455</v>
      </c>
      <c r="E109" s="26">
        <v>1340217</v>
      </c>
      <c r="F109" s="19">
        <v>10.69</v>
      </c>
      <c r="G109" s="19">
        <v>84</v>
      </c>
      <c r="H109" s="27">
        <v>738892</v>
      </c>
      <c r="I109" s="19">
        <v>0</v>
      </c>
      <c r="J109" s="27">
        <v>0</v>
      </c>
      <c r="K109" s="33">
        <v>0.68</v>
      </c>
    </row>
    <row r="110" spans="1:11">
      <c r="A110" s="19" t="s">
        <v>180</v>
      </c>
      <c r="B110" s="19" t="s">
        <v>9</v>
      </c>
      <c r="C110" s="19" t="s">
        <v>46</v>
      </c>
      <c r="D110" s="21">
        <f ca="1">RANDBETWEEN(DATE(2023,7,1),DATE(2023,9,30))</f>
        <v>45118</v>
      </c>
      <c r="E110" s="26">
        <v>1738243</v>
      </c>
      <c r="F110" s="28">
        <v>12.83</v>
      </c>
      <c r="G110" s="19">
        <v>76</v>
      </c>
      <c r="H110" s="27">
        <v>1034317</v>
      </c>
      <c r="I110" s="19">
        <v>1</v>
      </c>
      <c r="J110" s="27">
        <v>223354</v>
      </c>
      <c r="K110" s="31">
        <v>0.76</v>
      </c>
    </row>
    <row r="111" spans="1:11">
      <c r="A111" s="19" t="s">
        <v>181</v>
      </c>
      <c r="B111" s="19" t="s">
        <v>8</v>
      </c>
      <c r="C111" s="19" t="s">
        <v>31</v>
      </c>
      <c r="D111" s="21">
        <f ca="1">RANDBETWEEN(DATE(2019,10,1),DATE(2019,12,31))</f>
        <v>43830</v>
      </c>
      <c r="E111" s="26">
        <v>1401914</v>
      </c>
      <c r="F111" s="19">
        <v>9.02</v>
      </c>
      <c r="G111" s="19">
        <v>15</v>
      </c>
      <c r="H111" s="27">
        <v>537128</v>
      </c>
      <c r="I111" s="19">
        <v>0</v>
      </c>
      <c r="J111" s="27">
        <v>0</v>
      </c>
      <c r="K111" s="31">
        <v>0.7</v>
      </c>
    </row>
    <row r="112" spans="1:11">
      <c r="A112" s="19" t="s">
        <v>182</v>
      </c>
      <c r="B112" s="19" t="s">
        <v>7</v>
      </c>
      <c r="C112" s="19" t="s">
        <v>47</v>
      </c>
      <c r="D112" s="21">
        <f ca="1">RANDBETWEEN(DATE(2023,10,1),DATE(2023,12,31))</f>
        <v>45239</v>
      </c>
      <c r="E112" s="26">
        <v>137012</v>
      </c>
      <c r="F112" s="19">
        <v>10</v>
      </c>
      <c r="G112" s="19">
        <v>46</v>
      </c>
      <c r="H112" s="27">
        <v>31812</v>
      </c>
      <c r="I112" s="19">
        <v>0</v>
      </c>
      <c r="J112" s="27">
        <v>0</v>
      </c>
      <c r="K112" s="32">
        <v>0.74</v>
      </c>
    </row>
    <row r="113" spans="1:11">
      <c r="A113" s="19" t="s">
        <v>183</v>
      </c>
      <c r="B113" s="19" t="s">
        <v>8</v>
      </c>
      <c r="C113" s="19" t="s">
        <v>34</v>
      </c>
      <c r="D113" s="21">
        <f ca="1">RANDBETWEEN(DATE(2020,7,1),DATE(2020,9,30))</f>
        <v>44042</v>
      </c>
      <c r="E113" s="26">
        <v>2226692</v>
      </c>
      <c r="F113" s="19">
        <v>9.08</v>
      </c>
      <c r="G113" s="19">
        <v>47</v>
      </c>
      <c r="H113" s="27">
        <v>2221250</v>
      </c>
      <c r="I113" s="19">
        <v>0</v>
      </c>
      <c r="J113" s="27">
        <v>0</v>
      </c>
      <c r="K113" s="31">
        <v>0.68</v>
      </c>
    </row>
    <row r="114" spans="1:11">
      <c r="A114" s="19" t="s">
        <v>184</v>
      </c>
      <c r="B114" s="19" t="s">
        <v>8</v>
      </c>
      <c r="C114" s="19" t="s">
        <v>39</v>
      </c>
      <c r="D114" s="21">
        <f ca="1">RANDBETWEEN(DATE(2021,10,1),DATE(2021,12,31))</f>
        <v>44523</v>
      </c>
      <c r="E114" s="26">
        <v>432698</v>
      </c>
      <c r="F114" s="19">
        <v>8.86</v>
      </c>
      <c r="G114" s="19">
        <v>64</v>
      </c>
      <c r="H114" s="27">
        <v>197676</v>
      </c>
      <c r="I114" s="19">
        <v>0</v>
      </c>
      <c r="J114" s="27">
        <v>0</v>
      </c>
      <c r="K114" s="31">
        <v>0.71</v>
      </c>
    </row>
    <row r="115" spans="1:11">
      <c r="A115" s="19" t="s">
        <v>185</v>
      </c>
      <c r="B115" s="19" t="s">
        <v>10</v>
      </c>
      <c r="C115" s="19" t="s">
        <v>38</v>
      </c>
      <c r="D115" s="21">
        <f ca="1">RANDBETWEEN(DATE(2021,7,1),DATE(2021,9,30))</f>
        <v>44437</v>
      </c>
      <c r="E115" s="26">
        <v>1433296</v>
      </c>
      <c r="F115" s="19">
        <v>10.32</v>
      </c>
      <c r="G115" s="19">
        <v>75</v>
      </c>
      <c r="H115" s="27">
        <v>1046401</v>
      </c>
      <c r="I115" s="19">
        <v>0</v>
      </c>
      <c r="J115" s="27">
        <v>0</v>
      </c>
      <c r="K115" s="33">
        <v>0.68</v>
      </c>
    </row>
    <row r="116" spans="1:11">
      <c r="A116" s="19" t="s">
        <v>186</v>
      </c>
      <c r="B116" s="19" t="s">
        <v>7</v>
      </c>
      <c r="C116" s="19" t="s">
        <v>37</v>
      </c>
      <c r="D116" s="21">
        <f ca="1">RANDBETWEEN(DATE(2021,4,1),DATE(2021,6,30))</f>
        <v>44367</v>
      </c>
      <c r="E116" s="26">
        <v>203918</v>
      </c>
      <c r="F116" s="19">
        <v>8.91</v>
      </c>
      <c r="G116" s="19">
        <v>52</v>
      </c>
      <c r="H116" s="27">
        <v>93520</v>
      </c>
      <c r="I116" s="19">
        <v>0</v>
      </c>
      <c r="J116" s="27">
        <v>0</v>
      </c>
      <c r="K116" s="31">
        <v>0.72</v>
      </c>
    </row>
    <row r="117" spans="1:11">
      <c r="A117" s="19" t="s">
        <v>187</v>
      </c>
      <c r="B117" s="19" t="s">
        <v>8</v>
      </c>
      <c r="C117" s="19" t="s">
        <v>46</v>
      </c>
      <c r="D117" s="21">
        <f ca="1">RANDBETWEEN(DATE(2023,7,1),DATE(2023,9,30))</f>
        <v>45160</v>
      </c>
      <c r="E117" s="26">
        <v>2208373</v>
      </c>
      <c r="F117" s="19">
        <v>9.29</v>
      </c>
      <c r="G117" s="19">
        <v>12</v>
      </c>
      <c r="H117" s="27">
        <v>1257847</v>
      </c>
      <c r="I117" s="19">
        <v>0</v>
      </c>
      <c r="J117" s="27">
        <v>0</v>
      </c>
      <c r="K117" s="31">
        <v>0.76</v>
      </c>
    </row>
    <row r="118" spans="1:11">
      <c r="A118" s="19" t="s">
        <v>188</v>
      </c>
      <c r="B118" s="19" t="s">
        <v>7</v>
      </c>
      <c r="C118" s="19" t="s">
        <v>43</v>
      </c>
      <c r="D118" s="21">
        <f ca="1">RANDBETWEEN(DATE(2022,10,1),DATE(2022,12,31))</f>
        <v>44878</v>
      </c>
      <c r="E118" s="26">
        <v>1567412</v>
      </c>
      <c r="F118" s="19">
        <v>9.25</v>
      </c>
      <c r="G118" s="19">
        <v>75</v>
      </c>
      <c r="H118" s="27">
        <v>1266457</v>
      </c>
      <c r="I118" s="19">
        <v>0</v>
      </c>
      <c r="J118" s="27">
        <v>0</v>
      </c>
      <c r="K118" s="31">
        <v>0.71</v>
      </c>
    </row>
    <row r="119" spans="1:11">
      <c r="A119" s="19" t="s">
        <v>189</v>
      </c>
      <c r="B119" s="19" t="s">
        <v>7</v>
      </c>
      <c r="C119" s="19" t="s">
        <v>44</v>
      </c>
      <c r="D119" s="21">
        <f ca="1">RANDBETWEEN(DATE(2023,1,1),DATE(2023,3,31))</f>
        <v>44987</v>
      </c>
      <c r="E119" s="26">
        <v>599509</v>
      </c>
      <c r="F119" s="19">
        <v>9.86</v>
      </c>
      <c r="G119" s="19">
        <v>68</v>
      </c>
      <c r="H119" s="27">
        <v>178138</v>
      </c>
      <c r="I119" s="19">
        <v>0</v>
      </c>
      <c r="J119" s="27">
        <v>0</v>
      </c>
      <c r="K119" s="31">
        <v>0.73</v>
      </c>
    </row>
    <row r="120" spans="1:11">
      <c r="A120" s="19" t="s">
        <v>190</v>
      </c>
      <c r="B120" s="19" t="s">
        <v>7</v>
      </c>
      <c r="C120" s="19" t="s">
        <v>46</v>
      </c>
      <c r="D120" s="21">
        <f ca="1">RANDBETWEEN(DATE(2023,7,1),DATE(2023,9,30))</f>
        <v>45142</v>
      </c>
      <c r="E120" s="26">
        <v>1053686</v>
      </c>
      <c r="F120" s="19">
        <v>9.42</v>
      </c>
      <c r="G120" s="19">
        <v>51</v>
      </c>
      <c r="H120" s="27">
        <v>222264</v>
      </c>
      <c r="I120" s="19">
        <v>0</v>
      </c>
      <c r="J120" s="27">
        <v>0</v>
      </c>
      <c r="K120" s="31">
        <v>0.76</v>
      </c>
    </row>
    <row r="121" spans="1:11">
      <c r="A121" s="19" t="s">
        <v>191</v>
      </c>
      <c r="B121" s="19" t="s">
        <v>10</v>
      </c>
      <c r="C121" s="19" t="s">
        <v>33</v>
      </c>
      <c r="D121" s="21">
        <f ca="1">RANDBETWEEN(DATE(2020,4,1),DATE(2020,6,30))</f>
        <v>43952</v>
      </c>
      <c r="E121" s="26">
        <v>525890</v>
      </c>
      <c r="F121" s="19">
        <v>10.42</v>
      </c>
      <c r="G121" s="19">
        <v>27</v>
      </c>
      <c r="H121" s="27">
        <v>314850</v>
      </c>
      <c r="I121" s="19">
        <v>0</v>
      </c>
      <c r="J121" s="27">
        <v>0</v>
      </c>
      <c r="K121" s="31">
        <v>0.72</v>
      </c>
    </row>
    <row r="122" spans="1:11">
      <c r="A122" s="19" t="s">
        <v>192</v>
      </c>
      <c r="B122" s="19" t="s">
        <v>7</v>
      </c>
      <c r="C122" s="19" t="s">
        <v>44</v>
      </c>
      <c r="D122" s="21">
        <f ca="1">RANDBETWEEN(DATE(2023,1,1),DATE(2023,3,31))</f>
        <v>44942</v>
      </c>
      <c r="E122" s="26">
        <v>1196827</v>
      </c>
      <c r="F122" s="19">
        <v>8.83</v>
      </c>
      <c r="G122" s="19">
        <v>73</v>
      </c>
      <c r="H122" s="27">
        <v>472728</v>
      </c>
      <c r="I122" s="19">
        <v>0</v>
      </c>
      <c r="J122" s="27">
        <v>0</v>
      </c>
      <c r="K122" s="31">
        <v>0.73</v>
      </c>
    </row>
    <row r="123" spans="1:11">
      <c r="A123" s="19" t="s">
        <v>193</v>
      </c>
      <c r="B123" s="19" t="s">
        <v>8</v>
      </c>
      <c r="C123" s="19" t="s">
        <v>33</v>
      </c>
      <c r="D123" s="21">
        <f ca="1">RANDBETWEEN(DATE(2020,4,1),DATE(2020,6,30))</f>
        <v>43927</v>
      </c>
      <c r="E123" s="26">
        <v>849477</v>
      </c>
      <c r="F123" s="19">
        <v>9.41</v>
      </c>
      <c r="G123" s="19">
        <v>77</v>
      </c>
      <c r="H123" s="27">
        <v>757072</v>
      </c>
      <c r="I123" s="19">
        <v>0</v>
      </c>
      <c r="J123" s="27">
        <v>0</v>
      </c>
      <c r="K123" s="31">
        <v>0.72</v>
      </c>
    </row>
    <row r="124" spans="1:11">
      <c r="A124" s="19" t="s">
        <v>194</v>
      </c>
      <c r="B124" s="19" t="s">
        <v>8</v>
      </c>
      <c r="C124" s="19" t="s">
        <v>37</v>
      </c>
      <c r="D124" s="21">
        <f ca="1">RANDBETWEEN(DATE(2021,4,1),DATE(2021,6,30))</f>
        <v>44323</v>
      </c>
      <c r="E124" s="26">
        <v>1475540</v>
      </c>
      <c r="F124" s="19">
        <v>9.42</v>
      </c>
      <c r="G124" s="19">
        <v>76</v>
      </c>
      <c r="H124" s="27">
        <v>1263710</v>
      </c>
      <c r="I124" s="19">
        <v>0</v>
      </c>
      <c r="J124" s="27">
        <v>0</v>
      </c>
      <c r="K124" s="31">
        <v>0.72</v>
      </c>
    </row>
    <row r="125" spans="1:11">
      <c r="A125" s="19" t="s">
        <v>195</v>
      </c>
      <c r="B125" s="19" t="s">
        <v>9</v>
      </c>
      <c r="C125" s="19" t="s">
        <v>33</v>
      </c>
      <c r="D125" s="21">
        <f ca="1">RANDBETWEEN(DATE(2020,4,1),DATE(2020,6,30))</f>
        <v>43947</v>
      </c>
      <c r="E125" s="26">
        <v>2482374</v>
      </c>
      <c r="F125" s="28">
        <v>13</v>
      </c>
      <c r="G125" s="19">
        <v>74</v>
      </c>
      <c r="H125" s="27">
        <v>1383272</v>
      </c>
      <c r="I125" s="19">
        <v>0</v>
      </c>
      <c r="J125" s="27">
        <v>0</v>
      </c>
      <c r="K125" s="31">
        <v>0.72</v>
      </c>
    </row>
    <row r="126" spans="1:11">
      <c r="A126" s="19" t="s">
        <v>196</v>
      </c>
      <c r="B126" s="19" t="s">
        <v>9</v>
      </c>
      <c r="C126" s="19" t="s">
        <v>43</v>
      </c>
      <c r="D126" s="21">
        <f ca="1">RANDBETWEEN(DATE(2022,10,1),DATE(2022,12,31))</f>
        <v>44852</v>
      </c>
      <c r="E126" s="26">
        <v>2364909</v>
      </c>
      <c r="F126" s="28">
        <v>12.29</v>
      </c>
      <c r="G126" s="19">
        <v>60</v>
      </c>
      <c r="H126" s="27">
        <v>2237870</v>
      </c>
      <c r="I126" s="19">
        <v>0</v>
      </c>
      <c r="J126" s="27">
        <v>0</v>
      </c>
      <c r="K126" s="31">
        <v>0.71</v>
      </c>
    </row>
    <row r="127" spans="1:11">
      <c r="A127" s="19" t="s">
        <v>197</v>
      </c>
      <c r="B127" s="19" t="s">
        <v>10</v>
      </c>
      <c r="C127" s="19" t="s">
        <v>30</v>
      </c>
      <c r="D127" s="21">
        <f ca="1">RANDBETWEEN(DATE(2019,7,1),DATE(2019,9,30))</f>
        <v>43671</v>
      </c>
      <c r="E127" s="26">
        <v>2448293</v>
      </c>
      <c r="F127" s="19">
        <v>10.27</v>
      </c>
      <c r="G127" s="19">
        <v>64</v>
      </c>
      <c r="H127" s="27">
        <v>1112849</v>
      </c>
      <c r="I127" s="19">
        <v>0</v>
      </c>
      <c r="J127" s="27">
        <v>0</v>
      </c>
      <c r="K127" s="31">
        <v>0.71</v>
      </c>
    </row>
    <row r="128" spans="1:11">
      <c r="A128" s="19" t="s">
        <v>198</v>
      </c>
      <c r="B128" s="19" t="s">
        <v>8</v>
      </c>
      <c r="C128" s="19" t="s">
        <v>44</v>
      </c>
      <c r="D128" s="21">
        <f ca="1">RANDBETWEEN(DATE(2023,1,1),DATE(2023,3,31))</f>
        <v>44984</v>
      </c>
      <c r="E128" s="26">
        <v>1669331</v>
      </c>
      <c r="F128" s="19">
        <v>9.49</v>
      </c>
      <c r="G128" s="19">
        <v>31</v>
      </c>
      <c r="H128" s="27">
        <v>1622355</v>
      </c>
      <c r="I128" s="19">
        <v>0</v>
      </c>
      <c r="J128" s="27">
        <v>0</v>
      </c>
      <c r="K128" s="31">
        <v>0.73</v>
      </c>
    </row>
    <row r="129" spans="1:11">
      <c r="A129" s="19" t="s">
        <v>199</v>
      </c>
      <c r="B129" s="19" t="s">
        <v>7</v>
      </c>
      <c r="C129" s="19" t="s">
        <v>32</v>
      </c>
      <c r="D129" s="21">
        <f ca="1">RANDBETWEEN(DATE(2020,1,1),DATE(2020,3,31))</f>
        <v>43850</v>
      </c>
      <c r="E129" s="26">
        <v>1442486</v>
      </c>
      <c r="F129" s="19">
        <v>9.74</v>
      </c>
      <c r="G129" s="19">
        <v>68</v>
      </c>
      <c r="H129" s="27">
        <v>895438</v>
      </c>
      <c r="I129" s="19">
        <v>0</v>
      </c>
      <c r="J129" s="27">
        <v>0</v>
      </c>
      <c r="K129" s="31">
        <v>0.68</v>
      </c>
    </row>
    <row r="130" spans="1:11">
      <c r="A130" s="19" t="s">
        <v>200</v>
      </c>
      <c r="B130" s="19" t="s">
        <v>10</v>
      </c>
      <c r="C130" s="19" t="s">
        <v>31</v>
      </c>
      <c r="D130" s="21">
        <f ca="1">RANDBETWEEN(DATE(2019,10,1),DATE(2019,12,31))</f>
        <v>43765</v>
      </c>
      <c r="E130" s="26">
        <v>1769574</v>
      </c>
      <c r="F130" s="19">
        <v>11.24</v>
      </c>
      <c r="G130" s="19">
        <v>31</v>
      </c>
      <c r="H130" s="27">
        <v>1018553</v>
      </c>
      <c r="I130" s="19">
        <v>0</v>
      </c>
      <c r="J130" s="27">
        <v>0</v>
      </c>
      <c r="K130" s="31">
        <v>0.7</v>
      </c>
    </row>
    <row r="131" spans="1:11">
      <c r="A131" s="19" t="s">
        <v>201</v>
      </c>
      <c r="B131" s="19" t="s">
        <v>9</v>
      </c>
      <c r="C131" s="19" t="s">
        <v>46</v>
      </c>
      <c r="D131" s="21">
        <f ca="1">RANDBETWEEN(DATE(2023,7,1),DATE(2023,9,30))</f>
        <v>45142</v>
      </c>
      <c r="E131" s="26">
        <v>1717165</v>
      </c>
      <c r="F131" s="28">
        <v>11.95</v>
      </c>
      <c r="G131" s="19">
        <v>54</v>
      </c>
      <c r="H131" s="27">
        <v>865464</v>
      </c>
      <c r="I131" s="19">
        <v>0</v>
      </c>
      <c r="J131" s="27">
        <v>0</v>
      </c>
      <c r="K131" s="31">
        <v>0.76</v>
      </c>
    </row>
    <row r="132" spans="1:11">
      <c r="A132" s="19" t="s">
        <v>202</v>
      </c>
      <c r="B132" s="19" t="s">
        <v>8</v>
      </c>
      <c r="C132" s="19" t="s">
        <v>36</v>
      </c>
      <c r="D132" s="21">
        <f ca="1">RANDBETWEEN(DATE(2021,1,1),DATE(2021,3,31))</f>
        <v>44268</v>
      </c>
      <c r="E132" s="26">
        <v>2319185</v>
      </c>
      <c r="F132" s="19">
        <v>8.34</v>
      </c>
      <c r="G132" s="19">
        <v>20</v>
      </c>
      <c r="H132" s="27">
        <v>1634860</v>
      </c>
      <c r="I132" s="19">
        <v>0</v>
      </c>
      <c r="J132" s="27">
        <v>0</v>
      </c>
      <c r="K132" s="30">
        <v>0.744</v>
      </c>
    </row>
    <row r="133" spans="1:11">
      <c r="A133" s="19" t="s">
        <v>203</v>
      </c>
      <c r="B133" s="19" t="s">
        <v>10</v>
      </c>
      <c r="C133" s="19" t="s">
        <v>32</v>
      </c>
      <c r="D133" s="21">
        <f ca="1">RANDBETWEEN(DATE(2020,1,1),DATE(2020,3,31))</f>
        <v>43844</v>
      </c>
      <c r="E133" s="26">
        <v>429078</v>
      </c>
      <c r="F133" s="19">
        <v>10.37</v>
      </c>
      <c r="G133" s="19">
        <v>24</v>
      </c>
      <c r="H133" s="27">
        <v>238113</v>
      </c>
      <c r="I133" s="19">
        <v>0</v>
      </c>
      <c r="J133" s="27">
        <v>0</v>
      </c>
      <c r="K133" s="31">
        <v>0.68</v>
      </c>
    </row>
    <row r="134" spans="1:11">
      <c r="A134" s="19" t="s">
        <v>204</v>
      </c>
      <c r="B134" s="19" t="s">
        <v>6</v>
      </c>
      <c r="C134" s="19" t="s">
        <v>38</v>
      </c>
      <c r="D134" s="21">
        <f ca="1">RANDBETWEEN(DATE(2021,7,1),DATE(2021,9,30))</f>
        <v>44451</v>
      </c>
      <c r="E134" s="26">
        <v>242900</v>
      </c>
      <c r="F134" s="19">
        <v>7.82</v>
      </c>
      <c r="G134" s="19">
        <v>19</v>
      </c>
      <c r="H134" s="27">
        <v>118236</v>
      </c>
      <c r="I134" s="19">
        <v>0</v>
      </c>
      <c r="J134" s="27">
        <v>0</v>
      </c>
      <c r="K134" s="33">
        <v>0.68</v>
      </c>
    </row>
    <row r="135" spans="1:11">
      <c r="A135" s="19" t="s">
        <v>205</v>
      </c>
      <c r="B135" s="19" t="s">
        <v>10</v>
      </c>
      <c r="C135" s="19" t="s">
        <v>34</v>
      </c>
      <c r="D135" s="21">
        <f ca="1">RANDBETWEEN(DATE(2020,7,1),DATE(2020,9,30))</f>
        <v>44084</v>
      </c>
      <c r="E135" s="26">
        <v>2277873</v>
      </c>
      <c r="F135" s="19">
        <v>10.32</v>
      </c>
      <c r="G135" s="19">
        <v>35</v>
      </c>
      <c r="H135" s="27">
        <v>774603</v>
      </c>
      <c r="I135" s="19">
        <v>0</v>
      </c>
      <c r="J135" s="27">
        <v>0</v>
      </c>
      <c r="K135" s="31">
        <v>0.68</v>
      </c>
    </row>
    <row r="136" spans="1:11">
      <c r="A136" s="19" t="s">
        <v>206</v>
      </c>
      <c r="B136" s="19" t="s">
        <v>8</v>
      </c>
      <c r="C136" s="19" t="s">
        <v>36</v>
      </c>
      <c r="D136" s="21">
        <f ca="1">RANDBETWEEN(DATE(2021,1,1),DATE(2021,3,31))</f>
        <v>44280</v>
      </c>
      <c r="E136" s="26">
        <v>1060113</v>
      </c>
      <c r="F136" s="19">
        <v>8.9</v>
      </c>
      <c r="G136" s="19">
        <v>30</v>
      </c>
      <c r="H136" s="27">
        <v>603119</v>
      </c>
      <c r="I136" s="19">
        <v>0</v>
      </c>
      <c r="J136" s="27">
        <v>0</v>
      </c>
      <c r="K136" s="30">
        <v>0.744</v>
      </c>
    </row>
    <row r="137" spans="1:11">
      <c r="A137" s="19" t="s">
        <v>207</v>
      </c>
      <c r="B137" s="19" t="s">
        <v>9</v>
      </c>
      <c r="C137" s="19" t="s">
        <v>38</v>
      </c>
      <c r="D137" s="21">
        <f ca="1">RANDBETWEEN(DATE(2021,7,1),DATE(2021,9,30))</f>
        <v>44419</v>
      </c>
      <c r="E137" s="26">
        <v>89415</v>
      </c>
      <c r="F137" s="28">
        <v>12.7</v>
      </c>
      <c r="G137" s="19">
        <v>71</v>
      </c>
      <c r="H137" s="27">
        <v>66353</v>
      </c>
      <c r="I137" s="19">
        <v>0</v>
      </c>
      <c r="J137" s="27">
        <v>0</v>
      </c>
      <c r="K137" s="33">
        <v>0.68</v>
      </c>
    </row>
    <row r="138" spans="1:11">
      <c r="A138" s="19" t="s">
        <v>208</v>
      </c>
      <c r="B138" s="19" t="s">
        <v>8</v>
      </c>
      <c r="C138" s="19" t="s">
        <v>42</v>
      </c>
      <c r="D138" s="21">
        <f ca="1">RANDBETWEEN(DATE(2022,7,1),DATE(2022,9,30))</f>
        <v>44824</v>
      </c>
      <c r="E138" s="26">
        <v>1499407</v>
      </c>
      <c r="F138" s="19">
        <v>9.49</v>
      </c>
      <c r="G138" s="19">
        <v>50</v>
      </c>
      <c r="H138" s="27">
        <v>1127930</v>
      </c>
      <c r="I138" s="19">
        <v>0</v>
      </c>
      <c r="J138" s="27">
        <v>0</v>
      </c>
      <c r="K138" s="31">
        <v>0.73</v>
      </c>
    </row>
    <row r="139" spans="1:11">
      <c r="A139" s="19" t="s">
        <v>209</v>
      </c>
      <c r="B139" s="19" t="s">
        <v>9</v>
      </c>
      <c r="C139" s="19" t="s">
        <v>32</v>
      </c>
      <c r="D139" s="21">
        <f ca="1">RANDBETWEEN(DATE(2020,1,1),DATE(2020,3,31))</f>
        <v>43914</v>
      </c>
      <c r="E139" s="26">
        <v>885576</v>
      </c>
      <c r="F139" s="28">
        <v>13</v>
      </c>
      <c r="G139" s="19">
        <v>73</v>
      </c>
      <c r="H139" s="27">
        <v>345166</v>
      </c>
      <c r="I139" s="19">
        <v>0</v>
      </c>
      <c r="J139" s="27">
        <v>0</v>
      </c>
      <c r="K139" s="31">
        <v>0.68</v>
      </c>
    </row>
    <row r="140" spans="1:11">
      <c r="A140" s="19" t="s">
        <v>210</v>
      </c>
      <c r="B140" s="19" t="s">
        <v>7</v>
      </c>
      <c r="C140" s="19" t="s">
        <v>29</v>
      </c>
      <c r="D140" s="21">
        <f ca="1">RANDBETWEEN(DATE(2019,4,1),DATE(2019,6,30))</f>
        <v>43585</v>
      </c>
      <c r="E140" s="26">
        <v>1290978</v>
      </c>
      <c r="F140" s="19">
        <v>9.99</v>
      </c>
      <c r="G140" s="19">
        <v>49</v>
      </c>
      <c r="H140" s="27">
        <v>1268199</v>
      </c>
      <c r="I140" s="19">
        <v>0</v>
      </c>
      <c r="J140" s="27">
        <v>0</v>
      </c>
      <c r="K140" s="31">
        <v>0.71</v>
      </c>
    </row>
    <row r="141" spans="1:11">
      <c r="A141" s="19" t="s">
        <v>211</v>
      </c>
      <c r="B141" s="19" t="s">
        <v>9</v>
      </c>
      <c r="C141" s="19" t="s">
        <v>48</v>
      </c>
      <c r="D141" s="21">
        <f ca="1">RANDBETWEEN(DATE(2024,1,1),DATE(2024,3,31))</f>
        <v>45358</v>
      </c>
      <c r="E141" s="26">
        <v>83965</v>
      </c>
      <c r="F141" s="28">
        <v>11.7</v>
      </c>
      <c r="G141" s="19">
        <v>18</v>
      </c>
      <c r="H141" s="27">
        <v>66847</v>
      </c>
      <c r="I141" s="19">
        <v>0</v>
      </c>
      <c r="J141" s="27">
        <v>0</v>
      </c>
      <c r="K141" s="31">
        <v>0.75</v>
      </c>
    </row>
    <row r="142" spans="1:11">
      <c r="A142" s="19" t="s">
        <v>212</v>
      </c>
      <c r="B142" s="19" t="s">
        <v>9</v>
      </c>
      <c r="C142" s="19" t="s">
        <v>36</v>
      </c>
      <c r="D142" s="21">
        <f ca="1">RANDBETWEEN(DATE(2021,1,1),DATE(2021,3,31))</f>
        <v>44227</v>
      </c>
      <c r="E142" s="26">
        <v>1015186</v>
      </c>
      <c r="F142" s="28">
        <v>11.82</v>
      </c>
      <c r="G142" s="19">
        <v>57</v>
      </c>
      <c r="H142" s="27">
        <v>720065</v>
      </c>
      <c r="I142" s="19">
        <v>0</v>
      </c>
      <c r="J142" s="27">
        <v>0</v>
      </c>
      <c r="K142" s="30">
        <v>0.744</v>
      </c>
    </row>
    <row r="143" spans="1:11">
      <c r="A143" s="19" t="s">
        <v>213</v>
      </c>
      <c r="B143" s="19" t="s">
        <v>10</v>
      </c>
      <c r="C143" s="19" t="s">
        <v>38</v>
      </c>
      <c r="D143" s="21">
        <f ca="1">RANDBETWEEN(DATE(2021,7,1),DATE(2021,9,30))</f>
        <v>44393</v>
      </c>
      <c r="E143" s="26">
        <v>457535</v>
      </c>
      <c r="F143" s="19">
        <v>11.31</v>
      </c>
      <c r="G143" s="19">
        <v>17</v>
      </c>
      <c r="H143" s="27">
        <v>380160</v>
      </c>
      <c r="I143" s="19">
        <v>1</v>
      </c>
      <c r="J143" s="27">
        <v>131514</v>
      </c>
      <c r="K143" s="33">
        <v>0.68</v>
      </c>
    </row>
    <row r="144" spans="1:11">
      <c r="A144" s="19" t="s">
        <v>214</v>
      </c>
      <c r="B144" s="19" t="s">
        <v>10</v>
      </c>
      <c r="C144" s="19" t="s">
        <v>42</v>
      </c>
      <c r="D144" s="21">
        <f ca="1">RANDBETWEEN(DATE(2022,7,1),DATE(2022,9,30))</f>
        <v>44794</v>
      </c>
      <c r="E144" s="26">
        <v>428046</v>
      </c>
      <c r="F144" s="19">
        <v>11.32</v>
      </c>
      <c r="G144" s="19">
        <v>53</v>
      </c>
      <c r="H144" s="27">
        <v>145754</v>
      </c>
      <c r="I144" s="19">
        <v>0</v>
      </c>
      <c r="J144" s="27">
        <v>0</v>
      </c>
      <c r="K144" s="31">
        <v>0.73</v>
      </c>
    </row>
    <row r="145" spans="1:11">
      <c r="A145" s="19" t="s">
        <v>215</v>
      </c>
      <c r="B145" s="19" t="s">
        <v>7</v>
      </c>
      <c r="C145" s="19" t="s">
        <v>34</v>
      </c>
      <c r="D145" s="21">
        <f ca="1">RANDBETWEEN(DATE(2020,7,1),DATE(2020,9,30))</f>
        <v>44035</v>
      </c>
      <c r="E145" s="26">
        <v>1584517</v>
      </c>
      <c r="F145" s="19">
        <v>9.06</v>
      </c>
      <c r="G145" s="19">
        <v>46</v>
      </c>
      <c r="H145" s="27">
        <v>642642</v>
      </c>
      <c r="I145" s="19">
        <v>0</v>
      </c>
      <c r="J145" s="27">
        <v>0</v>
      </c>
      <c r="K145" s="31">
        <v>0.68</v>
      </c>
    </row>
    <row r="146" spans="1:11">
      <c r="A146" s="19" t="s">
        <v>216</v>
      </c>
      <c r="B146" s="19" t="s">
        <v>8</v>
      </c>
      <c r="C146" s="19" t="s">
        <v>32</v>
      </c>
      <c r="D146" s="21">
        <f ca="1">RANDBETWEEN(DATE(2020,1,1),DATE(2020,3,31))</f>
        <v>43861</v>
      </c>
      <c r="E146" s="26">
        <v>1287912</v>
      </c>
      <c r="F146" s="19">
        <v>9.2</v>
      </c>
      <c r="G146" s="19">
        <v>55</v>
      </c>
      <c r="H146" s="27">
        <v>740118</v>
      </c>
      <c r="I146" s="19">
        <v>0</v>
      </c>
      <c r="J146" s="27">
        <v>0</v>
      </c>
      <c r="K146" s="31">
        <v>0.68</v>
      </c>
    </row>
    <row r="147" spans="1:11">
      <c r="A147" s="19" t="s">
        <v>217</v>
      </c>
      <c r="B147" s="19" t="s">
        <v>10</v>
      </c>
      <c r="C147" s="19" t="s">
        <v>40</v>
      </c>
      <c r="D147" s="21">
        <f ca="1">RANDBETWEEN(DATE(2022,1,1),DATE(2022,3,31))</f>
        <v>44572</v>
      </c>
      <c r="E147" s="26">
        <v>1716864</v>
      </c>
      <c r="F147" s="19">
        <v>11.43</v>
      </c>
      <c r="G147" s="19">
        <v>83</v>
      </c>
      <c r="H147" s="27">
        <v>467403</v>
      </c>
      <c r="I147" s="19">
        <v>0</v>
      </c>
      <c r="J147" s="27">
        <v>0</v>
      </c>
      <c r="K147" s="31">
        <v>0.71</v>
      </c>
    </row>
    <row r="148" spans="1:11">
      <c r="A148" s="19" t="s">
        <v>218</v>
      </c>
      <c r="B148" s="19" t="s">
        <v>9</v>
      </c>
      <c r="C148" s="19" t="s">
        <v>37</v>
      </c>
      <c r="D148" s="21">
        <f ca="1">RANDBETWEEN(DATE(2021,4,1),DATE(2021,6,30))</f>
        <v>44313</v>
      </c>
      <c r="E148" s="26">
        <v>2300547</v>
      </c>
      <c r="F148" s="28">
        <v>10.37</v>
      </c>
      <c r="G148" s="19">
        <v>59</v>
      </c>
      <c r="H148" s="27">
        <v>1535955</v>
      </c>
      <c r="I148" s="19">
        <v>0</v>
      </c>
      <c r="J148" s="27">
        <v>0</v>
      </c>
      <c r="K148" s="31">
        <v>0.72</v>
      </c>
    </row>
    <row r="149" spans="1:11">
      <c r="A149" s="19" t="s">
        <v>219</v>
      </c>
      <c r="B149" s="19" t="s">
        <v>9</v>
      </c>
      <c r="C149" s="19" t="s">
        <v>29</v>
      </c>
      <c r="D149" s="21">
        <f ca="1">RANDBETWEEN(DATE(2019,4,1),DATE(2019,6,30))</f>
        <v>43580</v>
      </c>
      <c r="E149" s="26">
        <v>504436</v>
      </c>
      <c r="F149" s="28">
        <v>12.02</v>
      </c>
      <c r="G149" s="19">
        <v>72</v>
      </c>
      <c r="H149" s="27">
        <v>350904</v>
      </c>
      <c r="I149" s="19">
        <v>0</v>
      </c>
      <c r="J149" s="27">
        <v>0</v>
      </c>
      <c r="K149" s="31">
        <v>0.71</v>
      </c>
    </row>
    <row r="150" spans="1:11">
      <c r="A150" s="19" t="s">
        <v>220</v>
      </c>
      <c r="B150" s="19" t="s">
        <v>9</v>
      </c>
      <c r="C150" s="19" t="s">
        <v>38</v>
      </c>
      <c r="D150" s="21">
        <f ca="1">RANDBETWEEN(DATE(2021,7,1),DATE(2021,9,30))</f>
        <v>44431</v>
      </c>
      <c r="E150" s="26">
        <v>978481</v>
      </c>
      <c r="F150" s="28">
        <v>11.94</v>
      </c>
      <c r="G150" s="19">
        <v>71</v>
      </c>
      <c r="H150" s="27">
        <v>703910</v>
      </c>
      <c r="I150" s="19">
        <v>1</v>
      </c>
      <c r="J150" s="27">
        <v>153550</v>
      </c>
      <c r="K150" s="33">
        <v>0.68</v>
      </c>
    </row>
    <row r="151" spans="1:11">
      <c r="A151" s="19" t="s">
        <v>221</v>
      </c>
      <c r="B151" s="19" t="s">
        <v>6</v>
      </c>
      <c r="C151" s="19" t="s">
        <v>32</v>
      </c>
      <c r="D151" s="21">
        <f ca="1">RANDBETWEEN(DATE(2020,1,1),DATE(2020,3,31))</f>
        <v>43871</v>
      </c>
      <c r="E151" s="26">
        <v>1326597</v>
      </c>
      <c r="F151" s="19">
        <v>8.5</v>
      </c>
      <c r="G151" s="19">
        <v>26</v>
      </c>
      <c r="H151" s="27">
        <v>514507</v>
      </c>
      <c r="I151" s="19">
        <v>0</v>
      </c>
      <c r="J151" s="27">
        <v>0</v>
      </c>
      <c r="K151" s="31">
        <v>0.68</v>
      </c>
    </row>
    <row r="152" spans="1:11">
      <c r="A152" s="19" t="s">
        <v>222</v>
      </c>
      <c r="B152" s="19" t="s">
        <v>8</v>
      </c>
      <c r="C152" s="19" t="s">
        <v>42</v>
      </c>
      <c r="D152" s="21">
        <f ca="1">RANDBETWEEN(DATE(2022,7,1),DATE(2022,9,30))</f>
        <v>44830</v>
      </c>
      <c r="E152" s="26">
        <v>1952719</v>
      </c>
      <c r="F152" s="19">
        <v>8.75</v>
      </c>
      <c r="G152" s="19">
        <v>81</v>
      </c>
      <c r="H152" s="27">
        <v>1308072</v>
      </c>
      <c r="I152" s="19">
        <v>0</v>
      </c>
      <c r="J152" s="27">
        <v>0</v>
      </c>
      <c r="K152" s="31">
        <v>0.73</v>
      </c>
    </row>
    <row r="153" spans="1:11">
      <c r="A153" s="19" t="s">
        <v>223</v>
      </c>
      <c r="B153" s="19" t="s">
        <v>8</v>
      </c>
      <c r="C153" s="19" t="s">
        <v>37</v>
      </c>
      <c r="D153" s="21">
        <f ca="1">RANDBETWEEN(DATE(2021,4,1),DATE(2021,6,30))</f>
        <v>44312</v>
      </c>
      <c r="E153" s="26">
        <v>465326</v>
      </c>
      <c r="F153" s="19">
        <v>9.3</v>
      </c>
      <c r="G153" s="19">
        <v>64</v>
      </c>
      <c r="H153" s="27">
        <v>105244</v>
      </c>
      <c r="I153" s="19">
        <v>0</v>
      </c>
      <c r="J153" s="27">
        <v>0</v>
      </c>
      <c r="K153" s="31">
        <v>0.72</v>
      </c>
    </row>
    <row r="154" spans="1:11">
      <c r="A154" s="19" t="s">
        <v>224</v>
      </c>
      <c r="B154" s="19" t="s">
        <v>8</v>
      </c>
      <c r="C154" s="19" t="s">
        <v>32</v>
      </c>
      <c r="D154" s="21">
        <f ca="1">RANDBETWEEN(DATE(2020,1,1),DATE(2020,3,31))</f>
        <v>43871</v>
      </c>
      <c r="E154" s="26">
        <v>1915189</v>
      </c>
      <c r="F154" s="19">
        <v>9.44</v>
      </c>
      <c r="G154" s="19">
        <v>58</v>
      </c>
      <c r="H154" s="27">
        <v>1885967</v>
      </c>
      <c r="I154" s="19">
        <v>0</v>
      </c>
      <c r="J154" s="27">
        <v>0</v>
      </c>
      <c r="K154" s="31">
        <v>0.68</v>
      </c>
    </row>
    <row r="155" spans="1:11">
      <c r="A155" s="19" t="s">
        <v>225</v>
      </c>
      <c r="B155" s="19" t="s">
        <v>9</v>
      </c>
      <c r="C155" s="19" t="s">
        <v>32</v>
      </c>
      <c r="D155" s="21">
        <f ca="1">RANDBETWEEN(DATE(2020,1,1),DATE(2020,3,31))</f>
        <v>43898</v>
      </c>
      <c r="E155" s="26">
        <v>303965</v>
      </c>
      <c r="F155" s="28">
        <v>11.19</v>
      </c>
      <c r="G155" s="19">
        <v>36</v>
      </c>
      <c r="H155" s="27">
        <v>291565</v>
      </c>
      <c r="I155" s="19">
        <v>0</v>
      </c>
      <c r="J155" s="27">
        <v>0</v>
      </c>
      <c r="K155" s="31">
        <v>0.68</v>
      </c>
    </row>
    <row r="156" spans="1:11">
      <c r="A156" s="19" t="s">
        <v>226</v>
      </c>
      <c r="B156" s="19" t="s">
        <v>6</v>
      </c>
      <c r="C156" s="19" t="s">
        <v>30</v>
      </c>
      <c r="D156" s="21">
        <f ca="1">RANDBETWEEN(DATE(2019,7,1),DATE(2019,9,30))</f>
        <v>43726</v>
      </c>
      <c r="E156" s="26">
        <v>939636</v>
      </c>
      <c r="F156" s="19">
        <v>8.14</v>
      </c>
      <c r="G156" s="19">
        <v>14</v>
      </c>
      <c r="H156" s="27">
        <v>779367</v>
      </c>
      <c r="I156" s="19">
        <v>0</v>
      </c>
      <c r="J156" s="27">
        <v>0</v>
      </c>
      <c r="K156" s="31">
        <v>0.71</v>
      </c>
    </row>
    <row r="157" spans="1:11">
      <c r="A157" s="19" t="s">
        <v>227</v>
      </c>
      <c r="B157" s="19" t="s">
        <v>10</v>
      </c>
      <c r="C157" s="19" t="s">
        <v>35</v>
      </c>
      <c r="D157" s="21">
        <f ca="1">RANDBETWEEN(DATE(2020,10,1),DATE(2020,12,31))</f>
        <v>44172</v>
      </c>
      <c r="E157" s="26">
        <v>2418011</v>
      </c>
      <c r="F157" s="19">
        <v>9.91</v>
      </c>
      <c r="G157" s="19">
        <v>82</v>
      </c>
      <c r="H157" s="27">
        <v>1617906</v>
      </c>
      <c r="I157" s="19">
        <v>0</v>
      </c>
      <c r="J157" s="27">
        <v>0</v>
      </c>
      <c r="K157" s="31">
        <v>0.68</v>
      </c>
    </row>
    <row r="158" spans="1:11">
      <c r="A158" s="19" t="s">
        <v>228</v>
      </c>
      <c r="B158" s="19" t="s">
        <v>10</v>
      </c>
      <c r="C158" s="19" t="s">
        <v>37</v>
      </c>
      <c r="D158" s="21">
        <f ca="1">RANDBETWEEN(DATE(2021,4,1),DATE(2021,6,30))</f>
        <v>44291</v>
      </c>
      <c r="E158" s="26">
        <v>1428078</v>
      </c>
      <c r="F158" s="19">
        <v>11.05</v>
      </c>
      <c r="G158" s="19">
        <v>12</v>
      </c>
      <c r="H158" s="27">
        <v>1266312</v>
      </c>
      <c r="I158" s="19">
        <v>0</v>
      </c>
      <c r="J158" s="27">
        <v>0</v>
      </c>
      <c r="K158" s="31">
        <v>0.72</v>
      </c>
    </row>
    <row r="159" spans="1:11">
      <c r="A159" s="19" t="s">
        <v>229</v>
      </c>
      <c r="B159" s="19" t="s">
        <v>10</v>
      </c>
      <c r="C159" s="19" t="s">
        <v>32</v>
      </c>
      <c r="D159" s="21">
        <f ca="1">RANDBETWEEN(DATE(2020,1,1),DATE(2020,3,31))</f>
        <v>43861</v>
      </c>
      <c r="E159" s="26">
        <v>2315827</v>
      </c>
      <c r="F159" s="19">
        <v>10</v>
      </c>
      <c r="G159" s="19">
        <v>34</v>
      </c>
      <c r="H159" s="27">
        <v>1687881</v>
      </c>
      <c r="I159" s="19">
        <v>1</v>
      </c>
      <c r="J159" s="27">
        <v>347609</v>
      </c>
      <c r="K159" s="31">
        <v>0.68</v>
      </c>
    </row>
    <row r="160" spans="1:11">
      <c r="A160" s="19" t="s">
        <v>230</v>
      </c>
      <c r="B160" s="19" t="s">
        <v>10</v>
      </c>
      <c r="C160" s="19" t="s">
        <v>30</v>
      </c>
      <c r="D160" s="21">
        <f ca="1">RANDBETWEEN(DATE(2019,7,1),DATE(2019,9,30))</f>
        <v>43665</v>
      </c>
      <c r="E160" s="26">
        <v>1407995</v>
      </c>
      <c r="F160" s="19">
        <v>9.53</v>
      </c>
      <c r="G160" s="19">
        <v>45</v>
      </c>
      <c r="H160" s="27">
        <v>424379</v>
      </c>
      <c r="I160" s="19">
        <v>0</v>
      </c>
      <c r="J160" s="27">
        <v>0</v>
      </c>
      <c r="K160" s="31">
        <v>0.71</v>
      </c>
    </row>
    <row r="161" spans="1:11">
      <c r="A161" s="19" t="s">
        <v>231</v>
      </c>
      <c r="B161" s="19" t="s">
        <v>6</v>
      </c>
      <c r="C161" s="19" t="s">
        <v>45</v>
      </c>
      <c r="D161" s="21">
        <f ca="1">RANDBETWEEN(DATE(2023,4,1),DATE(2023,6,30))</f>
        <v>45067</v>
      </c>
      <c r="E161" s="26">
        <v>316581</v>
      </c>
      <c r="F161" s="19">
        <v>7.98</v>
      </c>
      <c r="G161" s="19">
        <v>58</v>
      </c>
      <c r="H161" s="27">
        <v>213670</v>
      </c>
      <c r="I161" s="19">
        <v>0</v>
      </c>
      <c r="J161" s="27">
        <v>0</v>
      </c>
      <c r="K161" s="31">
        <v>0.73</v>
      </c>
    </row>
    <row r="162" spans="1:11">
      <c r="A162" s="19" t="s">
        <v>232</v>
      </c>
      <c r="B162" s="19" t="s">
        <v>10</v>
      </c>
      <c r="C162" s="19" t="s">
        <v>38</v>
      </c>
      <c r="D162" s="21">
        <f ca="1">RANDBETWEEN(DATE(2021,7,1),DATE(2021,9,30))</f>
        <v>44449</v>
      </c>
      <c r="E162" s="26">
        <v>231886</v>
      </c>
      <c r="F162" s="19">
        <v>10.95</v>
      </c>
      <c r="G162" s="19">
        <v>78</v>
      </c>
      <c r="H162" s="27">
        <v>131348</v>
      </c>
      <c r="I162" s="19">
        <v>0</v>
      </c>
      <c r="J162" s="27">
        <v>0</v>
      </c>
      <c r="K162" s="33">
        <v>0.68</v>
      </c>
    </row>
    <row r="163" spans="1:11">
      <c r="A163" s="19" t="s">
        <v>233</v>
      </c>
      <c r="B163" s="19" t="s">
        <v>6</v>
      </c>
      <c r="C163" s="19" t="s">
        <v>32</v>
      </c>
      <c r="D163" s="21">
        <f ca="1">RANDBETWEEN(DATE(2020,1,1),DATE(2020,3,31))</f>
        <v>43919</v>
      </c>
      <c r="E163" s="26">
        <v>2058995</v>
      </c>
      <c r="F163" s="19">
        <v>8.35</v>
      </c>
      <c r="G163" s="19">
        <v>66</v>
      </c>
      <c r="H163" s="27">
        <v>1219367</v>
      </c>
      <c r="I163" s="19">
        <v>0</v>
      </c>
      <c r="J163" s="27">
        <v>0</v>
      </c>
      <c r="K163" s="31">
        <v>0.68</v>
      </c>
    </row>
    <row r="164" spans="1:11">
      <c r="A164" s="19" t="s">
        <v>234</v>
      </c>
      <c r="B164" s="19" t="s">
        <v>6</v>
      </c>
      <c r="C164" s="19" t="s">
        <v>31</v>
      </c>
      <c r="D164" s="21">
        <f ca="1">RANDBETWEEN(DATE(2019,10,1),DATE(2019,12,31))</f>
        <v>43763</v>
      </c>
      <c r="E164" s="26">
        <v>388859</v>
      </c>
      <c r="F164" s="19">
        <v>7.82</v>
      </c>
      <c r="G164" s="19">
        <v>30</v>
      </c>
      <c r="H164" s="27">
        <v>117028</v>
      </c>
      <c r="I164" s="19">
        <v>0</v>
      </c>
      <c r="J164" s="27">
        <v>0</v>
      </c>
      <c r="K164" s="31">
        <v>0.7</v>
      </c>
    </row>
    <row r="165" spans="1:11">
      <c r="A165" s="19" t="s">
        <v>235</v>
      </c>
      <c r="B165" s="19" t="s">
        <v>7</v>
      </c>
      <c r="C165" s="19" t="s">
        <v>48</v>
      </c>
      <c r="D165" s="21">
        <f ca="1">RANDBETWEEN(DATE(2024,1,1),DATE(2024,3,31))</f>
        <v>45342</v>
      </c>
      <c r="E165" s="26">
        <v>2349973</v>
      </c>
      <c r="F165" s="19">
        <v>9.42</v>
      </c>
      <c r="G165" s="19">
        <v>60</v>
      </c>
      <c r="H165" s="27">
        <v>1467429</v>
      </c>
      <c r="I165" s="19">
        <v>0</v>
      </c>
      <c r="J165" s="27">
        <v>0</v>
      </c>
      <c r="K165" s="31">
        <v>0.75</v>
      </c>
    </row>
    <row r="166" spans="1:11">
      <c r="A166" s="19" t="s">
        <v>236</v>
      </c>
      <c r="B166" s="19" t="s">
        <v>7</v>
      </c>
      <c r="C166" s="19" t="s">
        <v>46</v>
      </c>
      <c r="D166" s="21">
        <f ca="1">RANDBETWEEN(DATE(2023,7,1),DATE(2023,9,30))</f>
        <v>45193</v>
      </c>
      <c r="E166" s="26">
        <v>1854386</v>
      </c>
      <c r="F166" s="19">
        <v>8.2</v>
      </c>
      <c r="G166" s="19">
        <v>26</v>
      </c>
      <c r="H166" s="27">
        <v>1440249</v>
      </c>
      <c r="I166" s="19">
        <v>0</v>
      </c>
      <c r="J166" s="27">
        <v>0</v>
      </c>
      <c r="K166" s="31">
        <v>0.76</v>
      </c>
    </row>
    <row r="167" spans="1:11">
      <c r="A167" s="19" t="s">
        <v>237</v>
      </c>
      <c r="B167" s="19" t="s">
        <v>8</v>
      </c>
      <c r="C167" s="19" t="s">
        <v>41</v>
      </c>
      <c r="D167" s="21">
        <f ca="1">RANDBETWEEN(DATE(2022,4,1),DATE(2022,6,30))</f>
        <v>44718</v>
      </c>
      <c r="E167" s="26">
        <v>1008371</v>
      </c>
      <c r="F167" s="19">
        <v>8.8</v>
      </c>
      <c r="G167" s="19">
        <v>70</v>
      </c>
      <c r="H167" s="27">
        <v>537251</v>
      </c>
      <c r="I167" s="19">
        <v>0</v>
      </c>
      <c r="J167" s="27">
        <v>0</v>
      </c>
      <c r="K167" s="30">
        <v>0.727</v>
      </c>
    </row>
    <row r="168" spans="1:11">
      <c r="A168" s="19" t="s">
        <v>238</v>
      </c>
      <c r="B168" s="19" t="s">
        <v>8</v>
      </c>
      <c r="C168" s="19" t="s">
        <v>33</v>
      </c>
      <c r="D168" s="21">
        <f ca="1">RANDBETWEEN(DATE(2020,4,1),DATE(2020,6,30))</f>
        <v>44011</v>
      </c>
      <c r="E168" s="26">
        <v>1360818</v>
      </c>
      <c r="F168" s="19">
        <v>9.1</v>
      </c>
      <c r="G168" s="19">
        <v>59</v>
      </c>
      <c r="H168" s="27">
        <v>1019874</v>
      </c>
      <c r="I168" s="19">
        <v>0</v>
      </c>
      <c r="J168" s="27">
        <v>0</v>
      </c>
      <c r="K168" s="31">
        <v>0.72</v>
      </c>
    </row>
    <row r="169" spans="1:11">
      <c r="A169" s="19" t="s">
        <v>239</v>
      </c>
      <c r="B169" s="19" t="s">
        <v>6</v>
      </c>
      <c r="C169" s="19" t="s">
        <v>40</v>
      </c>
      <c r="D169" s="21">
        <f ca="1">RANDBETWEEN(DATE(2022,1,1),DATE(2022,3,31))</f>
        <v>44613</v>
      </c>
      <c r="E169" s="26">
        <v>408044</v>
      </c>
      <c r="F169" s="19">
        <v>7.59</v>
      </c>
      <c r="G169" s="19">
        <v>24</v>
      </c>
      <c r="H169" s="27">
        <v>346598</v>
      </c>
      <c r="I169" s="19">
        <v>0</v>
      </c>
      <c r="J169" s="27">
        <v>0</v>
      </c>
      <c r="K169" s="31">
        <v>0.71</v>
      </c>
    </row>
    <row r="170" spans="1:11">
      <c r="A170" s="19" t="s">
        <v>240</v>
      </c>
      <c r="B170" s="19" t="s">
        <v>7</v>
      </c>
      <c r="C170" s="19" t="s">
        <v>42</v>
      </c>
      <c r="D170" s="21">
        <f ca="1">RANDBETWEEN(DATE(2022,7,1),DATE(2022,9,30))</f>
        <v>44791</v>
      </c>
      <c r="E170" s="26">
        <v>2405464</v>
      </c>
      <c r="F170" s="19">
        <v>9.12</v>
      </c>
      <c r="G170" s="19">
        <v>27</v>
      </c>
      <c r="H170" s="27">
        <v>1161546</v>
      </c>
      <c r="I170" s="19">
        <v>0</v>
      </c>
      <c r="J170" s="27">
        <v>0</v>
      </c>
      <c r="K170" s="31">
        <v>0.73</v>
      </c>
    </row>
    <row r="171" spans="1:11">
      <c r="A171" s="19" t="s">
        <v>241</v>
      </c>
      <c r="B171" s="19" t="s">
        <v>8</v>
      </c>
      <c r="C171" s="19" t="s">
        <v>40</v>
      </c>
      <c r="D171" s="21">
        <f ca="1">RANDBETWEEN(DATE(2022,1,1),DATE(2022,3,31))</f>
        <v>44640</v>
      </c>
      <c r="E171" s="26">
        <v>265780</v>
      </c>
      <c r="F171" s="19">
        <v>9.46</v>
      </c>
      <c r="G171" s="19">
        <v>51</v>
      </c>
      <c r="H171" s="27">
        <v>75183</v>
      </c>
      <c r="I171" s="19">
        <v>0</v>
      </c>
      <c r="J171" s="27">
        <v>0</v>
      </c>
      <c r="K171" s="31">
        <v>0.71</v>
      </c>
    </row>
    <row r="172" spans="1:11">
      <c r="A172" s="19" t="s">
        <v>242</v>
      </c>
      <c r="B172" s="19" t="s">
        <v>10</v>
      </c>
      <c r="C172" s="19" t="s">
        <v>40</v>
      </c>
      <c r="D172" s="21">
        <f ca="1">RANDBETWEEN(DATE(2022,1,1),DATE(2022,3,31))</f>
        <v>44624</v>
      </c>
      <c r="E172" s="26">
        <v>2072448</v>
      </c>
      <c r="F172" s="19">
        <v>9.95</v>
      </c>
      <c r="G172" s="19">
        <v>25</v>
      </c>
      <c r="H172" s="27">
        <v>1816083</v>
      </c>
      <c r="I172" s="19">
        <v>0</v>
      </c>
      <c r="J172" s="27">
        <v>0</v>
      </c>
      <c r="K172" s="31">
        <v>0.71</v>
      </c>
    </row>
    <row r="173" spans="1:11">
      <c r="A173" s="19" t="s">
        <v>243</v>
      </c>
      <c r="B173" s="19" t="s">
        <v>9</v>
      </c>
      <c r="C173" s="19" t="s">
        <v>46</v>
      </c>
      <c r="D173" s="21">
        <f ca="1">RANDBETWEEN(DATE(2023,7,1),DATE(2023,9,30))</f>
        <v>45143</v>
      </c>
      <c r="E173" s="26">
        <v>2457949</v>
      </c>
      <c r="F173" s="28">
        <v>10.68</v>
      </c>
      <c r="G173" s="19">
        <v>66</v>
      </c>
      <c r="H173" s="27">
        <v>2407898</v>
      </c>
      <c r="I173" s="19">
        <v>0</v>
      </c>
      <c r="J173" s="27">
        <v>0</v>
      </c>
      <c r="K173" s="31">
        <v>0.76</v>
      </c>
    </row>
    <row r="174" spans="1:11">
      <c r="A174" s="19" t="s">
        <v>244</v>
      </c>
      <c r="B174" s="19" t="s">
        <v>7</v>
      </c>
      <c r="C174" s="19" t="s">
        <v>29</v>
      </c>
      <c r="D174" s="21">
        <f ca="1">RANDBETWEEN(DATE(2019,4,1),DATE(2019,6,30))</f>
        <v>43623</v>
      </c>
      <c r="E174" s="26">
        <v>2385135</v>
      </c>
      <c r="F174" s="19">
        <v>8.05</v>
      </c>
      <c r="G174" s="19">
        <v>46</v>
      </c>
      <c r="H174" s="27">
        <v>821280</v>
      </c>
      <c r="I174" s="19">
        <v>0</v>
      </c>
      <c r="J174" s="27">
        <v>0</v>
      </c>
      <c r="K174" s="31">
        <v>0.71</v>
      </c>
    </row>
    <row r="175" spans="1:11">
      <c r="A175" s="19" t="s">
        <v>245</v>
      </c>
      <c r="B175" s="19" t="s">
        <v>9</v>
      </c>
      <c r="C175" s="19" t="s">
        <v>33</v>
      </c>
      <c r="D175" s="21">
        <f ca="1">RANDBETWEEN(DATE(2020,4,1),DATE(2020,6,30))</f>
        <v>43972</v>
      </c>
      <c r="E175" s="26">
        <v>1475327</v>
      </c>
      <c r="F175" s="28">
        <v>11.05</v>
      </c>
      <c r="G175" s="19">
        <v>35</v>
      </c>
      <c r="H175" s="27">
        <v>963472</v>
      </c>
      <c r="I175" s="19">
        <v>0</v>
      </c>
      <c r="J175" s="27">
        <v>0</v>
      </c>
      <c r="K175" s="31">
        <v>0.72</v>
      </c>
    </row>
    <row r="176" spans="1:11">
      <c r="A176" s="19" t="s">
        <v>246</v>
      </c>
      <c r="B176" s="19" t="s">
        <v>10</v>
      </c>
      <c r="C176" s="19" t="s">
        <v>35</v>
      </c>
      <c r="D176" s="21">
        <f ca="1">RANDBETWEEN(DATE(2020,10,1),DATE(2020,12,31))</f>
        <v>44143</v>
      </c>
      <c r="E176" s="26">
        <v>178585</v>
      </c>
      <c r="F176" s="19">
        <v>9.68</v>
      </c>
      <c r="G176" s="19">
        <v>79</v>
      </c>
      <c r="H176" s="27">
        <v>89463</v>
      </c>
      <c r="I176" s="19">
        <v>0</v>
      </c>
      <c r="J176" s="27">
        <v>0</v>
      </c>
      <c r="K176" s="31">
        <v>0.68</v>
      </c>
    </row>
    <row r="177" spans="1:11">
      <c r="A177" s="19" t="s">
        <v>247</v>
      </c>
      <c r="B177" s="19" t="s">
        <v>10</v>
      </c>
      <c r="C177" s="19" t="s">
        <v>47</v>
      </c>
      <c r="D177" s="21">
        <f ca="1">RANDBETWEEN(DATE(2023,10,1),DATE(2023,12,31))</f>
        <v>45271</v>
      </c>
      <c r="E177" s="26">
        <v>1602115</v>
      </c>
      <c r="F177" s="19">
        <v>10.12</v>
      </c>
      <c r="G177" s="19">
        <v>53</v>
      </c>
      <c r="H177" s="27">
        <v>1084598</v>
      </c>
      <c r="I177" s="19">
        <v>0</v>
      </c>
      <c r="J177" s="27">
        <v>0</v>
      </c>
      <c r="K177" s="32">
        <v>0.74</v>
      </c>
    </row>
    <row r="178" spans="1:11">
      <c r="A178" s="19" t="s">
        <v>248</v>
      </c>
      <c r="B178" s="19" t="s">
        <v>10</v>
      </c>
      <c r="C178" s="19" t="s">
        <v>31</v>
      </c>
      <c r="D178" s="21">
        <f ca="1">RANDBETWEEN(DATE(2019,10,1),DATE(2019,12,31))</f>
        <v>43758</v>
      </c>
      <c r="E178" s="26">
        <v>710224</v>
      </c>
      <c r="F178" s="19">
        <v>11.01</v>
      </c>
      <c r="G178" s="19">
        <v>18</v>
      </c>
      <c r="H178" s="27">
        <v>296647</v>
      </c>
      <c r="I178" s="19">
        <v>0</v>
      </c>
      <c r="J178" s="27">
        <v>0</v>
      </c>
      <c r="K178" s="31">
        <v>0.7</v>
      </c>
    </row>
    <row r="179" spans="1:11">
      <c r="A179" s="19" t="s">
        <v>249</v>
      </c>
      <c r="B179" s="19" t="s">
        <v>8</v>
      </c>
      <c r="C179" s="19" t="s">
        <v>45</v>
      </c>
      <c r="D179" s="21">
        <f ca="1">RANDBETWEEN(DATE(2023,4,1),DATE(2023,6,30))</f>
        <v>45051</v>
      </c>
      <c r="E179" s="26">
        <v>1904067</v>
      </c>
      <c r="F179" s="19">
        <v>8.8</v>
      </c>
      <c r="G179" s="19">
        <v>39</v>
      </c>
      <c r="H179" s="27">
        <v>554186</v>
      </c>
      <c r="I179" s="19">
        <v>0</v>
      </c>
      <c r="J179" s="27">
        <v>0</v>
      </c>
      <c r="K179" s="31">
        <v>0.73</v>
      </c>
    </row>
    <row r="180" spans="1:11">
      <c r="A180" s="19" t="s">
        <v>250</v>
      </c>
      <c r="B180" s="19" t="s">
        <v>9</v>
      </c>
      <c r="C180" s="19" t="s">
        <v>30</v>
      </c>
      <c r="D180" s="21">
        <f ca="1">RANDBETWEEN(DATE(2019,7,1),DATE(2019,9,30))</f>
        <v>43711</v>
      </c>
      <c r="E180" s="26">
        <v>2091085</v>
      </c>
      <c r="F180" s="28">
        <v>11.58</v>
      </c>
      <c r="G180" s="19">
        <v>51</v>
      </c>
      <c r="H180" s="27">
        <v>787115</v>
      </c>
      <c r="I180" s="19">
        <v>0</v>
      </c>
      <c r="J180" s="27">
        <v>0</v>
      </c>
      <c r="K180" s="31">
        <v>0.71</v>
      </c>
    </row>
    <row r="181" spans="1:11">
      <c r="A181" s="19" t="s">
        <v>251</v>
      </c>
      <c r="B181" s="19" t="s">
        <v>6</v>
      </c>
      <c r="C181" s="19" t="s">
        <v>33</v>
      </c>
      <c r="D181" s="21">
        <f ca="1">RANDBETWEEN(DATE(2020,4,1),DATE(2020,6,30))</f>
        <v>43932</v>
      </c>
      <c r="E181" s="26">
        <v>82241</v>
      </c>
      <c r="F181" s="19">
        <v>7.7</v>
      </c>
      <c r="G181" s="19">
        <v>39</v>
      </c>
      <c r="H181" s="27">
        <v>66724</v>
      </c>
      <c r="I181" s="19">
        <v>0</v>
      </c>
      <c r="J181" s="27">
        <v>0</v>
      </c>
      <c r="K181" s="31">
        <v>0.72</v>
      </c>
    </row>
    <row r="182" spans="1:11">
      <c r="A182" s="19" t="s">
        <v>252</v>
      </c>
      <c r="B182" s="19" t="s">
        <v>6</v>
      </c>
      <c r="C182" s="19" t="s">
        <v>34</v>
      </c>
      <c r="D182" s="21">
        <f ca="1">RANDBETWEEN(DATE(2020,7,1),DATE(2020,9,30))</f>
        <v>44071</v>
      </c>
      <c r="E182" s="26">
        <v>82421</v>
      </c>
      <c r="F182" s="19">
        <v>8</v>
      </c>
      <c r="G182" s="19">
        <v>67</v>
      </c>
      <c r="H182" s="27">
        <v>25002</v>
      </c>
      <c r="I182" s="19">
        <v>0</v>
      </c>
      <c r="J182" s="27">
        <v>0</v>
      </c>
      <c r="K182" s="31">
        <v>0.68</v>
      </c>
    </row>
    <row r="183" spans="1:11">
      <c r="A183" s="19" t="s">
        <v>253</v>
      </c>
      <c r="B183" s="19" t="s">
        <v>10</v>
      </c>
      <c r="C183" s="19" t="s">
        <v>31</v>
      </c>
      <c r="D183" s="21">
        <f ca="1">RANDBETWEEN(DATE(2019,10,1),DATE(2019,12,31))</f>
        <v>43829</v>
      </c>
      <c r="E183" s="26">
        <v>2148252</v>
      </c>
      <c r="F183" s="19">
        <v>10.62</v>
      </c>
      <c r="G183" s="19">
        <v>57</v>
      </c>
      <c r="H183" s="27">
        <v>1112057</v>
      </c>
      <c r="I183" s="19">
        <v>0</v>
      </c>
      <c r="J183" s="27">
        <v>0</v>
      </c>
      <c r="K183" s="31">
        <v>0.7</v>
      </c>
    </row>
    <row r="184" spans="1:11">
      <c r="A184" s="19" t="s">
        <v>254</v>
      </c>
      <c r="B184" s="19" t="s">
        <v>8</v>
      </c>
      <c r="C184" s="19" t="s">
        <v>39</v>
      </c>
      <c r="D184" s="21">
        <f ca="1">RANDBETWEEN(DATE(2021,10,1),DATE(2021,12,31))</f>
        <v>44528</v>
      </c>
      <c r="E184" s="26">
        <v>128607</v>
      </c>
      <c r="F184" s="19">
        <v>8.85</v>
      </c>
      <c r="G184" s="19">
        <v>21</v>
      </c>
      <c r="H184" s="27">
        <v>84958</v>
      </c>
      <c r="I184" s="19">
        <v>0</v>
      </c>
      <c r="J184" s="27">
        <v>0</v>
      </c>
      <c r="K184" s="31">
        <v>0.71</v>
      </c>
    </row>
    <row r="185" spans="1:11">
      <c r="A185" s="19" t="s">
        <v>255</v>
      </c>
      <c r="B185" s="19" t="s">
        <v>8</v>
      </c>
      <c r="C185" s="19" t="s">
        <v>39</v>
      </c>
      <c r="D185" s="21">
        <f ca="1">RANDBETWEEN(DATE(2021,10,1),DATE(2021,12,31))</f>
        <v>44494</v>
      </c>
      <c r="E185" s="26">
        <v>1264314</v>
      </c>
      <c r="F185" s="19">
        <v>8.44</v>
      </c>
      <c r="G185" s="19">
        <v>14</v>
      </c>
      <c r="H185" s="27">
        <v>426704</v>
      </c>
      <c r="I185" s="19">
        <v>0</v>
      </c>
      <c r="J185" s="27">
        <v>0</v>
      </c>
      <c r="K185" s="31">
        <v>0.71</v>
      </c>
    </row>
    <row r="186" spans="1:11">
      <c r="A186" s="19" t="s">
        <v>256</v>
      </c>
      <c r="B186" s="19" t="s">
        <v>8</v>
      </c>
      <c r="C186" s="19" t="s">
        <v>36</v>
      </c>
      <c r="D186" s="21">
        <f ca="1">RANDBETWEEN(DATE(2021,1,1),DATE(2021,3,31))</f>
        <v>44210</v>
      </c>
      <c r="E186" s="26">
        <v>1567720</v>
      </c>
      <c r="F186" s="19">
        <v>8.41</v>
      </c>
      <c r="G186" s="19">
        <v>25</v>
      </c>
      <c r="H186" s="27">
        <v>859959</v>
      </c>
      <c r="I186" s="19">
        <v>0</v>
      </c>
      <c r="J186" s="27">
        <v>0</v>
      </c>
      <c r="K186" s="30">
        <v>0.744</v>
      </c>
    </row>
    <row r="187" spans="1:11">
      <c r="A187" s="19" t="s">
        <v>257</v>
      </c>
      <c r="B187" s="19" t="s">
        <v>6</v>
      </c>
      <c r="C187" s="19" t="s">
        <v>36</v>
      </c>
      <c r="D187" s="21">
        <f ca="1">RANDBETWEEN(DATE(2021,1,1),DATE(2021,3,31))</f>
        <v>44223</v>
      </c>
      <c r="E187" s="26">
        <v>1709965</v>
      </c>
      <c r="F187" s="19">
        <v>8.37</v>
      </c>
      <c r="G187" s="19">
        <v>55</v>
      </c>
      <c r="H187" s="27">
        <v>797621</v>
      </c>
      <c r="I187" s="19">
        <v>0</v>
      </c>
      <c r="J187" s="27">
        <v>0</v>
      </c>
      <c r="K187" s="30">
        <v>0.744</v>
      </c>
    </row>
    <row r="188" spans="1:11">
      <c r="A188" s="19" t="s">
        <v>258</v>
      </c>
      <c r="B188" s="19" t="s">
        <v>7</v>
      </c>
      <c r="C188" s="19" t="s">
        <v>40</v>
      </c>
      <c r="D188" s="21">
        <f ca="1">RANDBETWEEN(DATE(2022,1,1),DATE(2022,3,31))</f>
        <v>44629</v>
      </c>
      <c r="E188" s="26">
        <v>528262</v>
      </c>
      <c r="F188" s="19">
        <v>9.06</v>
      </c>
      <c r="G188" s="19">
        <v>36</v>
      </c>
      <c r="H188" s="27">
        <v>254030</v>
      </c>
      <c r="I188" s="19">
        <v>0</v>
      </c>
      <c r="J188" s="27">
        <v>0</v>
      </c>
      <c r="K188" s="31">
        <v>0.71</v>
      </c>
    </row>
    <row r="189" spans="1:11">
      <c r="A189" s="19" t="s">
        <v>259</v>
      </c>
      <c r="B189" s="19" t="s">
        <v>10</v>
      </c>
      <c r="C189" s="19" t="s">
        <v>35</v>
      </c>
      <c r="D189" s="21">
        <f ca="1">RANDBETWEEN(DATE(2020,10,1),DATE(2020,12,31))</f>
        <v>44142</v>
      </c>
      <c r="E189" s="26">
        <v>1040983</v>
      </c>
      <c r="F189" s="19">
        <v>9.71</v>
      </c>
      <c r="G189" s="19">
        <v>44</v>
      </c>
      <c r="H189" s="27">
        <v>352684</v>
      </c>
      <c r="I189" s="19">
        <v>0</v>
      </c>
      <c r="J189" s="27">
        <v>0</v>
      </c>
      <c r="K189" s="31">
        <v>0.68</v>
      </c>
    </row>
    <row r="190" spans="1:11">
      <c r="A190" s="19" t="s">
        <v>260</v>
      </c>
      <c r="B190" s="19" t="s">
        <v>6</v>
      </c>
      <c r="C190" s="19" t="s">
        <v>43</v>
      </c>
      <c r="D190" s="21">
        <f ca="1">RANDBETWEEN(DATE(2022,10,1),DATE(2022,12,31))</f>
        <v>44902</v>
      </c>
      <c r="E190" s="26">
        <v>793004</v>
      </c>
      <c r="F190" s="19">
        <v>8.45</v>
      </c>
      <c r="G190" s="19">
        <v>75</v>
      </c>
      <c r="H190" s="27">
        <v>637223</v>
      </c>
      <c r="I190" s="19">
        <v>0</v>
      </c>
      <c r="J190" s="27">
        <v>0</v>
      </c>
      <c r="K190" s="31">
        <v>0.71</v>
      </c>
    </row>
    <row r="191" spans="1:11">
      <c r="A191" s="19" t="s">
        <v>261</v>
      </c>
      <c r="B191" s="19" t="s">
        <v>8</v>
      </c>
      <c r="C191" s="19" t="s">
        <v>39</v>
      </c>
      <c r="D191" s="21">
        <f ca="1">RANDBETWEEN(DATE(2021,10,1),DATE(2021,12,31))</f>
        <v>44533</v>
      </c>
      <c r="E191" s="26">
        <v>2417650</v>
      </c>
      <c r="F191" s="19">
        <v>9.07</v>
      </c>
      <c r="G191" s="19">
        <v>53</v>
      </c>
      <c r="H191" s="27">
        <v>775499</v>
      </c>
      <c r="I191" s="19">
        <v>0</v>
      </c>
      <c r="J191" s="27">
        <v>0</v>
      </c>
      <c r="K191" s="31">
        <v>0.71</v>
      </c>
    </row>
    <row r="192" spans="1:11">
      <c r="A192" s="19" t="s">
        <v>262</v>
      </c>
      <c r="B192" s="19" t="s">
        <v>8</v>
      </c>
      <c r="C192" s="19" t="s">
        <v>40</v>
      </c>
      <c r="D192" s="21">
        <f ca="1">RANDBETWEEN(DATE(2022,1,1),DATE(2022,3,31))</f>
        <v>44583</v>
      </c>
      <c r="E192" s="26">
        <v>1320120</v>
      </c>
      <c r="F192" s="19">
        <v>9.26</v>
      </c>
      <c r="G192" s="19">
        <v>19</v>
      </c>
      <c r="H192" s="27">
        <v>799820</v>
      </c>
      <c r="I192" s="19">
        <v>0</v>
      </c>
      <c r="J192" s="27">
        <v>0</v>
      </c>
      <c r="K192" s="31">
        <v>0.71</v>
      </c>
    </row>
    <row r="193" spans="1:11">
      <c r="A193" s="19" t="s">
        <v>263</v>
      </c>
      <c r="B193" s="19" t="s">
        <v>8</v>
      </c>
      <c r="C193" s="19" t="s">
        <v>31</v>
      </c>
      <c r="D193" s="21">
        <f ca="1">RANDBETWEEN(DATE(2019,10,1),DATE(2019,12,31))</f>
        <v>43770</v>
      </c>
      <c r="E193" s="26">
        <v>207736</v>
      </c>
      <c r="F193" s="19">
        <v>8.37</v>
      </c>
      <c r="G193" s="19">
        <v>48</v>
      </c>
      <c r="H193" s="27">
        <v>148683</v>
      </c>
      <c r="I193" s="19">
        <v>0</v>
      </c>
      <c r="J193" s="27">
        <v>0</v>
      </c>
      <c r="K193" s="31">
        <v>0.7</v>
      </c>
    </row>
    <row r="194" spans="1:11">
      <c r="A194" s="19" t="s">
        <v>264</v>
      </c>
      <c r="B194" s="19" t="s">
        <v>6</v>
      </c>
      <c r="C194" s="19" t="s">
        <v>30</v>
      </c>
      <c r="D194" s="21">
        <f ca="1">RANDBETWEEN(DATE(2019,7,1),DATE(2019,9,30))</f>
        <v>43696</v>
      </c>
      <c r="E194" s="26">
        <v>2176796</v>
      </c>
      <c r="F194" s="19">
        <v>7.88</v>
      </c>
      <c r="G194" s="19">
        <v>82</v>
      </c>
      <c r="H194" s="27">
        <v>1218542</v>
      </c>
      <c r="I194" s="19">
        <v>0</v>
      </c>
      <c r="J194" s="27">
        <v>0</v>
      </c>
      <c r="K194" s="31">
        <v>0.71</v>
      </c>
    </row>
    <row r="195" spans="1:11">
      <c r="A195" s="19" t="s">
        <v>265</v>
      </c>
      <c r="B195" s="19" t="s">
        <v>10</v>
      </c>
      <c r="C195" s="19" t="s">
        <v>33</v>
      </c>
      <c r="D195" s="21">
        <f ca="1">RANDBETWEEN(DATE(2020,4,1),DATE(2020,6,30))</f>
        <v>44011</v>
      </c>
      <c r="E195" s="26">
        <v>1398580</v>
      </c>
      <c r="F195" s="19">
        <v>10.71</v>
      </c>
      <c r="G195" s="19">
        <v>76</v>
      </c>
      <c r="H195" s="27">
        <v>1351277</v>
      </c>
      <c r="I195" s="19">
        <v>0</v>
      </c>
      <c r="J195" s="27">
        <v>0</v>
      </c>
      <c r="K195" s="31">
        <v>0.72</v>
      </c>
    </row>
    <row r="196" spans="1:11">
      <c r="A196" s="19" t="s">
        <v>266</v>
      </c>
      <c r="B196" s="19" t="s">
        <v>9</v>
      </c>
      <c r="C196" s="19" t="s">
        <v>30</v>
      </c>
      <c r="D196" s="21">
        <f ca="1">RANDBETWEEN(DATE(2019,7,1),DATE(2019,9,30))</f>
        <v>43648</v>
      </c>
      <c r="E196" s="26">
        <v>403702</v>
      </c>
      <c r="F196" s="28">
        <v>11.51</v>
      </c>
      <c r="G196" s="19">
        <v>34</v>
      </c>
      <c r="H196" s="27">
        <v>160752</v>
      </c>
      <c r="I196" s="19">
        <v>0</v>
      </c>
      <c r="J196" s="27">
        <v>0</v>
      </c>
      <c r="K196" s="31">
        <v>0.71</v>
      </c>
    </row>
    <row r="197" spans="1:11">
      <c r="A197" s="19" t="s">
        <v>267</v>
      </c>
      <c r="B197" s="19" t="s">
        <v>8</v>
      </c>
      <c r="C197" s="19" t="s">
        <v>40</v>
      </c>
      <c r="D197" s="21">
        <f ca="1">RANDBETWEEN(DATE(2022,1,1),DATE(2022,3,31))</f>
        <v>44625</v>
      </c>
      <c r="E197" s="26">
        <v>2248102</v>
      </c>
      <c r="F197" s="19">
        <v>8.93</v>
      </c>
      <c r="G197" s="19">
        <v>32</v>
      </c>
      <c r="H197" s="27">
        <v>1120187</v>
      </c>
      <c r="I197" s="19">
        <v>0</v>
      </c>
      <c r="J197" s="27">
        <v>0</v>
      </c>
      <c r="K197" s="31">
        <v>0.71</v>
      </c>
    </row>
    <row r="198" spans="1:11">
      <c r="A198" s="19" t="s">
        <v>268</v>
      </c>
      <c r="B198" s="19" t="s">
        <v>8</v>
      </c>
      <c r="C198" s="19" t="s">
        <v>39</v>
      </c>
      <c r="D198" s="21">
        <f ca="1">RANDBETWEEN(DATE(2021,10,1),DATE(2021,12,31))</f>
        <v>44558</v>
      </c>
      <c r="E198" s="26">
        <v>1469214</v>
      </c>
      <c r="F198" s="19">
        <v>9.11</v>
      </c>
      <c r="G198" s="19">
        <v>18</v>
      </c>
      <c r="H198" s="27">
        <v>371313</v>
      </c>
      <c r="I198" s="19">
        <v>0</v>
      </c>
      <c r="J198" s="27">
        <v>0</v>
      </c>
      <c r="K198" s="31">
        <v>0.71</v>
      </c>
    </row>
    <row r="199" spans="1:11">
      <c r="A199" s="19" t="s">
        <v>269</v>
      </c>
      <c r="B199" s="19" t="s">
        <v>8</v>
      </c>
      <c r="C199" s="19" t="s">
        <v>39</v>
      </c>
      <c r="D199" s="21">
        <f ca="1">RANDBETWEEN(DATE(2021,10,1),DATE(2021,12,31))</f>
        <v>44558</v>
      </c>
      <c r="E199" s="26">
        <v>1241798</v>
      </c>
      <c r="F199" s="19">
        <v>8.6</v>
      </c>
      <c r="G199" s="19">
        <v>31</v>
      </c>
      <c r="H199" s="27">
        <v>329326</v>
      </c>
      <c r="I199" s="19">
        <v>0</v>
      </c>
      <c r="J199" s="27">
        <v>0</v>
      </c>
      <c r="K199" s="31">
        <v>0.71</v>
      </c>
    </row>
    <row r="200" spans="1:11">
      <c r="A200" s="19" t="s">
        <v>270</v>
      </c>
      <c r="B200" s="19" t="s">
        <v>9</v>
      </c>
      <c r="C200" s="19" t="s">
        <v>33</v>
      </c>
      <c r="D200" s="21">
        <f ca="1">RANDBETWEEN(DATE(2020,4,1),DATE(2020,6,30))</f>
        <v>43964</v>
      </c>
      <c r="E200" s="26">
        <v>1351206</v>
      </c>
      <c r="F200" s="28">
        <v>12.9</v>
      </c>
      <c r="G200" s="19">
        <v>62</v>
      </c>
      <c r="H200" s="27">
        <v>913459</v>
      </c>
      <c r="I200" s="19">
        <v>0</v>
      </c>
      <c r="J200" s="27">
        <v>0</v>
      </c>
      <c r="K200" s="31">
        <v>0.72</v>
      </c>
    </row>
    <row r="201" spans="1:11">
      <c r="A201" s="19" t="s">
        <v>271</v>
      </c>
      <c r="B201" s="19" t="s">
        <v>9</v>
      </c>
      <c r="C201" s="19" t="s">
        <v>33</v>
      </c>
      <c r="D201" s="21">
        <f ca="1">RANDBETWEEN(DATE(2020,4,1),DATE(2020,6,30))</f>
        <v>43935</v>
      </c>
      <c r="E201" s="26">
        <v>2394289</v>
      </c>
      <c r="F201" s="28">
        <v>11.13</v>
      </c>
      <c r="G201" s="19">
        <v>54</v>
      </c>
      <c r="H201" s="27">
        <v>1762419</v>
      </c>
      <c r="I201" s="19">
        <v>0</v>
      </c>
      <c r="J201" s="27">
        <v>0</v>
      </c>
      <c r="K201" s="31">
        <v>0.72</v>
      </c>
    </row>
    <row r="202" spans="1:11">
      <c r="A202" s="19" t="s">
        <v>272</v>
      </c>
      <c r="B202" s="19" t="s">
        <v>7</v>
      </c>
      <c r="C202" s="19" t="s">
        <v>45</v>
      </c>
      <c r="D202" s="21">
        <f ca="1">RANDBETWEEN(DATE(2023,4,1),DATE(2023,6,30))</f>
        <v>45037</v>
      </c>
      <c r="E202" s="26">
        <v>441970</v>
      </c>
      <c r="F202" s="19">
        <v>9.29</v>
      </c>
      <c r="G202" s="19">
        <v>66</v>
      </c>
      <c r="H202" s="27">
        <v>216327</v>
      </c>
      <c r="I202" s="19">
        <v>0</v>
      </c>
      <c r="J202" s="27">
        <v>0</v>
      </c>
      <c r="K202" s="31">
        <v>0.73</v>
      </c>
    </row>
    <row r="203" spans="1:11">
      <c r="A203" s="19" t="s">
        <v>273</v>
      </c>
      <c r="B203" s="19" t="s">
        <v>10</v>
      </c>
      <c r="C203" s="19" t="s">
        <v>35</v>
      </c>
      <c r="D203" s="21">
        <f ca="1">RANDBETWEEN(DATE(2020,10,1),DATE(2020,12,31))</f>
        <v>44145</v>
      </c>
      <c r="E203" s="26">
        <v>948389</v>
      </c>
      <c r="F203" s="19">
        <v>10.18</v>
      </c>
      <c r="G203" s="19">
        <v>74</v>
      </c>
      <c r="H203" s="27">
        <v>361558</v>
      </c>
      <c r="I203" s="19">
        <v>0</v>
      </c>
      <c r="J203" s="27">
        <v>0</v>
      </c>
      <c r="K203" s="31">
        <v>0.68</v>
      </c>
    </row>
    <row r="204" spans="1:11">
      <c r="A204" s="19" t="s">
        <v>274</v>
      </c>
      <c r="B204" s="19" t="s">
        <v>6</v>
      </c>
      <c r="C204" s="19" t="s">
        <v>45</v>
      </c>
      <c r="D204" s="21">
        <f ca="1">RANDBETWEEN(DATE(2023,4,1),DATE(2023,6,30))</f>
        <v>45033</v>
      </c>
      <c r="E204" s="26">
        <v>1290641</v>
      </c>
      <c r="F204" s="19">
        <v>8.34</v>
      </c>
      <c r="G204" s="19">
        <v>24</v>
      </c>
      <c r="H204" s="27">
        <v>1054066</v>
      </c>
      <c r="I204" s="19">
        <v>0</v>
      </c>
      <c r="J204" s="27">
        <v>0</v>
      </c>
      <c r="K204" s="31">
        <v>0.73</v>
      </c>
    </row>
    <row r="205" spans="1:11">
      <c r="A205" s="19" t="s">
        <v>275</v>
      </c>
      <c r="B205" s="19" t="s">
        <v>7</v>
      </c>
      <c r="C205" s="19" t="s">
        <v>48</v>
      </c>
      <c r="D205" s="21">
        <f ca="1">RANDBETWEEN(DATE(2024,1,1),DATE(2024,3,31))</f>
        <v>45318</v>
      </c>
      <c r="E205" s="26">
        <v>208324</v>
      </c>
      <c r="F205" s="19">
        <v>9.32</v>
      </c>
      <c r="G205" s="19">
        <v>28</v>
      </c>
      <c r="H205" s="27">
        <v>104448</v>
      </c>
      <c r="I205" s="19">
        <v>0</v>
      </c>
      <c r="J205" s="27">
        <v>0</v>
      </c>
      <c r="K205" s="31">
        <v>0.75</v>
      </c>
    </row>
    <row r="206" spans="1:11">
      <c r="A206" s="19" t="s">
        <v>276</v>
      </c>
      <c r="B206" s="19" t="s">
        <v>7</v>
      </c>
      <c r="C206" s="19" t="s">
        <v>42</v>
      </c>
      <c r="D206" s="21">
        <f ca="1">RANDBETWEEN(DATE(2022,7,1),DATE(2022,9,30))</f>
        <v>44792</v>
      </c>
      <c r="E206" s="26">
        <v>744321</v>
      </c>
      <c r="F206" s="19">
        <v>9.44</v>
      </c>
      <c r="G206" s="19">
        <v>17</v>
      </c>
      <c r="H206" s="27">
        <v>365788</v>
      </c>
      <c r="I206" s="19">
        <v>0</v>
      </c>
      <c r="J206" s="27">
        <v>0</v>
      </c>
      <c r="K206" s="31">
        <v>0.73</v>
      </c>
    </row>
    <row r="207" spans="1:11">
      <c r="A207" s="19" t="s">
        <v>277</v>
      </c>
      <c r="B207" s="19" t="s">
        <v>8</v>
      </c>
      <c r="C207" s="19" t="s">
        <v>36</v>
      </c>
      <c r="D207" s="21">
        <f ca="1">RANDBETWEEN(DATE(2021,1,1),DATE(2021,3,31))</f>
        <v>44249</v>
      </c>
      <c r="E207" s="26">
        <v>1245074</v>
      </c>
      <c r="F207" s="19">
        <v>9.2</v>
      </c>
      <c r="G207" s="19">
        <v>69</v>
      </c>
      <c r="H207" s="27">
        <v>780921</v>
      </c>
      <c r="I207" s="19">
        <v>0</v>
      </c>
      <c r="J207" s="27">
        <v>0</v>
      </c>
      <c r="K207" s="30">
        <v>0.744</v>
      </c>
    </row>
    <row r="208" spans="1:11">
      <c r="A208" s="19" t="s">
        <v>278</v>
      </c>
      <c r="B208" s="19" t="s">
        <v>8</v>
      </c>
      <c r="C208" s="19" t="s">
        <v>43</v>
      </c>
      <c r="D208" s="21">
        <f ca="1">RANDBETWEEN(DATE(2022,10,1),DATE(2022,12,31))</f>
        <v>44910</v>
      </c>
      <c r="E208" s="26">
        <v>863762</v>
      </c>
      <c r="F208" s="19">
        <v>8.74</v>
      </c>
      <c r="G208" s="19">
        <v>68</v>
      </c>
      <c r="H208" s="27">
        <v>704441</v>
      </c>
      <c r="I208" s="19">
        <v>0</v>
      </c>
      <c r="J208" s="27">
        <v>0</v>
      </c>
      <c r="K208" s="31">
        <v>0.71</v>
      </c>
    </row>
    <row r="209" spans="1:11">
      <c r="A209" s="19" t="s">
        <v>279</v>
      </c>
      <c r="B209" s="19" t="s">
        <v>7</v>
      </c>
      <c r="C209" s="19" t="s">
        <v>35</v>
      </c>
      <c r="D209" s="21">
        <f ca="1">RANDBETWEEN(DATE(2020,10,1),DATE(2020,12,31))</f>
        <v>44127</v>
      </c>
      <c r="E209" s="26">
        <v>2262326</v>
      </c>
      <c r="F209" s="19">
        <v>8.84</v>
      </c>
      <c r="G209" s="19">
        <v>32</v>
      </c>
      <c r="H209" s="27">
        <v>1902632</v>
      </c>
      <c r="I209" s="19">
        <v>0</v>
      </c>
      <c r="J209" s="27">
        <v>0</v>
      </c>
      <c r="K209" s="31">
        <v>0.68</v>
      </c>
    </row>
    <row r="210" spans="1:11">
      <c r="A210" s="19" t="s">
        <v>280</v>
      </c>
      <c r="B210" s="19" t="s">
        <v>9</v>
      </c>
      <c r="C210" s="19" t="s">
        <v>46</v>
      </c>
      <c r="D210" s="21">
        <f ca="1">RANDBETWEEN(DATE(2023,7,1),DATE(2023,9,30))</f>
        <v>45148</v>
      </c>
      <c r="E210" s="26">
        <v>268857</v>
      </c>
      <c r="F210" s="28">
        <v>11.92</v>
      </c>
      <c r="G210" s="19">
        <v>59</v>
      </c>
      <c r="H210" s="27">
        <v>254724</v>
      </c>
      <c r="I210" s="19">
        <v>0</v>
      </c>
      <c r="J210" s="27">
        <v>0</v>
      </c>
      <c r="K210" s="31">
        <v>0.76</v>
      </c>
    </row>
    <row r="211" spans="1:11">
      <c r="A211" s="19" t="s">
        <v>281</v>
      </c>
      <c r="B211" s="19" t="s">
        <v>7</v>
      </c>
      <c r="C211" s="19" t="s">
        <v>37</v>
      </c>
      <c r="D211" s="21">
        <f ca="1">RANDBETWEEN(DATE(2021,4,1),DATE(2021,6,30))</f>
        <v>44307</v>
      </c>
      <c r="E211" s="26">
        <v>572936</v>
      </c>
      <c r="F211" s="19">
        <v>8.57</v>
      </c>
      <c r="G211" s="19">
        <v>32</v>
      </c>
      <c r="H211" s="27">
        <v>320532</v>
      </c>
      <c r="I211" s="19">
        <v>0</v>
      </c>
      <c r="J211" s="27">
        <v>0</v>
      </c>
      <c r="K211" s="31">
        <v>0.72</v>
      </c>
    </row>
    <row r="212" spans="1:11">
      <c r="A212" s="19" t="s">
        <v>282</v>
      </c>
      <c r="B212" s="19" t="s">
        <v>8</v>
      </c>
      <c r="C212" s="19" t="s">
        <v>43</v>
      </c>
      <c r="D212" s="21">
        <f ca="1">RANDBETWEEN(DATE(2022,10,1),DATE(2022,12,31))</f>
        <v>44915</v>
      </c>
      <c r="E212" s="26">
        <v>434674</v>
      </c>
      <c r="F212" s="19">
        <v>9.44</v>
      </c>
      <c r="G212" s="19">
        <v>40</v>
      </c>
      <c r="H212" s="27">
        <v>394555</v>
      </c>
      <c r="I212" s="19">
        <v>0</v>
      </c>
      <c r="J212" s="27">
        <v>0</v>
      </c>
      <c r="K212" s="31">
        <v>0.71</v>
      </c>
    </row>
    <row r="213" spans="1:11">
      <c r="A213" s="19" t="s">
        <v>283</v>
      </c>
      <c r="B213" s="19" t="s">
        <v>8</v>
      </c>
      <c r="C213" s="19" t="s">
        <v>36</v>
      </c>
      <c r="D213" s="21">
        <f ca="1">RANDBETWEEN(DATE(2021,1,1),DATE(2021,3,31))</f>
        <v>44231</v>
      </c>
      <c r="E213" s="26">
        <v>273375</v>
      </c>
      <c r="F213" s="19">
        <v>8.78</v>
      </c>
      <c r="G213" s="19">
        <v>59</v>
      </c>
      <c r="H213" s="27">
        <v>139129</v>
      </c>
      <c r="I213" s="19">
        <v>0</v>
      </c>
      <c r="J213" s="27">
        <v>0</v>
      </c>
      <c r="K213" s="30">
        <v>0.744</v>
      </c>
    </row>
    <row r="214" spans="1:11">
      <c r="A214" s="19" t="s">
        <v>284</v>
      </c>
      <c r="B214" s="19" t="s">
        <v>10</v>
      </c>
      <c r="C214" s="19" t="s">
        <v>39</v>
      </c>
      <c r="D214" s="21">
        <f ca="1">RANDBETWEEN(DATE(2021,10,1),DATE(2021,12,31))</f>
        <v>44552</v>
      </c>
      <c r="E214" s="26">
        <v>168227</v>
      </c>
      <c r="F214" s="19">
        <v>10.14</v>
      </c>
      <c r="G214" s="19">
        <v>24</v>
      </c>
      <c r="H214" s="27">
        <v>140150</v>
      </c>
      <c r="I214" s="19">
        <v>0</v>
      </c>
      <c r="J214" s="27">
        <v>0</v>
      </c>
      <c r="K214" s="31">
        <v>0.71</v>
      </c>
    </row>
    <row r="215" spans="1:11">
      <c r="A215" s="19" t="s">
        <v>285</v>
      </c>
      <c r="B215" s="19" t="s">
        <v>9</v>
      </c>
      <c r="C215" s="19" t="s">
        <v>44</v>
      </c>
      <c r="D215" s="21">
        <f ca="1">RANDBETWEEN(DATE(2023,1,1),DATE(2023,3,31))</f>
        <v>44962</v>
      </c>
      <c r="E215" s="26">
        <v>2031619</v>
      </c>
      <c r="F215" s="28">
        <v>12.09</v>
      </c>
      <c r="G215" s="19">
        <v>29</v>
      </c>
      <c r="H215" s="27">
        <v>1135433</v>
      </c>
      <c r="I215" s="19">
        <v>1</v>
      </c>
      <c r="J215" s="27">
        <v>263068</v>
      </c>
      <c r="K215" s="31">
        <v>0.73</v>
      </c>
    </row>
    <row r="216" spans="1:11">
      <c r="A216" s="19" t="s">
        <v>286</v>
      </c>
      <c r="B216" s="19" t="s">
        <v>9</v>
      </c>
      <c r="C216" s="19" t="s">
        <v>48</v>
      </c>
      <c r="D216" s="21">
        <f ca="1">RANDBETWEEN(DATE(2024,1,1),DATE(2024,3,31))</f>
        <v>45314</v>
      </c>
      <c r="E216" s="26">
        <v>954521</v>
      </c>
      <c r="F216" s="28">
        <v>12.5</v>
      </c>
      <c r="G216" s="19">
        <v>82</v>
      </c>
      <c r="H216" s="27">
        <v>593919</v>
      </c>
      <c r="I216" s="19">
        <v>1</v>
      </c>
      <c r="J216" s="27">
        <v>187227</v>
      </c>
      <c r="K216" s="31">
        <v>0.75</v>
      </c>
    </row>
    <row r="217" spans="1:11">
      <c r="A217" s="19" t="s">
        <v>287</v>
      </c>
      <c r="B217" s="19" t="s">
        <v>9</v>
      </c>
      <c r="C217" s="19" t="s">
        <v>48</v>
      </c>
      <c r="D217" s="21">
        <f ca="1">RANDBETWEEN(DATE(2024,1,1),DATE(2024,3,31))</f>
        <v>45339</v>
      </c>
      <c r="E217" s="26">
        <v>561069</v>
      </c>
      <c r="F217" s="28">
        <v>10.14</v>
      </c>
      <c r="G217" s="19">
        <v>65</v>
      </c>
      <c r="H217" s="27">
        <v>317391</v>
      </c>
      <c r="I217" s="19">
        <v>1</v>
      </c>
      <c r="J217" s="27">
        <v>178392</v>
      </c>
      <c r="K217" s="31">
        <v>0.75</v>
      </c>
    </row>
    <row r="218" spans="1:11">
      <c r="A218" s="19" t="s">
        <v>288</v>
      </c>
      <c r="B218" s="19" t="s">
        <v>7</v>
      </c>
      <c r="C218" s="19" t="s">
        <v>47</v>
      </c>
      <c r="D218" s="21">
        <f ca="1">RANDBETWEEN(DATE(2023,10,1),DATE(2023,12,31))</f>
        <v>45235</v>
      </c>
      <c r="E218" s="26">
        <v>2298372</v>
      </c>
      <c r="F218" s="19">
        <v>8.03</v>
      </c>
      <c r="G218" s="19">
        <v>77</v>
      </c>
      <c r="H218" s="27">
        <v>904525</v>
      </c>
      <c r="I218" s="19">
        <v>0</v>
      </c>
      <c r="J218" s="27">
        <v>0</v>
      </c>
      <c r="K218" s="32">
        <v>0.74</v>
      </c>
    </row>
    <row r="219" spans="1:11">
      <c r="A219" s="19" t="s">
        <v>289</v>
      </c>
      <c r="B219" s="19" t="s">
        <v>8</v>
      </c>
      <c r="C219" s="19" t="s">
        <v>47</v>
      </c>
      <c r="D219" s="21">
        <f ca="1">RANDBETWEEN(DATE(2023,10,1),DATE(2023,12,31))</f>
        <v>45230</v>
      </c>
      <c r="E219" s="26">
        <v>56561</v>
      </c>
      <c r="F219" s="19">
        <v>9.04</v>
      </c>
      <c r="G219" s="19">
        <v>42</v>
      </c>
      <c r="H219" s="27">
        <v>30161</v>
      </c>
      <c r="I219" s="19">
        <v>0</v>
      </c>
      <c r="J219" s="27">
        <v>0</v>
      </c>
      <c r="K219" s="32">
        <v>0.74</v>
      </c>
    </row>
    <row r="220" spans="1:11">
      <c r="A220" s="19" t="s">
        <v>290</v>
      </c>
      <c r="B220" s="19" t="s">
        <v>6</v>
      </c>
      <c r="C220" s="19" t="s">
        <v>45</v>
      </c>
      <c r="D220" s="21">
        <f ca="1">RANDBETWEEN(DATE(2023,4,1),DATE(2023,6,30))</f>
        <v>45080</v>
      </c>
      <c r="E220" s="26">
        <v>2245653</v>
      </c>
      <c r="F220" s="19">
        <v>8.47</v>
      </c>
      <c r="G220" s="19">
        <v>20</v>
      </c>
      <c r="H220" s="27">
        <v>1426586</v>
      </c>
      <c r="I220" s="19">
        <v>0</v>
      </c>
      <c r="J220" s="27">
        <v>0</v>
      </c>
      <c r="K220" s="31">
        <v>0.73</v>
      </c>
    </row>
    <row r="221" spans="1:11">
      <c r="A221" s="19" t="s">
        <v>291</v>
      </c>
      <c r="B221" s="19" t="s">
        <v>7</v>
      </c>
      <c r="C221" s="19" t="s">
        <v>30</v>
      </c>
      <c r="D221" s="21">
        <f ca="1">RANDBETWEEN(DATE(2019,7,1),DATE(2019,9,30))</f>
        <v>43732</v>
      </c>
      <c r="E221" s="26">
        <v>2374281</v>
      </c>
      <c r="F221" s="19">
        <v>8.04</v>
      </c>
      <c r="G221" s="19">
        <v>72</v>
      </c>
      <c r="H221" s="27">
        <v>1682265</v>
      </c>
      <c r="I221" s="19">
        <v>0</v>
      </c>
      <c r="J221" s="27">
        <v>0</v>
      </c>
      <c r="K221" s="31">
        <v>0.71</v>
      </c>
    </row>
    <row r="222" spans="1:11">
      <c r="A222" s="19" t="s">
        <v>292</v>
      </c>
      <c r="B222" s="19" t="s">
        <v>9</v>
      </c>
      <c r="C222" s="19" t="s">
        <v>40</v>
      </c>
      <c r="D222" s="21">
        <f ca="1">RANDBETWEEN(DATE(2022,1,1),DATE(2022,3,31))</f>
        <v>44644</v>
      </c>
      <c r="E222" s="26">
        <v>118124</v>
      </c>
      <c r="F222" s="28">
        <v>11.07</v>
      </c>
      <c r="G222" s="19">
        <v>20</v>
      </c>
      <c r="H222" s="27">
        <v>46411</v>
      </c>
      <c r="I222" s="19">
        <v>0</v>
      </c>
      <c r="J222" s="27">
        <v>0</v>
      </c>
      <c r="K222" s="31">
        <v>0.71</v>
      </c>
    </row>
    <row r="223" spans="1:11">
      <c r="A223" s="19" t="s">
        <v>293</v>
      </c>
      <c r="B223" s="19" t="s">
        <v>6</v>
      </c>
      <c r="C223" s="19" t="s">
        <v>33</v>
      </c>
      <c r="D223" s="21">
        <f ca="1">RANDBETWEEN(DATE(2020,4,1),DATE(2020,6,30))</f>
        <v>43957</v>
      </c>
      <c r="E223" s="26">
        <v>2490679</v>
      </c>
      <c r="F223" s="19">
        <v>8.24</v>
      </c>
      <c r="G223" s="19">
        <v>54</v>
      </c>
      <c r="H223" s="27">
        <v>586476</v>
      </c>
      <c r="I223" s="19">
        <v>0</v>
      </c>
      <c r="J223" s="27">
        <v>0</v>
      </c>
      <c r="K223" s="31">
        <v>0.72</v>
      </c>
    </row>
    <row r="224" spans="1:11">
      <c r="A224" s="19" t="s">
        <v>294</v>
      </c>
      <c r="B224" s="19" t="s">
        <v>10</v>
      </c>
      <c r="C224" s="19" t="s">
        <v>34</v>
      </c>
      <c r="D224" s="21">
        <f ca="1">RANDBETWEEN(DATE(2020,7,1),DATE(2020,9,30))</f>
        <v>44055</v>
      </c>
      <c r="E224" s="26">
        <v>1998769</v>
      </c>
      <c r="F224" s="19">
        <v>11.46</v>
      </c>
      <c r="G224" s="19">
        <v>73</v>
      </c>
      <c r="H224" s="27">
        <v>1697350</v>
      </c>
      <c r="I224" s="19">
        <v>1</v>
      </c>
      <c r="J224" s="27">
        <v>866456</v>
      </c>
      <c r="K224" s="31">
        <v>0.68</v>
      </c>
    </row>
    <row r="225" spans="1:11">
      <c r="A225" s="19" t="s">
        <v>295</v>
      </c>
      <c r="B225" s="19" t="s">
        <v>8</v>
      </c>
      <c r="C225" s="19" t="s">
        <v>35</v>
      </c>
      <c r="D225" s="21">
        <f ca="1">RANDBETWEEN(DATE(2020,10,1),DATE(2020,12,31))</f>
        <v>44121</v>
      </c>
      <c r="E225" s="26">
        <v>205121</v>
      </c>
      <c r="F225" s="19">
        <v>8.65</v>
      </c>
      <c r="G225" s="19">
        <v>17</v>
      </c>
      <c r="H225" s="27">
        <v>186379</v>
      </c>
      <c r="I225" s="19">
        <v>0</v>
      </c>
      <c r="J225" s="27">
        <v>0</v>
      </c>
      <c r="K225" s="31">
        <v>0.68</v>
      </c>
    </row>
    <row r="226" spans="1:11">
      <c r="A226" s="19" t="s">
        <v>296</v>
      </c>
      <c r="B226" s="19" t="s">
        <v>9</v>
      </c>
      <c r="C226" s="19" t="s">
        <v>44</v>
      </c>
      <c r="D226" s="21">
        <f ca="1">RANDBETWEEN(DATE(2023,1,1),DATE(2023,3,31))</f>
        <v>45000</v>
      </c>
      <c r="E226" s="26">
        <v>2211675</v>
      </c>
      <c r="F226" s="28">
        <v>11.19</v>
      </c>
      <c r="G226" s="19">
        <v>81</v>
      </c>
      <c r="H226" s="27">
        <v>890533</v>
      </c>
      <c r="I226" s="19">
        <v>0</v>
      </c>
      <c r="J226" s="27">
        <v>0</v>
      </c>
      <c r="K226" s="31">
        <v>0.73</v>
      </c>
    </row>
    <row r="227" spans="1:11">
      <c r="A227" s="19" t="s">
        <v>297</v>
      </c>
      <c r="B227" s="19" t="s">
        <v>10</v>
      </c>
      <c r="C227" s="19" t="s">
        <v>39</v>
      </c>
      <c r="D227" s="21">
        <f ca="1">RANDBETWEEN(DATE(2021,10,1),DATE(2021,12,31))</f>
        <v>44487</v>
      </c>
      <c r="E227" s="26">
        <v>1250036</v>
      </c>
      <c r="F227" s="19">
        <v>10.21</v>
      </c>
      <c r="G227" s="19">
        <v>18</v>
      </c>
      <c r="H227" s="27">
        <v>523231</v>
      </c>
      <c r="I227" s="19">
        <v>0</v>
      </c>
      <c r="J227" s="27">
        <v>0</v>
      </c>
      <c r="K227" s="31">
        <v>0.71</v>
      </c>
    </row>
    <row r="228" spans="1:11">
      <c r="A228" s="19" t="s">
        <v>298</v>
      </c>
      <c r="B228" s="19" t="s">
        <v>8</v>
      </c>
      <c r="C228" s="19" t="s">
        <v>39</v>
      </c>
      <c r="D228" s="21">
        <f ca="1">RANDBETWEEN(DATE(2021,10,1),DATE(2021,12,31))</f>
        <v>44506</v>
      </c>
      <c r="E228" s="26">
        <v>1727812</v>
      </c>
      <c r="F228" s="19">
        <v>9.19</v>
      </c>
      <c r="G228" s="19">
        <v>61</v>
      </c>
      <c r="H228" s="27">
        <v>1691491</v>
      </c>
      <c r="I228" s="19">
        <v>0</v>
      </c>
      <c r="J228" s="27">
        <v>0</v>
      </c>
      <c r="K228" s="31">
        <v>0.71</v>
      </c>
    </row>
    <row r="229" spans="1:11">
      <c r="A229" s="19" t="s">
        <v>299</v>
      </c>
      <c r="B229" s="19" t="s">
        <v>8</v>
      </c>
      <c r="C229" s="19" t="s">
        <v>37</v>
      </c>
      <c r="D229" s="21">
        <f ca="1">RANDBETWEEN(DATE(2021,4,1),DATE(2021,6,30))</f>
        <v>44370</v>
      </c>
      <c r="E229" s="26">
        <v>1590764</v>
      </c>
      <c r="F229" s="19">
        <v>9.41</v>
      </c>
      <c r="G229" s="19">
        <v>78</v>
      </c>
      <c r="H229" s="27">
        <v>1337702</v>
      </c>
      <c r="I229" s="19">
        <v>0</v>
      </c>
      <c r="J229" s="27">
        <v>0</v>
      </c>
      <c r="K229" s="31">
        <v>0.72</v>
      </c>
    </row>
    <row r="230" spans="1:11">
      <c r="A230" s="19" t="s">
        <v>300</v>
      </c>
      <c r="B230" s="19" t="s">
        <v>6</v>
      </c>
      <c r="C230" s="19" t="s">
        <v>46</v>
      </c>
      <c r="D230" s="21">
        <f ca="1">RANDBETWEEN(DATE(2023,7,1),DATE(2023,9,30))</f>
        <v>45155</v>
      </c>
      <c r="E230" s="26">
        <v>1856097</v>
      </c>
      <c r="F230" s="19">
        <v>8.1</v>
      </c>
      <c r="G230" s="19">
        <v>35</v>
      </c>
      <c r="H230" s="27">
        <v>807426</v>
      </c>
      <c r="I230" s="19">
        <v>0</v>
      </c>
      <c r="J230" s="27">
        <v>0</v>
      </c>
      <c r="K230" s="31">
        <v>0.76</v>
      </c>
    </row>
    <row r="231" spans="1:11">
      <c r="A231" s="19" t="s">
        <v>301</v>
      </c>
      <c r="B231" s="19" t="s">
        <v>9</v>
      </c>
      <c r="C231" s="19" t="s">
        <v>34</v>
      </c>
      <c r="D231" s="21">
        <f ca="1">RANDBETWEEN(DATE(2020,7,1),DATE(2020,9,30))</f>
        <v>44052</v>
      </c>
      <c r="E231" s="26">
        <v>1290003</v>
      </c>
      <c r="F231" s="28">
        <v>10.92</v>
      </c>
      <c r="G231" s="19">
        <v>66</v>
      </c>
      <c r="H231" s="27">
        <v>969839</v>
      </c>
      <c r="I231" s="19">
        <v>0</v>
      </c>
      <c r="J231" s="27">
        <v>0</v>
      </c>
      <c r="K231" s="31">
        <v>0.68</v>
      </c>
    </row>
    <row r="232" spans="1:11">
      <c r="A232" s="19" t="s">
        <v>302</v>
      </c>
      <c r="B232" s="19" t="s">
        <v>6</v>
      </c>
      <c r="C232" s="19" t="s">
        <v>37</v>
      </c>
      <c r="D232" s="21">
        <f ca="1">RANDBETWEEN(DATE(2021,4,1),DATE(2021,6,30))</f>
        <v>44330</v>
      </c>
      <c r="E232" s="26">
        <v>1528740</v>
      </c>
      <c r="F232" s="19">
        <v>8.11</v>
      </c>
      <c r="G232" s="19">
        <v>67</v>
      </c>
      <c r="H232" s="27">
        <v>1087813</v>
      </c>
      <c r="I232" s="19">
        <v>0</v>
      </c>
      <c r="J232" s="27">
        <v>0</v>
      </c>
      <c r="K232" s="31">
        <v>0.72</v>
      </c>
    </row>
    <row r="233" spans="1:11">
      <c r="A233" s="19" t="s">
        <v>303</v>
      </c>
      <c r="B233" s="19" t="s">
        <v>6</v>
      </c>
      <c r="C233" s="19" t="s">
        <v>40</v>
      </c>
      <c r="D233" s="21">
        <f ca="1">RANDBETWEEN(DATE(2022,1,1),DATE(2022,3,31))</f>
        <v>44624</v>
      </c>
      <c r="E233" s="26">
        <v>364745</v>
      </c>
      <c r="F233" s="19">
        <v>8.17</v>
      </c>
      <c r="G233" s="19">
        <v>63</v>
      </c>
      <c r="H233" s="27">
        <v>222665</v>
      </c>
      <c r="I233" s="19">
        <v>0</v>
      </c>
      <c r="J233" s="27">
        <v>0</v>
      </c>
      <c r="K233" s="31">
        <v>0.71</v>
      </c>
    </row>
    <row r="234" spans="1:11">
      <c r="A234" s="19" t="s">
        <v>304</v>
      </c>
      <c r="B234" s="19" t="s">
        <v>10</v>
      </c>
      <c r="C234" s="19" t="s">
        <v>30</v>
      </c>
      <c r="D234" s="21">
        <f ca="1">RANDBETWEEN(DATE(2019,7,1),DATE(2019,9,30))</f>
        <v>43660</v>
      </c>
      <c r="E234" s="26">
        <v>180613</v>
      </c>
      <c r="F234" s="19">
        <v>9.79</v>
      </c>
      <c r="G234" s="19">
        <v>68</v>
      </c>
      <c r="H234" s="27">
        <v>54361</v>
      </c>
      <c r="I234" s="19">
        <v>0</v>
      </c>
      <c r="J234" s="27">
        <v>0</v>
      </c>
      <c r="K234" s="31">
        <v>0.71</v>
      </c>
    </row>
    <row r="235" spans="1:11">
      <c r="A235" s="19" t="s">
        <v>305</v>
      </c>
      <c r="B235" s="19" t="s">
        <v>9</v>
      </c>
      <c r="C235" s="19" t="s">
        <v>30</v>
      </c>
      <c r="D235" s="21">
        <f ca="1">RANDBETWEEN(DATE(2019,7,1),DATE(2019,9,30))</f>
        <v>43737</v>
      </c>
      <c r="E235" s="26">
        <v>1568969</v>
      </c>
      <c r="F235" s="28">
        <v>11.15</v>
      </c>
      <c r="G235" s="19">
        <v>84</v>
      </c>
      <c r="H235" s="27">
        <v>1073293</v>
      </c>
      <c r="I235" s="19">
        <v>0</v>
      </c>
      <c r="J235" s="27">
        <v>0</v>
      </c>
      <c r="K235" s="31">
        <v>0.71</v>
      </c>
    </row>
    <row r="236" spans="1:11">
      <c r="A236" s="19" t="s">
        <v>306</v>
      </c>
      <c r="B236" s="19" t="s">
        <v>9</v>
      </c>
      <c r="C236" s="19" t="s">
        <v>47</v>
      </c>
      <c r="D236" s="21">
        <f ca="1">RANDBETWEEN(DATE(2023,10,1),DATE(2023,12,31))</f>
        <v>45207</v>
      </c>
      <c r="E236" s="26">
        <v>1610337</v>
      </c>
      <c r="F236" s="28">
        <v>11.33</v>
      </c>
      <c r="G236" s="19">
        <v>21</v>
      </c>
      <c r="H236" s="27">
        <v>499455</v>
      </c>
      <c r="I236" s="19">
        <v>0</v>
      </c>
      <c r="J236" s="27">
        <v>0</v>
      </c>
      <c r="K236" s="32">
        <v>0.74</v>
      </c>
    </row>
    <row r="237" spans="1:11">
      <c r="A237" s="19" t="s">
        <v>307</v>
      </c>
      <c r="B237" s="19" t="s">
        <v>9</v>
      </c>
      <c r="C237" s="19" t="s">
        <v>29</v>
      </c>
      <c r="D237" s="21">
        <f ca="1">RANDBETWEEN(DATE(2019,4,1),DATE(2019,6,30))</f>
        <v>43595</v>
      </c>
      <c r="E237" s="26">
        <v>1218909</v>
      </c>
      <c r="F237" s="28">
        <v>10.75</v>
      </c>
      <c r="G237" s="19">
        <v>26</v>
      </c>
      <c r="H237" s="27">
        <v>961158</v>
      </c>
      <c r="I237" s="19">
        <v>0</v>
      </c>
      <c r="J237" s="27">
        <v>0</v>
      </c>
      <c r="K237" s="31">
        <v>0.71</v>
      </c>
    </row>
    <row r="238" spans="1:11">
      <c r="A238" s="19" t="s">
        <v>308</v>
      </c>
      <c r="B238" s="19" t="s">
        <v>8</v>
      </c>
      <c r="C238" s="19" t="s">
        <v>43</v>
      </c>
      <c r="D238" s="21">
        <f ca="1">RANDBETWEEN(DATE(2022,10,1),DATE(2022,12,31))</f>
        <v>44860</v>
      </c>
      <c r="E238" s="26">
        <v>2405826</v>
      </c>
      <c r="F238" s="19">
        <v>8.44</v>
      </c>
      <c r="G238" s="19">
        <v>45</v>
      </c>
      <c r="H238" s="27">
        <v>894140</v>
      </c>
      <c r="I238" s="19">
        <v>0</v>
      </c>
      <c r="J238" s="27">
        <v>0</v>
      </c>
      <c r="K238" s="31">
        <v>0.71</v>
      </c>
    </row>
    <row r="239" spans="1:11">
      <c r="A239" s="19" t="s">
        <v>309</v>
      </c>
      <c r="B239" s="19" t="s">
        <v>8</v>
      </c>
      <c r="C239" s="19" t="s">
        <v>43</v>
      </c>
      <c r="D239" s="21">
        <f ca="1">RANDBETWEEN(DATE(2022,10,1),DATE(2022,12,31))</f>
        <v>44851</v>
      </c>
      <c r="E239" s="26">
        <v>889608</v>
      </c>
      <c r="F239" s="19">
        <v>8.45</v>
      </c>
      <c r="G239" s="19">
        <v>21</v>
      </c>
      <c r="H239" s="27">
        <v>300798</v>
      </c>
      <c r="I239" s="19">
        <v>0</v>
      </c>
      <c r="J239" s="27">
        <v>0</v>
      </c>
      <c r="K239" s="31">
        <v>0.71</v>
      </c>
    </row>
    <row r="240" spans="1:11">
      <c r="A240" s="19" t="s">
        <v>310</v>
      </c>
      <c r="B240" s="19" t="s">
        <v>6</v>
      </c>
      <c r="C240" s="19" t="s">
        <v>46</v>
      </c>
      <c r="D240" s="21">
        <f ca="1">RANDBETWEEN(DATE(2023,7,1),DATE(2023,9,30))</f>
        <v>45133</v>
      </c>
      <c r="E240" s="26">
        <v>1390448</v>
      </c>
      <c r="F240" s="19">
        <v>8.17</v>
      </c>
      <c r="G240" s="19">
        <v>20</v>
      </c>
      <c r="H240" s="27">
        <v>881178</v>
      </c>
      <c r="I240" s="19">
        <v>0</v>
      </c>
      <c r="J240" s="27">
        <v>0</v>
      </c>
      <c r="K240" s="31">
        <v>0.76</v>
      </c>
    </row>
    <row r="241" spans="1:11">
      <c r="A241" s="19" t="s">
        <v>311</v>
      </c>
      <c r="B241" s="19" t="s">
        <v>10</v>
      </c>
      <c r="C241" s="19" t="s">
        <v>36</v>
      </c>
      <c r="D241" s="21">
        <f ca="1">RANDBETWEEN(DATE(2021,1,1),DATE(2021,3,31))</f>
        <v>44203</v>
      </c>
      <c r="E241" s="26">
        <v>780190</v>
      </c>
      <c r="F241" s="19">
        <v>11.09</v>
      </c>
      <c r="G241" s="19">
        <v>77</v>
      </c>
      <c r="H241" s="27">
        <v>231786</v>
      </c>
      <c r="I241" s="19">
        <v>0</v>
      </c>
      <c r="J241" s="27">
        <v>0</v>
      </c>
      <c r="K241" s="30">
        <v>0.744</v>
      </c>
    </row>
    <row r="242" spans="1:11">
      <c r="A242" s="19" t="s">
        <v>312</v>
      </c>
      <c r="B242" s="19" t="s">
        <v>10</v>
      </c>
      <c r="C242" s="19" t="s">
        <v>40</v>
      </c>
      <c r="D242" s="21">
        <f ca="1">RANDBETWEEN(DATE(2022,1,1),DATE(2022,3,31))</f>
        <v>44562</v>
      </c>
      <c r="E242" s="26">
        <v>1042943</v>
      </c>
      <c r="F242" s="19">
        <v>11.08</v>
      </c>
      <c r="G242" s="19">
        <v>15</v>
      </c>
      <c r="H242" s="27">
        <v>670838</v>
      </c>
      <c r="I242" s="19">
        <v>0</v>
      </c>
      <c r="J242" s="27">
        <v>0</v>
      </c>
      <c r="K242" s="31">
        <v>0.71</v>
      </c>
    </row>
    <row r="243" spans="1:11">
      <c r="A243" s="19" t="s">
        <v>313</v>
      </c>
      <c r="B243" s="19" t="s">
        <v>7</v>
      </c>
      <c r="C243" s="19" t="s">
        <v>31</v>
      </c>
      <c r="D243" s="21">
        <f ca="1">RANDBETWEEN(DATE(2019,10,1),DATE(2019,12,31))</f>
        <v>43773</v>
      </c>
      <c r="E243" s="26">
        <v>594299</v>
      </c>
      <c r="F243" s="19">
        <v>9.22</v>
      </c>
      <c r="G243" s="19">
        <v>23</v>
      </c>
      <c r="H243" s="27">
        <v>265908</v>
      </c>
      <c r="I243" s="19">
        <v>1</v>
      </c>
      <c r="J243" s="27">
        <v>55050</v>
      </c>
      <c r="K243" s="31">
        <v>0.7</v>
      </c>
    </row>
    <row r="244" spans="1:11">
      <c r="A244" s="19" t="s">
        <v>314</v>
      </c>
      <c r="B244" s="19" t="s">
        <v>8</v>
      </c>
      <c r="C244" s="19" t="s">
        <v>47</v>
      </c>
      <c r="D244" s="21">
        <f ca="1">RANDBETWEEN(DATE(2023,10,1),DATE(2023,12,31))</f>
        <v>45236</v>
      </c>
      <c r="E244" s="26">
        <v>2254927</v>
      </c>
      <c r="F244" s="19">
        <v>8.79</v>
      </c>
      <c r="G244" s="19">
        <v>64</v>
      </c>
      <c r="H244" s="27">
        <v>584027</v>
      </c>
      <c r="I244" s="19">
        <v>0</v>
      </c>
      <c r="J244" s="27">
        <v>0</v>
      </c>
      <c r="K244" s="32">
        <v>0.74</v>
      </c>
    </row>
    <row r="245" spans="1:11">
      <c r="A245" s="19" t="s">
        <v>315</v>
      </c>
      <c r="B245" s="19" t="s">
        <v>6</v>
      </c>
      <c r="C245" s="19" t="s">
        <v>40</v>
      </c>
      <c r="D245" s="21">
        <f ca="1">RANDBETWEEN(DATE(2022,1,1),DATE(2022,3,31))</f>
        <v>44586</v>
      </c>
      <c r="E245" s="26">
        <v>1937329</v>
      </c>
      <c r="F245" s="19">
        <v>7.97</v>
      </c>
      <c r="G245" s="19">
        <v>78</v>
      </c>
      <c r="H245" s="27">
        <v>586366</v>
      </c>
      <c r="I245" s="19">
        <v>0</v>
      </c>
      <c r="J245" s="27">
        <v>0</v>
      </c>
      <c r="K245" s="31">
        <v>0.71</v>
      </c>
    </row>
    <row r="246" spans="1:11">
      <c r="A246" s="19" t="s">
        <v>316</v>
      </c>
      <c r="B246" s="19" t="s">
        <v>7</v>
      </c>
      <c r="C246" s="19" t="s">
        <v>42</v>
      </c>
      <c r="D246" s="21">
        <f ca="1">RANDBETWEEN(DATE(2022,7,1),DATE(2022,9,30))</f>
        <v>44778</v>
      </c>
      <c r="E246" s="26">
        <v>813208</v>
      </c>
      <c r="F246" s="19">
        <v>9.54</v>
      </c>
      <c r="G246" s="19">
        <v>28</v>
      </c>
      <c r="H246" s="27">
        <v>489787</v>
      </c>
      <c r="I246" s="19">
        <v>0</v>
      </c>
      <c r="J246" s="27">
        <v>0</v>
      </c>
      <c r="K246" s="31">
        <v>0.73</v>
      </c>
    </row>
    <row r="247" spans="1:11">
      <c r="A247" s="19" t="s">
        <v>317</v>
      </c>
      <c r="B247" s="19" t="s">
        <v>6</v>
      </c>
      <c r="C247" s="19" t="s">
        <v>34</v>
      </c>
      <c r="D247" s="21">
        <f ca="1">RANDBETWEEN(DATE(2020,7,1),DATE(2020,9,30))</f>
        <v>44078</v>
      </c>
      <c r="E247" s="26">
        <v>2223077</v>
      </c>
      <c r="F247" s="19">
        <v>7.65</v>
      </c>
      <c r="G247" s="19">
        <v>33</v>
      </c>
      <c r="H247" s="27">
        <v>1018455</v>
      </c>
      <c r="I247" s="19">
        <v>0</v>
      </c>
      <c r="J247" s="27">
        <v>0</v>
      </c>
      <c r="K247" s="31">
        <v>0.68</v>
      </c>
    </row>
    <row r="248" spans="1:11">
      <c r="A248" s="19" t="s">
        <v>318</v>
      </c>
      <c r="B248" s="19" t="s">
        <v>9</v>
      </c>
      <c r="C248" s="19" t="s">
        <v>37</v>
      </c>
      <c r="D248" s="21">
        <f ca="1">RANDBETWEEN(DATE(2021,4,1),DATE(2021,6,30))</f>
        <v>44326</v>
      </c>
      <c r="E248" s="26">
        <v>2226415</v>
      </c>
      <c r="F248" s="28">
        <v>12.68</v>
      </c>
      <c r="G248" s="19">
        <v>22</v>
      </c>
      <c r="H248" s="27">
        <v>794922</v>
      </c>
      <c r="I248" s="19">
        <v>0</v>
      </c>
      <c r="J248" s="27">
        <v>0</v>
      </c>
      <c r="K248" s="31">
        <v>0.72</v>
      </c>
    </row>
    <row r="249" spans="1:11">
      <c r="A249" s="19" t="s">
        <v>319</v>
      </c>
      <c r="B249" s="19" t="s">
        <v>9</v>
      </c>
      <c r="C249" s="19" t="s">
        <v>31</v>
      </c>
      <c r="D249" s="21">
        <f ca="1">RANDBETWEEN(DATE(2019,10,1),DATE(2019,12,31))</f>
        <v>43796</v>
      </c>
      <c r="E249" s="26">
        <v>575002</v>
      </c>
      <c r="F249" s="28">
        <v>11.88</v>
      </c>
      <c r="G249" s="19">
        <v>80</v>
      </c>
      <c r="H249" s="27">
        <v>346184</v>
      </c>
      <c r="I249" s="19">
        <v>0</v>
      </c>
      <c r="J249" s="27">
        <v>0</v>
      </c>
      <c r="K249" s="31">
        <v>0.7</v>
      </c>
    </row>
    <row r="250" spans="1:11">
      <c r="A250" s="19" t="s">
        <v>320</v>
      </c>
      <c r="B250" s="19" t="s">
        <v>7</v>
      </c>
      <c r="C250" s="19" t="s">
        <v>47</v>
      </c>
      <c r="D250" s="21">
        <f ca="1">RANDBETWEEN(DATE(2023,10,1),DATE(2023,12,31))</f>
        <v>45200</v>
      </c>
      <c r="E250" s="26">
        <v>696737</v>
      </c>
      <c r="F250" s="19">
        <v>8.34</v>
      </c>
      <c r="G250" s="19">
        <v>55</v>
      </c>
      <c r="H250" s="27">
        <v>162308</v>
      </c>
      <c r="I250" s="19">
        <v>0</v>
      </c>
      <c r="J250" s="27">
        <v>0</v>
      </c>
      <c r="K250" s="32">
        <v>0.74</v>
      </c>
    </row>
    <row r="251" spans="1:11">
      <c r="A251" s="19" t="s">
        <v>321</v>
      </c>
      <c r="B251" s="19" t="s">
        <v>6</v>
      </c>
      <c r="C251" s="19" t="s">
        <v>35</v>
      </c>
      <c r="D251" s="21">
        <f ca="1">RANDBETWEEN(DATE(2020,10,1),DATE(2020,12,31))</f>
        <v>44170</v>
      </c>
      <c r="E251" s="26">
        <v>240680</v>
      </c>
      <c r="F251" s="19">
        <v>8.45</v>
      </c>
      <c r="G251" s="19">
        <v>45</v>
      </c>
      <c r="H251" s="27">
        <v>195809</v>
      </c>
      <c r="I251" s="19">
        <v>0</v>
      </c>
      <c r="J251" s="27">
        <v>0</v>
      </c>
      <c r="K251" s="31">
        <v>0.68</v>
      </c>
    </row>
    <row r="252" spans="1:11">
      <c r="A252" s="19" t="s">
        <v>322</v>
      </c>
      <c r="B252" s="19" t="s">
        <v>6</v>
      </c>
      <c r="C252" s="19" t="s">
        <v>38</v>
      </c>
      <c r="D252" s="21">
        <f ca="1">RANDBETWEEN(DATE(2021,7,1),DATE(2021,9,30))</f>
        <v>44414</v>
      </c>
      <c r="E252" s="26">
        <v>2138923</v>
      </c>
      <c r="F252" s="19">
        <v>8.39</v>
      </c>
      <c r="G252" s="19">
        <v>81</v>
      </c>
      <c r="H252" s="27">
        <v>1526176</v>
      </c>
      <c r="I252" s="19">
        <v>0</v>
      </c>
      <c r="J252" s="27">
        <v>0</v>
      </c>
      <c r="K252" s="33">
        <v>0.68</v>
      </c>
    </row>
    <row r="253" spans="1:11">
      <c r="A253" s="19" t="s">
        <v>323</v>
      </c>
      <c r="B253" s="19" t="s">
        <v>10</v>
      </c>
      <c r="C253" s="19" t="s">
        <v>30</v>
      </c>
      <c r="D253" s="21">
        <f ca="1">RANDBETWEEN(DATE(2019,7,1),DATE(2019,9,30))</f>
        <v>43673</v>
      </c>
      <c r="E253" s="26">
        <v>1753275</v>
      </c>
      <c r="F253" s="19">
        <v>10.09</v>
      </c>
      <c r="G253" s="19">
        <v>21</v>
      </c>
      <c r="H253" s="27">
        <v>572381</v>
      </c>
      <c r="I253" s="19">
        <v>0</v>
      </c>
      <c r="J253" s="27">
        <v>0</v>
      </c>
      <c r="K253" s="31">
        <v>0.71</v>
      </c>
    </row>
    <row r="254" spans="1:11">
      <c r="A254" s="19" t="s">
        <v>324</v>
      </c>
      <c r="B254" s="19" t="s">
        <v>8</v>
      </c>
      <c r="C254" s="19" t="s">
        <v>39</v>
      </c>
      <c r="D254" s="21">
        <f ca="1">RANDBETWEEN(DATE(2021,10,1),DATE(2021,12,31))</f>
        <v>44539</v>
      </c>
      <c r="E254" s="26">
        <v>905734</v>
      </c>
      <c r="F254" s="19">
        <v>8.71</v>
      </c>
      <c r="G254" s="19">
        <v>30</v>
      </c>
      <c r="H254" s="27">
        <v>805367</v>
      </c>
      <c r="I254" s="19">
        <v>0</v>
      </c>
      <c r="J254" s="27">
        <v>0</v>
      </c>
      <c r="K254" s="31">
        <v>0.71</v>
      </c>
    </row>
    <row r="255" spans="1:11">
      <c r="A255" s="19" t="s">
        <v>325</v>
      </c>
      <c r="B255" s="19" t="s">
        <v>9</v>
      </c>
      <c r="C255" s="19" t="s">
        <v>45</v>
      </c>
      <c r="D255" s="21">
        <f ca="1">RANDBETWEEN(DATE(2023,4,1),DATE(2023,6,30))</f>
        <v>45033</v>
      </c>
      <c r="E255" s="26">
        <v>1722338</v>
      </c>
      <c r="F255" s="28">
        <v>10.39</v>
      </c>
      <c r="G255" s="19">
        <v>59</v>
      </c>
      <c r="H255" s="27">
        <v>1118350</v>
      </c>
      <c r="I255" s="19">
        <v>0</v>
      </c>
      <c r="J255" s="27">
        <v>0</v>
      </c>
      <c r="K255" s="31">
        <v>0.73</v>
      </c>
    </row>
    <row r="256" spans="1:11">
      <c r="A256" s="19" t="s">
        <v>326</v>
      </c>
      <c r="B256" s="19" t="s">
        <v>8</v>
      </c>
      <c r="C256" s="19" t="s">
        <v>33</v>
      </c>
      <c r="D256" s="21">
        <f ca="1">RANDBETWEEN(DATE(2020,4,1),DATE(2020,6,30))</f>
        <v>43981</v>
      </c>
      <c r="E256" s="26">
        <v>563894</v>
      </c>
      <c r="F256" s="19">
        <v>8.62</v>
      </c>
      <c r="G256" s="19">
        <v>43</v>
      </c>
      <c r="H256" s="27">
        <v>156452</v>
      </c>
      <c r="I256" s="19">
        <v>0</v>
      </c>
      <c r="J256" s="27">
        <v>0</v>
      </c>
      <c r="K256" s="31">
        <v>0.72</v>
      </c>
    </row>
    <row r="257" spans="1:11">
      <c r="A257" s="19" t="s">
        <v>327</v>
      </c>
      <c r="B257" s="19" t="s">
        <v>8</v>
      </c>
      <c r="C257" s="19" t="s">
        <v>39</v>
      </c>
      <c r="D257" s="21">
        <f ca="1">RANDBETWEEN(DATE(2021,10,1),DATE(2021,12,31))</f>
        <v>44471</v>
      </c>
      <c r="E257" s="26">
        <v>1803784</v>
      </c>
      <c r="F257" s="19">
        <v>8.6</v>
      </c>
      <c r="G257" s="19">
        <v>32</v>
      </c>
      <c r="H257" s="27">
        <v>1708185</v>
      </c>
      <c r="I257" s="19">
        <v>0</v>
      </c>
      <c r="J257" s="27">
        <v>0</v>
      </c>
      <c r="K257" s="31">
        <v>0.71</v>
      </c>
    </row>
    <row r="258" spans="1:11">
      <c r="A258" s="19" t="s">
        <v>328</v>
      </c>
      <c r="B258" s="19" t="s">
        <v>10</v>
      </c>
      <c r="C258" s="19" t="s">
        <v>43</v>
      </c>
      <c r="D258" s="21">
        <f ca="1">RANDBETWEEN(DATE(2022,10,1),DATE(2022,12,31))</f>
        <v>44851</v>
      </c>
      <c r="E258" s="26">
        <v>718330</v>
      </c>
      <c r="F258" s="19">
        <v>10.5</v>
      </c>
      <c r="G258" s="19">
        <v>77</v>
      </c>
      <c r="H258" s="27">
        <v>430285</v>
      </c>
      <c r="I258" s="19">
        <v>0</v>
      </c>
      <c r="J258" s="27">
        <v>0</v>
      </c>
      <c r="K258" s="31">
        <v>0.71</v>
      </c>
    </row>
    <row r="259" spans="1:11">
      <c r="A259" s="19" t="s">
        <v>329</v>
      </c>
      <c r="B259" s="19" t="s">
        <v>6</v>
      </c>
      <c r="C259" s="19" t="s">
        <v>43</v>
      </c>
      <c r="D259" s="21">
        <f ca="1">RANDBETWEEN(DATE(2022,10,1),DATE(2022,12,31))</f>
        <v>44890</v>
      </c>
      <c r="E259" s="26">
        <v>427693</v>
      </c>
      <c r="F259" s="19">
        <v>8.45</v>
      </c>
      <c r="G259" s="19">
        <v>76</v>
      </c>
      <c r="H259" s="27">
        <v>416294</v>
      </c>
      <c r="I259" s="19">
        <v>0</v>
      </c>
      <c r="J259" s="27">
        <v>0</v>
      </c>
      <c r="K259" s="31">
        <v>0.71</v>
      </c>
    </row>
    <row r="260" spans="1:11">
      <c r="A260" s="19" t="s">
        <v>330</v>
      </c>
      <c r="B260" s="19" t="s">
        <v>9</v>
      </c>
      <c r="C260" s="19" t="s">
        <v>48</v>
      </c>
      <c r="D260" s="21">
        <f ca="1">RANDBETWEEN(DATE(2024,1,1),DATE(2024,3,31))</f>
        <v>45299</v>
      </c>
      <c r="E260" s="26">
        <v>254087</v>
      </c>
      <c r="F260" s="28">
        <v>10.15</v>
      </c>
      <c r="G260" s="19">
        <v>75</v>
      </c>
      <c r="H260" s="27">
        <v>230170</v>
      </c>
      <c r="I260" s="19">
        <v>0</v>
      </c>
      <c r="J260" s="27">
        <v>0</v>
      </c>
      <c r="K260" s="31">
        <v>0.75</v>
      </c>
    </row>
    <row r="261" spans="1:11">
      <c r="A261" s="19" t="s">
        <v>331</v>
      </c>
      <c r="B261" s="19" t="s">
        <v>8</v>
      </c>
      <c r="C261" s="19" t="s">
        <v>42</v>
      </c>
      <c r="D261" s="21">
        <f ca="1">RANDBETWEEN(DATE(2022,7,1),DATE(2022,9,30))</f>
        <v>44743</v>
      </c>
      <c r="E261" s="26">
        <v>1248515</v>
      </c>
      <c r="F261" s="19">
        <v>8.94</v>
      </c>
      <c r="G261" s="19">
        <v>25</v>
      </c>
      <c r="H261" s="27">
        <v>383478</v>
      </c>
      <c r="I261" s="19">
        <v>0</v>
      </c>
      <c r="J261" s="27">
        <v>0</v>
      </c>
      <c r="K261" s="31">
        <v>0.73</v>
      </c>
    </row>
    <row r="262" spans="1:11">
      <c r="A262" s="19" t="s">
        <v>332</v>
      </c>
      <c r="B262" s="19" t="s">
        <v>9</v>
      </c>
      <c r="C262" s="19" t="s">
        <v>30</v>
      </c>
      <c r="D262" s="21">
        <f ca="1">RANDBETWEEN(DATE(2019,7,1),DATE(2019,9,30))</f>
        <v>43709</v>
      </c>
      <c r="E262" s="26">
        <v>1741370</v>
      </c>
      <c r="F262" s="28">
        <v>11.1</v>
      </c>
      <c r="G262" s="19">
        <v>63</v>
      </c>
      <c r="H262" s="27">
        <v>1142731</v>
      </c>
      <c r="I262" s="19">
        <v>0</v>
      </c>
      <c r="J262" s="27">
        <v>0</v>
      </c>
      <c r="K262" s="31">
        <v>0.71</v>
      </c>
    </row>
    <row r="263" spans="1:11">
      <c r="A263" s="19" t="s">
        <v>333</v>
      </c>
      <c r="B263" s="19" t="s">
        <v>7</v>
      </c>
      <c r="C263" s="19" t="s">
        <v>43</v>
      </c>
      <c r="D263" s="21">
        <f ca="1">RANDBETWEEN(DATE(2022,10,1),DATE(2022,12,31))</f>
        <v>44854</v>
      </c>
      <c r="E263" s="26">
        <v>1260483</v>
      </c>
      <c r="F263" s="19">
        <v>8.15</v>
      </c>
      <c r="G263" s="19">
        <v>76</v>
      </c>
      <c r="H263" s="27">
        <v>1022911</v>
      </c>
      <c r="I263" s="19">
        <v>0</v>
      </c>
      <c r="J263" s="27">
        <v>0</v>
      </c>
      <c r="K263" s="31">
        <v>0.71</v>
      </c>
    </row>
    <row r="264" spans="1:11">
      <c r="A264" s="19" t="s">
        <v>334</v>
      </c>
      <c r="B264" s="19" t="s">
        <v>7</v>
      </c>
      <c r="C264" s="19" t="s">
        <v>41</v>
      </c>
      <c r="D264" s="21">
        <f ca="1">RANDBETWEEN(DATE(2022,4,1),DATE(2022,6,30))</f>
        <v>44699</v>
      </c>
      <c r="E264" s="26">
        <v>548329</v>
      </c>
      <c r="F264" s="19">
        <v>8.26</v>
      </c>
      <c r="G264" s="19">
        <v>24</v>
      </c>
      <c r="H264" s="27">
        <v>273374</v>
      </c>
      <c r="I264" s="19">
        <v>0</v>
      </c>
      <c r="J264" s="27">
        <v>0</v>
      </c>
      <c r="K264" s="30">
        <v>0.727</v>
      </c>
    </row>
    <row r="265" spans="1:11">
      <c r="A265" s="19" t="s">
        <v>335</v>
      </c>
      <c r="B265" s="19" t="s">
        <v>7</v>
      </c>
      <c r="C265" s="19" t="s">
        <v>48</v>
      </c>
      <c r="D265" s="21">
        <f ca="1">RANDBETWEEN(DATE(2024,1,1),DATE(2024,3,31))</f>
        <v>45339</v>
      </c>
      <c r="E265" s="26">
        <v>1583464</v>
      </c>
      <c r="F265" s="19">
        <v>9.51</v>
      </c>
      <c r="G265" s="19">
        <v>37</v>
      </c>
      <c r="H265" s="27">
        <v>961634</v>
      </c>
      <c r="I265" s="19">
        <v>0</v>
      </c>
      <c r="J265" s="27">
        <v>0</v>
      </c>
      <c r="K265" s="31">
        <v>0.75</v>
      </c>
    </row>
    <row r="266" spans="1:11">
      <c r="A266" s="19" t="s">
        <v>336</v>
      </c>
      <c r="B266" s="19" t="s">
        <v>6</v>
      </c>
      <c r="C266" s="19" t="s">
        <v>44</v>
      </c>
      <c r="D266" s="21">
        <f ca="1">RANDBETWEEN(DATE(2023,1,1),DATE(2023,3,31))</f>
        <v>44974</v>
      </c>
      <c r="E266" s="26">
        <v>213217</v>
      </c>
      <c r="F266" s="19">
        <v>7.64</v>
      </c>
      <c r="G266" s="19">
        <v>54</v>
      </c>
      <c r="H266" s="27">
        <v>131227</v>
      </c>
      <c r="I266" s="19">
        <v>0</v>
      </c>
      <c r="J266" s="27">
        <v>0</v>
      </c>
      <c r="K266" s="31">
        <v>0.73</v>
      </c>
    </row>
    <row r="267" spans="1:11">
      <c r="A267" s="19" t="s">
        <v>337</v>
      </c>
      <c r="B267" s="19" t="s">
        <v>7</v>
      </c>
      <c r="C267" s="19" t="s">
        <v>34</v>
      </c>
      <c r="D267" s="21">
        <f ca="1">RANDBETWEEN(DATE(2020,7,1),DATE(2020,9,30))</f>
        <v>44089</v>
      </c>
      <c r="E267" s="26">
        <v>636283</v>
      </c>
      <c r="F267" s="19">
        <v>8.66</v>
      </c>
      <c r="G267" s="19">
        <v>52</v>
      </c>
      <c r="H267" s="27">
        <v>327280</v>
      </c>
      <c r="I267" s="19">
        <v>0</v>
      </c>
      <c r="J267" s="27">
        <v>0</v>
      </c>
      <c r="K267" s="31">
        <v>0.68</v>
      </c>
    </row>
    <row r="268" spans="1:11">
      <c r="A268" s="19" t="s">
        <v>338</v>
      </c>
      <c r="B268" s="19" t="s">
        <v>9</v>
      </c>
      <c r="C268" s="19" t="s">
        <v>46</v>
      </c>
      <c r="D268" s="21">
        <f ca="1">RANDBETWEEN(DATE(2023,7,1),DATE(2023,9,30))</f>
        <v>45159</v>
      </c>
      <c r="E268" s="26">
        <v>1460852</v>
      </c>
      <c r="F268" s="28">
        <v>11.52</v>
      </c>
      <c r="G268" s="19">
        <v>77</v>
      </c>
      <c r="H268" s="27">
        <v>864645</v>
      </c>
      <c r="I268" s="19">
        <v>0</v>
      </c>
      <c r="J268" s="27">
        <v>0</v>
      </c>
      <c r="K268" s="31">
        <v>0.76</v>
      </c>
    </row>
    <row r="269" spans="1:11">
      <c r="A269" s="19" t="s">
        <v>339</v>
      </c>
      <c r="B269" s="19" t="s">
        <v>8</v>
      </c>
      <c r="C269" s="19" t="s">
        <v>42</v>
      </c>
      <c r="D269" s="21">
        <f ca="1">RANDBETWEEN(DATE(2022,7,1),DATE(2022,9,30))</f>
        <v>44791</v>
      </c>
      <c r="E269" s="26">
        <v>119780</v>
      </c>
      <c r="F269" s="19">
        <v>8.74</v>
      </c>
      <c r="G269" s="19">
        <v>26</v>
      </c>
      <c r="H269" s="27">
        <v>79888</v>
      </c>
      <c r="I269" s="19">
        <v>0</v>
      </c>
      <c r="J269" s="27">
        <v>0</v>
      </c>
      <c r="K269" s="31">
        <v>0.73</v>
      </c>
    </row>
    <row r="270" spans="1:11">
      <c r="A270" s="19" t="s">
        <v>340</v>
      </c>
      <c r="B270" s="19" t="s">
        <v>6</v>
      </c>
      <c r="C270" s="19" t="s">
        <v>30</v>
      </c>
      <c r="D270" s="21">
        <f ca="1">RANDBETWEEN(DATE(2019,7,1),DATE(2019,9,30))</f>
        <v>43691</v>
      </c>
      <c r="E270" s="26">
        <v>2040575</v>
      </c>
      <c r="F270" s="19">
        <v>7.77</v>
      </c>
      <c r="G270" s="19">
        <v>41</v>
      </c>
      <c r="H270" s="27">
        <v>1360693</v>
      </c>
      <c r="I270" s="19">
        <v>0</v>
      </c>
      <c r="J270" s="27">
        <v>0</v>
      </c>
      <c r="K270" s="31">
        <v>0.71</v>
      </c>
    </row>
    <row r="271" spans="1:11">
      <c r="A271" s="19" t="s">
        <v>341</v>
      </c>
      <c r="B271" s="19" t="s">
        <v>7</v>
      </c>
      <c r="C271" s="19" t="s">
        <v>30</v>
      </c>
      <c r="D271" s="21">
        <f ca="1">RANDBETWEEN(DATE(2019,7,1),DATE(2019,9,30))</f>
        <v>43698</v>
      </c>
      <c r="E271" s="26">
        <v>1644633</v>
      </c>
      <c r="F271" s="19">
        <v>8.3</v>
      </c>
      <c r="G271" s="19">
        <v>43</v>
      </c>
      <c r="H271" s="27">
        <v>1082260</v>
      </c>
      <c r="I271" s="19">
        <v>0</v>
      </c>
      <c r="J271" s="27">
        <v>0</v>
      </c>
      <c r="K271" s="31">
        <v>0.71</v>
      </c>
    </row>
    <row r="272" spans="1:11">
      <c r="A272" s="19" t="s">
        <v>342</v>
      </c>
      <c r="B272" s="19" t="s">
        <v>10</v>
      </c>
      <c r="C272" s="19" t="s">
        <v>33</v>
      </c>
      <c r="D272" s="21">
        <f ca="1">RANDBETWEEN(DATE(2020,4,1),DATE(2020,6,30))</f>
        <v>43965</v>
      </c>
      <c r="E272" s="26">
        <v>129429</v>
      </c>
      <c r="F272" s="19">
        <v>10.38</v>
      </c>
      <c r="G272" s="19">
        <v>65</v>
      </c>
      <c r="H272" s="27">
        <v>68645</v>
      </c>
      <c r="I272" s="19">
        <v>0</v>
      </c>
      <c r="J272" s="27">
        <v>0</v>
      </c>
      <c r="K272" s="31">
        <v>0.72</v>
      </c>
    </row>
    <row r="273" spans="1:11">
      <c r="A273" s="19" t="s">
        <v>343</v>
      </c>
      <c r="B273" s="19" t="s">
        <v>7</v>
      </c>
      <c r="C273" s="19" t="s">
        <v>33</v>
      </c>
      <c r="D273" s="21">
        <f ca="1">RANDBETWEEN(DATE(2020,4,1),DATE(2020,6,30))</f>
        <v>43973</v>
      </c>
      <c r="E273" s="26">
        <v>2028056</v>
      </c>
      <c r="F273" s="19">
        <v>9.75</v>
      </c>
      <c r="G273" s="19">
        <v>19</v>
      </c>
      <c r="H273" s="27">
        <v>1247146</v>
      </c>
      <c r="I273" s="19">
        <v>0</v>
      </c>
      <c r="J273" s="27">
        <v>0</v>
      </c>
      <c r="K273" s="31">
        <v>0.72</v>
      </c>
    </row>
    <row r="274" spans="1:11">
      <c r="A274" s="19" t="s">
        <v>344</v>
      </c>
      <c r="B274" s="19" t="s">
        <v>8</v>
      </c>
      <c r="C274" s="19" t="s">
        <v>43</v>
      </c>
      <c r="D274" s="21">
        <f ca="1">RANDBETWEEN(DATE(2022,10,1),DATE(2022,12,31))</f>
        <v>44914</v>
      </c>
      <c r="E274" s="26">
        <v>2254010</v>
      </c>
      <c r="F274" s="19">
        <v>8.75</v>
      </c>
      <c r="G274" s="19">
        <v>34</v>
      </c>
      <c r="H274" s="27">
        <v>2095551</v>
      </c>
      <c r="I274" s="19">
        <v>0</v>
      </c>
      <c r="J274" s="27">
        <v>0</v>
      </c>
      <c r="K274" s="31">
        <v>0.71</v>
      </c>
    </row>
    <row r="275" spans="1:11">
      <c r="A275" s="19" t="s">
        <v>345</v>
      </c>
      <c r="B275" s="19" t="s">
        <v>9</v>
      </c>
      <c r="C275" s="19" t="s">
        <v>36</v>
      </c>
      <c r="D275" s="21">
        <f ca="1">RANDBETWEEN(DATE(2021,1,1),DATE(2021,3,31))</f>
        <v>44242</v>
      </c>
      <c r="E275" s="26">
        <v>1158815</v>
      </c>
      <c r="F275" s="28">
        <v>11.83</v>
      </c>
      <c r="G275" s="19">
        <v>36</v>
      </c>
      <c r="H275" s="27">
        <v>490416</v>
      </c>
      <c r="I275" s="19">
        <v>0</v>
      </c>
      <c r="J275" s="27">
        <v>0</v>
      </c>
      <c r="K275" s="30">
        <v>0.744</v>
      </c>
    </row>
    <row r="276" spans="1:11">
      <c r="A276" s="19" t="s">
        <v>346</v>
      </c>
      <c r="B276" s="19" t="s">
        <v>9</v>
      </c>
      <c r="C276" s="19" t="s">
        <v>39</v>
      </c>
      <c r="D276" s="21">
        <f ca="1">RANDBETWEEN(DATE(2021,10,1),DATE(2021,12,31))</f>
        <v>44495</v>
      </c>
      <c r="E276" s="26">
        <v>1262171</v>
      </c>
      <c r="F276" s="28">
        <v>12.11</v>
      </c>
      <c r="G276" s="19">
        <v>74</v>
      </c>
      <c r="H276" s="27">
        <v>736909</v>
      </c>
      <c r="I276" s="19">
        <v>0</v>
      </c>
      <c r="J276" s="27">
        <v>0</v>
      </c>
      <c r="K276" s="31">
        <v>0.71</v>
      </c>
    </row>
    <row r="277" spans="1:11">
      <c r="A277" s="19" t="s">
        <v>347</v>
      </c>
      <c r="B277" s="19" t="s">
        <v>9</v>
      </c>
      <c r="C277" s="19" t="s">
        <v>41</v>
      </c>
      <c r="D277" s="21">
        <f ca="1">RANDBETWEEN(DATE(2022,4,1),DATE(2022,6,30))</f>
        <v>44726</v>
      </c>
      <c r="E277" s="26">
        <v>1257076</v>
      </c>
      <c r="F277" s="28">
        <v>10.37</v>
      </c>
      <c r="G277" s="19">
        <v>81</v>
      </c>
      <c r="H277" s="27">
        <v>1152246</v>
      </c>
      <c r="I277" s="19">
        <v>0</v>
      </c>
      <c r="J277" s="27">
        <v>0</v>
      </c>
      <c r="K277" s="30">
        <v>0.727</v>
      </c>
    </row>
    <row r="278" spans="1:11">
      <c r="A278" s="19" t="s">
        <v>348</v>
      </c>
      <c r="B278" s="19" t="s">
        <v>9</v>
      </c>
      <c r="C278" s="19" t="s">
        <v>31</v>
      </c>
      <c r="D278" s="21">
        <f ca="1">RANDBETWEEN(DATE(2019,10,1),DATE(2019,12,31))</f>
        <v>43782</v>
      </c>
      <c r="E278" s="26">
        <v>664365</v>
      </c>
      <c r="F278" s="28">
        <v>10.87</v>
      </c>
      <c r="G278" s="19">
        <v>48</v>
      </c>
      <c r="H278" s="27">
        <v>316962</v>
      </c>
      <c r="I278" s="19">
        <v>0</v>
      </c>
      <c r="J278" s="27">
        <v>0</v>
      </c>
      <c r="K278" s="31">
        <v>0.7</v>
      </c>
    </row>
    <row r="279" spans="1:11">
      <c r="A279" s="19" t="s">
        <v>349</v>
      </c>
      <c r="B279" s="19" t="s">
        <v>9</v>
      </c>
      <c r="C279" s="19" t="s">
        <v>37</v>
      </c>
      <c r="D279" s="21">
        <f ca="1">RANDBETWEEN(DATE(2021,4,1),DATE(2021,6,30))</f>
        <v>44361</v>
      </c>
      <c r="E279" s="26">
        <v>2059404</v>
      </c>
      <c r="F279" s="28">
        <v>10.64</v>
      </c>
      <c r="G279" s="19">
        <v>80</v>
      </c>
      <c r="H279" s="27">
        <v>1949059</v>
      </c>
      <c r="I279" s="19">
        <v>0</v>
      </c>
      <c r="J279" s="27">
        <v>0</v>
      </c>
      <c r="K279" s="31">
        <v>0.72</v>
      </c>
    </row>
    <row r="280" spans="1:11">
      <c r="A280" s="19" t="s">
        <v>350</v>
      </c>
      <c r="B280" s="19" t="s">
        <v>10</v>
      </c>
      <c r="C280" s="19" t="s">
        <v>36</v>
      </c>
      <c r="D280" s="21">
        <f ca="1">RANDBETWEEN(DATE(2021,1,1),DATE(2021,3,31))</f>
        <v>44252</v>
      </c>
      <c r="E280" s="26">
        <v>508129</v>
      </c>
      <c r="F280" s="19">
        <v>10.73</v>
      </c>
      <c r="G280" s="19">
        <v>42</v>
      </c>
      <c r="H280" s="27">
        <v>122262</v>
      </c>
      <c r="I280" s="19">
        <v>0</v>
      </c>
      <c r="J280" s="27">
        <v>0</v>
      </c>
      <c r="K280" s="30">
        <v>0.744</v>
      </c>
    </row>
    <row r="281" spans="1:11">
      <c r="A281" s="19" t="s">
        <v>351</v>
      </c>
      <c r="B281" s="19" t="s">
        <v>10</v>
      </c>
      <c r="C281" s="19" t="s">
        <v>39</v>
      </c>
      <c r="D281" s="21">
        <f ca="1">RANDBETWEEN(DATE(2021,10,1),DATE(2021,12,31))</f>
        <v>44545</v>
      </c>
      <c r="E281" s="26">
        <v>1026587</v>
      </c>
      <c r="F281" s="19">
        <v>9.6</v>
      </c>
      <c r="G281" s="19">
        <v>64</v>
      </c>
      <c r="H281" s="27">
        <v>794461</v>
      </c>
      <c r="I281" s="19">
        <v>0</v>
      </c>
      <c r="J281" s="27">
        <v>0</v>
      </c>
      <c r="K281" s="31">
        <v>0.71</v>
      </c>
    </row>
    <row r="282" spans="1:11">
      <c r="A282" s="19" t="s">
        <v>352</v>
      </c>
      <c r="B282" s="19" t="s">
        <v>10</v>
      </c>
      <c r="C282" s="19" t="s">
        <v>42</v>
      </c>
      <c r="D282" s="21">
        <f ca="1">RANDBETWEEN(DATE(2022,7,1),DATE(2022,9,30))</f>
        <v>44830</v>
      </c>
      <c r="E282" s="26">
        <v>71732</v>
      </c>
      <c r="F282" s="19">
        <v>11.43</v>
      </c>
      <c r="G282" s="19">
        <v>32</v>
      </c>
      <c r="H282" s="27">
        <v>51813</v>
      </c>
      <c r="I282" s="19">
        <v>0</v>
      </c>
      <c r="J282" s="27">
        <v>0</v>
      </c>
      <c r="K282" s="31">
        <v>0.73</v>
      </c>
    </row>
    <row r="283" spans="1:11">
      <c r="A283" s="19" t="s">
        <v>353</v>
      </c>
      <c r="B283" s="19" t="s">
        <v>8</v>
      </c>
      <c r="C283" s="19" t="s">
        <v>39</v>
      </c>
      <c r="D283" s="21">
        <f ca="1">RANDBETWEEN(DATE(2021,10,1),DATE(2021,12,31))</f>
        <v>44524</v>
      </c>
      <c r="E283" s="26">
        <v>2052564</v>
      </c>
      <c r="F283" s="19">
        <v>9.08</v>
      </c>
      <c r="G283" s="19">
        <v>48</v>
      </c>
      <c r="H283" s="27">
        <v>879179</v>
      </c>
      <c r="I283" s="19">
        <v>0</v>
      </c>
      <c r="J283" s="27">
        <v>0</v>
      </c>
      <c r="K283" s="31">
        <v>0.71</v>
      </c>
    </row>
    <row r="284" spans="1:11">
      <c r="A284" s="19" t="s">
        <v>354</v>
      </c>
      <c r="B284" s="19" t="s">
        <v>6</v>
      </c>
      <c r="C284" s="19" t="s">
        <v>34</v>
      </c>
      <c r="D284" s="21">
        <f ca="1">RANDBETWEEN(DATE(2020,7,1),DATE(2020,9,30))</f>
        <v>44056</v>
      </c>
      <c r="E284" s="26">
        <v>2458089</v>
      </c>
      <c r="F284" s="19">
        <v>7.73</v>
      </c>
      <c r="G284" s="19">
        <v>16</v>
      </c>
      <c r="H284" s="27">
        <v>1313376</v>
      </c>
      <c r="I284" s="19">
        <v>0</v>
      </c>
      <c r="J284" s="27">
        <v>0</v>
      </c>
      <c r="K284" s="31">
        <v>0.68</v>
      </c>
    </row>
    <row r="285" spans="1:11">
      <c r="A285" s="19" t="s">
        <v>355</v>
      </c>
      <c r="B285" s="19" t="s">
        <v>6</v>
      </c>
      <c r="C285" s="19" t="s">
        <v>38</v>
      </c>
      <c r="D285" s="21">
        <f ca="1">RANDBETWEEN(DATE(2021,7,1),DATE(2021,9,30))</f>
        <v>44425</v>
      </c>
      <c r="E285" s="26">
        <v>1715115</v>
      </c>
      <c r="F285" s="19">
        <v>8.29</v>
      </c>
      <c r="G285" s="19">
        <v>35</v>
      </c>
      <c r="H285" s="27">
        <v>1545995</v>
      </c>
      <c r="I285" s="19">
        <v>1</v>
      </c>
      <c r="J285" s="27">
        <v>660425</v>
      </c>
      <c r="K285" s="33">
        <v>0.68</v>
      </c>
    </row>
    <row r="286" spans="1:11">
      <c r="A286" s="19" t="s">
        <v>356</v>
      </c>
      <c r="B286" s="19" t="s">
        <v>6</v>
      </c>
      <c r="C286" s="19" t="s">
        <v>45</v>
      </c>
      <c r="D286" s="21">
        <f ca="1">RANDBETWEEN(DATE(2023,4,1),DATE(2023,6,30))</f>
        <v>45049</v>
      </c>
      <c r="E286" s="26">
        <v>1455268</v>
      </c>
      <c r="F286" s="19">
        <v>7.78</v>
      </c>
      <c r="G286" s="19">
        <v>81</v>
      </c>
      <c r="H286" s="27">
        <v>866073</v>
      </c>
      <c r="I286" s="19">
        <v>0</v>
      </c>
      <c r="J286" s="27">
        <v>0</v>
      </c>
      <c r="K286" s="31">
        <v>0.73</v>
      </c>
    </row>
    <row r="287" spans="1:11">
      <c r="A287" s="19" t="s">
        <v>357</v>
      </c>
      <c r="B287" s="19" t="s">
        <v>7</v>
      </c>
      <c r="C287" s="19" t="s">
        <v>39</v>
      </c>
      <c r="D287" s="21">
        <f ca="1">RANDBETWEEN(DATE(2021,10,1),DATE(2021,12,31))</f>
        <v>44545</v>
      </c>
      <c r="E287" s="26">
        <v>2013021</v>
      </c>
      <c r="F287" s="19">
        <v>8.55</v>
      </c>
      <c r="G287" s="19">
        <v>26</v>
      </c>
      <c r="H287" s="27">
        <v>664287</v>
      </c>
      <c r="I287" s="19">
        <v>0</v>
      </c>
      <c r="J287" s="27">
        <v>0</v>
      </c>
      <c r="K287" s="31">
        <v>0.71</v>
      </c>
    </row>
    <row r="288" spans="1:11">
      <c r="A288" s="19" t="s">
        <v>358</v>
      </c>
      <c r="B288" s="19" t="s">
        <v>9</v>
      </c>
      <c r="C288" s="19" t="s">
        <v>38</v>
      </c>
      <c r="D288" s="21">
        <f ca="1">RANDBETWEEN(DATE(2021,7,1),DATE(2021,9,30))</f>
        <v>44378</v>
      </c>
      <c r="E288" s="26">
        <v>830975</v>
      </c>
      <c r="F288" s="28">
        <v>10.04</v>
      </c>
      <c r="G288" s="19">
        <v>55</v>
      </c>
      <c r="H288" s="27">
        <v>543644</v>
      </c>
      <c r="I288" s="19">
        <v>0</v>
      </c>
      <c r="J288" s="27">
        <v>0</v>
      </c>
      <c r="K288" s="33">
        <v>0.68</v>
      </c>
    </row>
    <row r="289" spans="1:11">
      <c r="A289" s="19" t="s">
        <v>359</v>
      </c>
      <c r="B289" s="19" t="s">
        <v>10</v>
      </c>
      <c r="C289" s="19" t="s">
        <v>39</v>
      </c>
      <c r="D289" s="21">
        <f ca="1">RANDBETWEEN(DATE(2021,10,1),DATE(2021,12,31))</f>
        <v>44524</v>
      </c>
      <c r="E289" s="26">
        <v>1750749</v>
      </c>
      <c r="F289" s="19">
        <v>11.15</v>
      </c>
      <c r="G289" s="19">
        <v>77</v>
      </c>
      <c r="H289" s="27">
        <v>471634</v>
      </c>
      <c r="I289" s="19">
        <v>0</v>
      </c>
      <c r="J289" s="27">
        <v>0</v>
      </c>
      <c r="K289" s="31">
        <v>0.71</v>
      </c>
    </row>
    <row r="290" spans="1:11">
      <c r="A290" s="19" t="s">
        <v>360</v>
      </c>
      <c r="B290" s="19" t="s">
        <v>10</v>
      </c>
      <c r="C290" s="19" t="s">
        <v>29</v>
      </c>
      <c r="D290" s="21">
        <f ca="1">RANDBETWEEN(DATE(2019,4,1),DATE(2019,6,30))</f>
        <v>43604</v>
      </c>
      <c r="E290" s="26">
        <v>639768</v>
      </c>
      <c r="F290" s="19">
        <v>10.45</v>
      </c>
      <c r="G290" s="19">
        <v>43</v>
      </c>
      <c r="H290" s="27">
        <v>261427</v>
      </c>
      <c r="I290" s="19">
        <v>0</v>
      </c>
      <c r="J290" s="27">
        <v>0</v>
      </c>
      <c r="K290" s="31">
        <v>0.71</v>
      </c>
    </row>
    <row r="291" spans="1:11">
      <c r="A291" s="19" t="s">
        <v>361</v>
      </c>
      <c r="B291" s="19" t="s">
        <v>9</v>
      </c>
      <c r="C291" s="19" t="s">
        <v>37</v>
      </c>
      <c r="D291" s="21">
        <f ca="1">RANDBETWEEN(DATE(2021,4,1),DATE(2021,6,30))</f>
        <v>44296</v>
      </c>
      <c r="E291" s="26">
        <v>1432548</v>
      </c>
      <c r="F291" s="28">
        <v>10.91</v>
      </c>
      <c r="G291" s="19">
        <v>13</v>
      </c>
      <c r="H291" s="27">
        <v>1035655</v>
      </c>
      <c r="I291" s="19">
        <v>0</v>
      </c>
      <c r="J291" s="27">
        <v>0</v>
      </c>
      <c r="K291" s="31">
        <v>0.72</v>
      </c>
    </row>
    <row r="292" spans="1:11">
      <c r="A292" s="19" t="s">
        <v>362</v>
      </c>
      <c r="B292" s="19" t="s">
        <v>6</v>
      </c>
      <c r="C292" s="19" t="s">
        <v>41</v>
      </c>
      <c r="D292" s="21">
        <f ca="1">RANDBETWEEN(DATE(2022,4,1),DATE(2022,6,30))</f>
        <v>44673</v>
      </c>
      <c r="E292" s="26">
        <v>545870</v>
      </c>
      <c r="F292" s="19">
        <v>7.97</v>
      </c>
      <c r="G292" s="19">
        <v>32</v>
      </c>
      <c r="H292" s="27">
        <v>408779</v>
      </c>
      <c r="I292" s="19">
        <v>0</v>
      </c>
      <c r="J292" s="27">
        <v>0</v>
      </c>
      <c r="K292" s="30">
        <v>0.727</v>
      </c>
    </row>
    <row r="293" spans="1:11">
      <c r="A293" s="19" t="s">
        <v>363</v>
      </c>
      <c r="B293" s="19" t="s">
        <v>9</v>
      </c>
      <c r="C293" s="19" t="s">
        <v>40</v>
      </c>
      <c r="D293" s="21">
        <f ca="1">RANDBETWEEN(DATE(2022,1,1),DATE(2022,3,31))</f>
        <v>44615</v>
      </c>
      <c r="E293" s="26">
        <v>542477</v>
      </c>
      <c r="F293" s="28">
        <v>11.92</v>
      </c>
      <c r="G293" s="19">
        <v>49</v>
      </c>
      <c r="H293" s="27">
        <v>375231</v>
      </c>
      <c r="I293" s="19">
        <v>0</v>
      </c>
      <c r="J293" s="27">
        <v>0</v>
      </c>
      <c r="K293" s="31">
        <v>0.71</v>
      </c>
    </row>
    <row r="294" spans="1:11">
      <c r="A294" s="19" t="s">
        <v>364</v>
      </c>
      <c r="B294" s="19" t="s">
        <v>10</v>
      </c>
      <c r="C294" s="19" t="s">
        <v>42</v>
      </c>
      <c r="D294" s="21">
        <f ca="1">RANDBETWEEN(DATE(2022,7,1),DATE(2022,9,30))</f>
        <v>44778</v>
      </c>
      <c r="E294" s="26">
        <v>2055640</v>
      </c>
      <c r="F294" s="19">
        <v>9.81</v>
      </c>
      <c r="G294" s="19">
        <v>59</v>
      </c>
      <c r="H294" s="27">
        <v>1565477</v>
      </c>
      <c r="I294" s="19">
        <v>0</v>
      </c>
      <c r="J294" s="27">
        <v>0</v>
      </c>
      <c r="K294" s="31">
        <v>0.73</v>
      </c>
    </row>
    <row r="295" spans="1:11">
      <c r="A295" s="19" t="s">
        <v>365</v>
      </c>
      <c r="B295" s="19" t="s">
        <v>7</v>
      </c>
      <c r="C295" s="19" t="s">
        <v>45</v>
      </c>
      <c r="D295" s="21">
        <f ca="1">RANDBETWEEN(DATE(2023,4,1),DATE(2023,6,30))</f>
        <v>45065</v>
      </c>
      <c r="E295" s="26">
        <v>966084</v>
      </c>
      <c r="F295" s="19">
        <v>9.52</v>
      </c>
      <c r="G295" s="19">
        <v>22</v>
      </c>
      <c r="H295" s="27">
        <v>538493</v>
      </c>
      <c r="I295" s="19">
        <v>0</v>
      </c>
      <c r="J295" s="27">
        <v>0</v>
      </c>
      <c r="K295" s="31">
        <v>0.73</v>
      </c>
    </row>
    <row r="296" spans="1:11">
      <c r="A296" s="19" t="s">
        <v>366</v>
      </c>
      <c r="B296" s="19" t="s">
        <v>6</v>
      </c>
      <c r="C296" s="19" t="s">
        <v>45</v>
      </c>
      <c r="D296" s="21">
        <f ca="1">RANDBETWEEN(DATE(2023,4,1),DATE(2023,6,30))</f>
        <v>45079</v>
      </c>
      <c r="E296" s="26">
        <v>2416295</v>
      </c>
      <c r="F296" s="19">
        <v>7.61</v>
      </c>
      <c r="G296" s="19">
        <v>82</v>
      </c>
      <c r="H296" s="27">
        <v>874035</v>
      </c>
      <c r="I296" s="19">
        <v>0</v>
      </c>
      <c r="J296" s="27">
        <v>0</v>
      </c>
      <c r="K296" s="31">
        <v>0.73</v>
      </c>
    </row>
    <row r="297" spans="1:11">
      <c r="A297" s="19" t="s">
        <v>367</v>
      </c>
      <c r="B297" s="19" t="s">
        <v>10</v>
      </c>
      <c r="C297" s="19" t="s">
        <v>32</v>
      </c>
      <c r="D297" s="21">
        <f ca="1">RANDBETWEEN(DATE(2020,1,1),DATE(2020,3,31))</f>
        <v>43852</v>
      </c>
      <c r="E297" s="26">
        <v>1426225</v>
      </c>
      <c r="F297" s="19">
        <v>11.21</v>
      </c>
      <c r="G297" s="19">
        <v>68</v>
      </c>
      <c r="H297" s="27">
        <v>1061448</v>
      </c>
      <c r="I297" s="19">
        <v>0</v>
      </c>
      <c r="J297" s="27">
        <v>0</v>
      </c>
      <c r="K297" s="31">
        <v>0.68</v>
      </c>
    </row>
    <row r="298" spans="1:11">
      <c r="A298" s="19" t="s">
        <v>368</v>
      </c>
      <c r="B298" s="19" t="s">
        <v>8</v>
      </c>
      <c r="C298" s="19" t="s">
        <v>30</v>
      </c>
      <c r="D298" s="21">
        <f ca="1">RANDBETWEEN(DATE(2019,7,1),DATE(2019,9,30))</f>
        <v>43680</v>
      </c>
      <c r="E298" s="26">
        <v>431436</v>
      </c>
      <c r="F298" s="19">
        <v>9.38</v>
      </c>
      <c r="G298" s="19">
        <v>69</v>
      </c>
      <c r="H298" s="27">
        <v>242788</v>
      </c>
      <c r="I298" s="19">
        <v>0</v>
      </c>
      <c r="J298" s="27">
        <v>0</v>
      </c>
      <c r="K298" s="31">
        <v>0.71</v>
      </c>
    </row>
    <row r="299" spans="1:11">
      <c r="A299" s="19" t="s">
        <v>369</v>
      </c>
      <c r="B299" s="19" t="s">
        <v>8</v>
      </c>
      <c r="C299" s="19" t="s">
        <v>38</v>
      </c>
      <c r="D299" s="21">
        <f ca="1">RANDBETWEEN(DATE(2021,7,1),DATE(2021,9,30))</f>
        <v>44402</v>
      </c>
      <c r="E299" s="26">
        <v>2415214</v>
      </c>
      <c r="F299" s="19">
        <v>8.37</v>
      </c>
      <c r="G299" s="19">
        <v>71</v>
      </c>
      <c r="H299" s="27">
        <v>1880543</v>
      </c>
      <c r="I299" s="19">
        <v>0</v>
      </c>
      <c r="J299" s="27">
        <v>0</v>
      </c>
      <c r="K299" s="33">
        <v>0.68</v>
      </c>
    </row>
    <row r="300" spans="1:11">
      <c r="A300" s="19" t="s">
        <v>370</v>
      </c>
      <c r="B300" s="19" t="s">
        <v>6</v>
      </c>
      <c r="C300" s="19" t="s">
        <v>42</v>
      </c>
      <c r="D300" s="21">
        <f ca="1">RANDBETWEEN(DATE(2022,7,1),DATE(2022,9,30))</f>
        <v>44774</v>
      </c>
      <c r="E300" s="26">
        <v>963944</v>
      </c>
      <c r="F300" s="19">
        <v>8.08</v>
      </c>
      <c r="G300" s="19">
        <v>17</v>
      </c>
      <c r="H300" s="27">
        <v>458474</v>
      </c>
      <c r="I300" s="19">
        <v>1</v>
      </c>
      <c r="J300" s="27">
        <v>274006</v>
      </c>
      <c r="K300" s="31">
        <v>0.73</v>
      </c>
    </row>
    <row r="301" spans="1:11">
      <c r="A301" s="19" t="s">
        <v>371</v>
      </c>
      <c r="B301" s="19" t="s">
        <v>6</v>
      </c>
      <c r="C301" s="19" t="s">
        <v>34</v>
      </c>
      <c r="D301" s="21">
        <f ca="1">RANDBETWEEN(DATE(2020,7,1),DATE(2020,9,30))</f>
        <v>44049</v>
      </c>
      <c r="E301" s="26">
        <v>2030010</v>
      </c>
      <c r="F301" s="19">
        <v>7.53</v>
      </c>
      <c r="G301" s="19">
        <v>64</v>
      </c>
      <c r="H301" s="27">
        <v>1654818</v>
      </c>
      <c r="I301" s="19">
        <v>0</v>
      </c>
      <c r="J301" s="27">
        <v>0</v>
      </c>
      <c r="K301" s="31">
        <v>0.68</v>
      </c>
    </row>
    <row r="302" spans="1:11">
      <c r="A302" s="19" t="s">
        <v>372</v>
      </c>
      <c r="B302" s="19" t="s">
        <v>8</v>
      </c>
      <c r="C302" s="19" t="s">
        <v>43</v>
      </c>
      <c r="D302" s="21">
        <f ca="1">RANDBETWEEN(DATE(2022,10,1),DATE(2022,12,31))</f>
        <v>44881</v>
      </c>
      <c r="E302" s="26">
        <v>1620602</v>
      </c>
      <c r="F302" s="19">
        <v>9.49</v>
      </c>
      <c r="G302" s="19">
        <v>60</v>
      </c>
      <c r="H302" s="27">
        <v>1451567</v>
      </c>
      <c r="I302" s="19">
        <v>0</v>
      </c>
      <c r="J302" s="27">
        <v>0</v>
      </c>
      <c r="K302" s="31">
        <v>0.71</v>
      </c>
    </row>
    <row r="303" spans="1:11">
      <c r="A303" s="19" t="s">
        <v>373</v>
      </c>
      <c r="B303" s="19" t="s">
        <v>8</v>
      </c>
      <c r="C303" s="19" t="s">
        <v>33</v>
      </c>
      <c r="D303" s="21">
        <f ca="1">RANDBETWEEN(DATE(2020,4,1),DATE(2020,6,30))</f>
        <v>43954</v>
      </c>
      <c r="E303" s="26">
        <v>386592</v>
      </c>
      <c r="F303" s="19">
        <v>9.12</v>
      </c>
      <c r="G303" s="19">
        <v>81</v>
      </c>
      <c r="H303" s="27">
        <v>279439</v>
      </c>
      <c r="I303" s="19">
        <v>0</v>
      </c>
      <c r="J303" s="27">
        <v>0</v>
      </c>
      <c r="K303" s="31">
        <v>0.72</v>
      </c>
    </row>
    <row r="304" spans="1:11">
      <c r="A304" s="19" t="s">
        <v>374</v>
      </c>
      <c r="B304" s="19" t="s">
        <v>10</v>
      </c>
      <c r="C304" s="19" t="s">
        <v>36</v>
      </c>
      <c r="D304" s="21">
        <f ca="1">RANDBETWEEN(DATE(2021,1,1),DATE(2021,3,31))</f>
        <v>44253</v>
      </c>
      <c r="E304" s="26">
        <v>2303425</v>
      </c>
      <c r="F304" s="19">
        <v>10.29</v>
      </c>
      <c r="G304" s="19">
        <v>28</v>
      </c>
      <c r="H304" s="27">
        <v>1999044</v>
      </c>
      <c r="I304" s="19">
        <v>0</v>
      </c>
      <c r="J304" s="27">
        <v>0</v>
      </c>
      <c r="K304" s="30">
        <v>0.744</v>
      </c>
    </row>
    <row r="305" spans="1:11">
      <c r="A305" s="19" t="s">
        <v>375</v>
      </c>
      <c r="B305" s="19" t="s">
        <v>9</v>
      </c>
      <c r="C305" s="19" t="s">
        <v>42</v>
      </c>
      <c r="D305" s="21">
        <f ca="1">RANDBETWEEN(DATE(2022,7,1),DATE(2022,9,30))</f>
        <v>44763</v>
      </c>
      <c r="E305" s="26">
        <v>1991979</v>
      </c>
      <c r="F305" s="28">
        <v>12.02</v>
      </c>
      <c r="G305" s="19">
        <v>81</v>
      </c>
      <c r="H305" s="27">
        <v>1246076</v>
      </c>
      <c r="I305" s="19">
        <v>0</v>
      </c>
      <c r="J305" s="27">
        <v>0</v>
      </c>
      <c r="K305" s="31">
        <v>0.73</v>
      </c>
    </row>
    <row r="306" spans="1:11">
      <c r="A306" s="19" t="s">
        <v>376</v>
      </c>
      <c r="B306" s="19" t="s">
        <v>10</v>
      </c>
      <c r="C306" s="19" t="s">
        <v>35</v>
      </c>
      <c r="D306" s="21">
        <f ca="1">RANDBETWEEN(DATE(2020,10,1),DATE(2020,12,31))</f>
        <v>44118</v>
      </c>
      <c r="E306" s="26">
        <v>1982002</v>
      </c>
      <c r="F306" s="19">
        <v>10.19</v>
      </c>
      <c r="G306" s="19">
        <v>47</v>
      </c>
      <c r="H306" s="27">
        <v>1882759</v>
      </c>
      <c r="I306" s="19">
        <v>0</v>
      </c>
      <c r="J306" s="27">
        <v>0</v>
      </c>
      <c r="K306" s="31">
        <v>0.68</v>
      </c>
    </row>
    <row r="307" spans="1:11">
      <c r="A307" s="19" t="s">
        <v>377</v>
      </c>
      <c r="B307" s="19" t="s">
        <v>6</v>
      </c>
      <c r="C307" s="19" t="s">
        <v>48</v>
      </c>
      <c r="D307" s="21">
        <f ca="1">RANDBETWEEN(DATE(2024,1,1),DATE(2024,3,31))</f>
        <v>45374</v>
      </c>
      <c r="E307" s="26">
        <v>185129</v>
      </c>
      <c r="F307" s="19">
        <v>8.31</v>
      </c>
      <c r="G307" s="19">
        <v>65</v>
      </c>
      <c r="H307" s="27">
        <v>150480</v>
      </c>
      <c r="I307" s="19">
        <v>0</v>
      </c>
      <c r="J307" s="27">
        <v>0</v>
      </c>
      <c r="K307" s="31">
        <v>0.75</v>
      </c>
    </row>
    <row r="308" spans="1:11">
      <c r="A308" s="19" t="s">
        <v>378</v>
      </c>
      <c r="B308" s="19" t="s">
        <v>6</v>
      </c>
      <c r="C308" s="19" t="s">
        <v>48</v>
      </c>
      <c r="D308" s="21">
        <f ca="1">RANDBETWEEN(DATE(2024,1,1),DATE(2024,3,31))</f>
        <v>45343</v>
      </c>
      <c r="E308" s="26">
        <v>1059427</v>
      </c>
      <c r="F308" s="19">
        <v>7.71</v>
      </c>
      <c r="G308" s="19">
        <v>24</v>
      </c>
      <c r="H308" s="27">
        <v>240342</v>
      </c>
      <c r="I308" s="19">
        <v>0</v>
      </c>
      <c r="J308" s="27">
        <v>0</v>
      </c>
      <c r="K308" s="31">
        <v>0.75</v>
      </c>
    </row>
    <row r="309" spans="1:11">
      <c r="A309" s="19" t="s">
        <v>379</v>
      </c>
      <c r="B309" s="19" t="s">
        <v>6</v>
      </c>
      <c r="C309" s="19" t="s">
        <v>43</v>
      </c>
      <c r="D309" s="21">
        <f ca="1">RANDBETWEEN(DATE(2022,10,1),DATE(2022,12,31))</f>
        <v>44898</v>
      </c>
      <c r="E309" s="26">
        <v>1076489</v>
      </c>
      <c r="F309" s="19">
        <v>8.24</v>
      </c>
      <c r="G309" s="19">
        <v>63</v>
      </c>
      <c r="H309" s="27">
        <v>417108</v>
      </c>
      <c r="I309" s="19">
        <v>0</v>
      </c>
      <c r="J309" s="27">
        <v>0</v>
      </c>
      <c r="K309" s="31">
        <v>0.71</v>
      </c>
    </row>
    <row r="310" spans="1:11">
      <c r="A310" s="19" t="s">
        <v>380</v>
      </c>
      <c r="B310" s="19" t="s">
        <v>6</v>
      </c>
      <c r="C310" s="19" t="s">
        <v>36</v>
      </c>
      <c r="D310" s="21">
        <f ca="1">RANDBETWEEN(DATE(2021,1,1),DATE(2021,3,31))</f>
        <v>44209</v>
      </c>
      <c r="E310" s="26">
        <v>637771</v>
      </c>
      <c r="F310" s="19">
        <v>8</v>
      </c>
      <c r="G310" s="19">
        <v>49</v>
      </c>
      <c r="H310" s="27">
        <v>543782</v>
      </c>
      <c r="I310" s="19">
        <v>0</v>
      </c>
      <c r="J310" s="27">
        <v>0</v>
      </c>
      <c r="K310" s="30">
        <v>0.744</v>
      </c>
    </row>
    <row r="311" spans="1:11">
      <c r="A311" s="19" t="s">
        <v>381</v>
      </c>
      <c r="B311" s="19" t="s">
        <v>9</v>
      </c>
      <c r="C311" s="19" t="s">
        <v>36</v>
      </c>
      <c r="D311" s="21">
        <f ca="1">RANDBETWEEN(DATE(2021,1,1),DATE(2021,3,31))</f>
        <v>44202</v>
      </c>
      <c r="E311" s="26">
        <v>2472104</v>
      </c>
      <c r="F311" s="28">
        <v>11.79</v>
      </c>
      <c r="G311" s="19">
        <v>53</v>
      </c>
      <c r="H311" s="27">
        <v>1091215</v>
      </c>
      <c r="I311" s="19">
        <v>0</v>
      </c>
      <c r="J311" s="27">
        <v>0</v>
      </c>
      <c r="K311" s="30">
        <v>0.744</v>
      </c>
    </row>
    <row r="312" spans="1:11">
      <c r="A312" s="19" t="s">
        <v>382</v>
      </c>
      <c r="B312" s="19" t="s">
        <v>7</v>
      </c>
      <c r="C312" s="19" t="s">
        <v>30</v>
      </c>
      <c r="D312" s="21">
        <f ca="1">RANDBETWEEN(DATE(2019,7,1),DATE(2019,9,30))</f>
        <v>43718</v>
      </c>
      <c r="E312" s="26">
        <v>977120</v>
      </c>
      <c r="F312" s="19">
        <v>8.83</v>
      </c>
      <c r="G312" s="19">
        <v>47</v>
      </c>
      <c r="H312" s="27">
        <v>630608</v>
      </c>
      <c r="I312" s="19">
        <v>0</v>
      </c>
      <c r="J312" s="27">
        <v>0</v>
      </c>
      <c r="K312" s="31">
        <v>0.71</v>
      </c>
    </row>
    <row r="313" spans="1:11">
      <c r="A313" s="19" t="s">
        <v>383</v>
      </c>
      <c r="B313" s="19" t="s">
        <v>10</v>
      </c>
      <c r="C313" s="19" t="s">
        <v>40</v>
      </c>
      <c r="D313" s="21">
        <f ca="1">RANDBETWEEN(DATE(2022,1,1),DATE(2022,3,31))</f>
        <v>44583</v>
      </c>
      <c r="E313" s="26">
        <v>1841809</v>
      </c>
      <c r="F313" s="19">
        <v>10.61</v>
      </c>
      <c r="G313" s="19">
        <v>18</v>
      </c>
      <c r="H313" s="27">
        <v>1755739</v>
      </c>
      <c r="I313" s="19">
        <v>0</v>
      </c>
      <c r="J313" s="27">
        <v>0</v>
      </c>
      <c r="K313" s="31">
        <v>0.71</v>
      </c>
    </row>
    <row r="314" spans="1:11">
      <c r="A314" s="19" t="s">
        <v>384</v>
      </c>
      <c r="B314" s="19" t="s">
        <v>7</v>
      </c>
      <c r="C314" s="19" t="s">
        <v>33</v>
      </c>
      <c r="D314" s="21">
        <f ca="1">RANDBETWEEN(DATE(2020,4,1),DATE(2020,6,30))</f>
        <v>43999</v>
      </c>
      <c r="E314" s="26">
        <v>1386869</v>
      </c>
      <c r="F314" s="19">
        <v>9.39</v>
      </c>
      <c r="G314" s="19">
        <v>64</v>
      </c>
      <c r="H314" s="27">
        <v>610098</v>
      </c>
      <c r="I314" s="19">
        <v>0</v>
      </c>
      <c r="J314" s="27">
        <v>0</v>
      </c>
      <c r="K314" s="31">
        <v>0.72</v>
      </c>
    </row>
    <row r="315" spans="1:11">
      <c r="A315" s="19" t="s">
        <v>385</v>
      </c>
      <c r="B315" s="19" t="s">
        <v>7</v>
      </c>
      <c r="C315" s="19" t="s">
        <v>38</v>
      </c>
      <c r="D315" s="21">
        <f ca="1">RANDBETWEEN(DATE(2021,7,1),DATE(2021,9,30))</f>
        <v>44391</v>
      </c>
      <c r="E315" s="26">
        <v>2036081</v>
      </c>
      <c r="F315" s="19">
        <v>8.48</v>
      </c>
      <c r="G315" s="19">
        <v>40</v>
      </c>
      <c r="H315" s="27">
        <v>1804034</v>
      </c>
      <c r="I315" s="19">
        <v>0</v>
      </c>
      <c r="J315" s="27">
        <v>0</v>
      </c>
      <c r="K315" s="33">
        <v>0.68</v>
      </c>
    </row>
    <row r="316" spans="1:11">
      <c r="A316" s="19" t="s">
        <v>386</v>
      </c>
      <c r="B316" s="19" t="s">
        <v>8</v>
      </c>
      <c r="C316" s="19" t="s">
        <v>46</v>
      </c>
      <c r="D316" s="21">
        <f ca="1">RANDBETWEEN(DATE(2023,7,1),DATE(2023,9,30))</f>
        <v>45192</v>
      </c>
      <c r="E316" s="26">
        <v>291692</v>
      </c>
      <c r="F316" s="19">
        <v>8.97</v>
      </c>
      <c r="G316" s="19">
        <v>65</v>
      </c>
      <c r="H316" s="27">
        <v>182013</v>
      </c>
      <c r="I316" s="19">
        <v>0</v>
      </c>
      <c r="J316" s="27">
        <v>0</v>
      </c>
      <c r="K316" s="31">
        <v>0.76</v>
      </c>
    </row>
    <row r="317" spans="1:11">
      <c r="A317" s="19" t="s">
        <v>387</v>
      </c>
      <c r="B317" s="19" t="s">
        <v>9</v>
      </c>
      <c r="C317" s="19" t="s">
        <v>43</v>
      </c>
      <c r="D317" s="21">
        <f ca="1">RANDBETWEEN(DATE(2022,10,1),DATE(2022,12,31))</f>
        <v>44900</v>
      </c>
      <c r="E317" s="26">
        <v>902856</v>
      </c>
      <c r="F317" s="28">
        <v>10.99</v>
      </c>
      <c r="G317" s="19">
        <v>22</v>
      </c>
      <c r="H317" s="27">
        <v>792442</v>
      </c>
      <c r="I317" s="19">
        <v>1</v>
      </c>
      <c r="J317" s="27">
        <v>388164</v>
      </c>
      <c r="K317" s="31">
        <v>0.71</v>
      </c>
    </row>
    <row r="318" spans="1:11">
      <c r="A318" s="19" t="s">
        <v>388</v>
      </c>
      <c r="B318" s="19" t="s">
        <v>10</v>
      </c>
      <c r="C318" s="19" t="s">
        <v>31</v>
      </c>
      <c r="D318" s="21">
        <f ca="1">RANDBETWEEN(DATE(2019,10,1),DATE(2019,12,31))</f>
        <v>43760</v>
      </c>
      <c r="E318" s="26">
        <v>266160</v>
      </c>
      <c r="F318" s="19">
        <v>10.04</v>
      </c>
      <c r="G318" s="19">
        <v>17</v>
      </c>
      <c r="H318" s="27">
        <v>93297</v>
      </c>
      <c r="I318" s="19">
        <v>0</v>
      </c>
      <c r="J318" s="27">
        <v>0</v>
      </c>
      <c r="K318" s="31">
        <v>0.7</v>
      </c>
    </row>
    <row r="319" spans="1:11">
      <c r="A319" s="19" t="s">
        <v>389</v>
      </c>
      <c r="B319" s="19" t="s">
        <v>7</v>
      </c>
      <c r="C319" s="19" t="s">
        <v>38</v>
      </c>
      <c r="D319" s="21">
        <f ca="1">RANDBETWEEN(DATE(2021,7,1),DATE(2021,9,30))</f>
        <v>44407</v>
      </c>
      <c r="E319" s="26">
        <v>960233</v>
      </c>
      <c r="F319" s="19">
        <v>8.96</v>
      </c>
      <c r="G319" s="19">
        <v>54</v>
      </c>
      <c r="H319" s="27">
        <v>927216</v>
      </c>
      <c r="I319" s="19">
        <v>1</v>
      </c>
      <c r="J319" s="27">
        <v>533023</v>
      </c>
      <c r="K319" s="33">
        <v>0.68</v>
      </c>
    </row>
    <row r="320" spans="1:11">
      <c r="A320" s="19" t="s">
        <v>390</v>
      </c>
      <c r="B320" s="19" t="s">
        <v>6</v>
      </c>
      <c r="C320" s="19" t="s">
        <v>41</v>
      </c>
      <c r="D320" s="21">
        <f ca="1">RANDBETWEEN(DATE(2022,4,1),DATE(2022,6,30))</f>
        <v>44706</v>
      </c>
      <c r="E320" s="26">
        <v>2058739</v>
      </c>
      <c r="F320" s="19">
        <v>8.41</v>
      </c>
      <c r="G320" s="19">
        <v>38</v>
      </c>
      <c r="H320" s="27">
        <v>1918953</v>
      </c>
      <c r="I320" s="19">
        <v>0</v>
      </c>
      <c r="J320" s="27">
        <v>0</v>
      </c>
      <c r="K320" s="30">
        <v>0.727</v>
      </c>
    </row>
    <row r="321" spans="1:11">
      <c r="A321" s="19" t="s">
        <v>391</v>
      </c>
      <c r="B321" s="19" t="s">
        <v>9</v>
      </c>
      <c r="C321" s="19" t="s">
        <v>38</v>
      </c>
      <c r="D321" s="21">
        <f ca="1">RANDBETWEEN(DATE(2021,7,1),DATE(2021,9,30))</f>
        <v>44424</v>
      </c>
      <c r="E321" s="26">
        <v>1646611</v>
      </c>
      <c r="F321" s="28">
        <v>11.4</v>
      </c>
      <c r="G321" s="19">
        <v>57</v>
      </c>
      <c r="H321" s="27">
        <v>673874</v>
      </c>
      <c r="I321" s="19">
        <v>0</v>
      </c>
      <c r="J321" s="27">
        <v>0</v>
      </c>
      <c r="K321" s="33">
        <v>0.68</v>
      </c>
    </row>
    <row r="322" spans="1:11">
      <c r="A322" s="19" t="s">
        <v>392</v>
      </c>
      <c r="B322" s="19" t="s">
        <v>8</v>
      </c>
      <c r="C322" s="19" t="s">
        <v>39</v>
      </c>
      <c r="D322" s="21">
        <f ca="1">RANDBETWEEN(DATE(2021,10,1),DATE(2021,12,31))</f>
        <v>44551</v>
      </c>
      <c r="E322" s="26">
        <v>2004562</v>
      </c>
      <c r="F322" s="19">
        <v>8.42</v>
      </c>
      <c r="G322" s="19">
        <v>72</v>
      </c>
      <c r="H322" s="27">
        <v>1867178</v>
      </c>
      <c r="I322" s="19">
        <v>0</v>
      </c>
      <c r="J322" s="27">
        <v>0</v>
      </c>
      <c r="K322" s="31">
        <v>0.71</v>
      </c>
    </row>
    <row r="323" spans="1:11">
      <c r="A323" s="19" t="s">
        <v>393</v>
      </c>
      <c r="B323" s="19" t="s">
        <v>8</v>
      </c>
      <c r="C323" s="19" t="s">
        <v>33</v>
      </c>
      <c r="D323" s="21">
        <f ca="1">RANDBETWEEN(DATE(2020,4,1),DATE(2020,6,30))</f>
        <v>43987</v>
      </c>
      <c r="E323" s="26">
        <v>241744</v>
      </c>
      <c r="F323" s="19">
        <v>8.98</v>
      </c>
      <c r="G323" s="19">
        <v>40</v>
      </c>
      <c r="H323" s="27">
        <v>51485</v>
      </c>
      <c r="I323" s="19">
        <v>0</v>
      </c>
      <c r="J323" s="27">
        <v>0</v>
      </c>
      <c r="K323" s="31">
        <v>0.72</v>
      </c>
    </row>
    <row r="324" spans="1:11">
      <c r="A324" s="19" t="s">
        <v>394</v>
      </c>
      <c r="B324" s="19" t="s">
        <v>7</v>
      </c>
      <c r="C324" s="19" t="s">
        <v>33</v>
      </c>
      <c r="D324" s="21">
        <f ca="1">RANDBETWEEN(DATE(2020,4,1),DATE(2020,6,30))</f>
        <v>43975</v>
      </c>
      <c r="E324" s="26">
        <v>2479101</v>
      </c>
      <c r="F324" s="19">
        <v>9.44</v>
      </c>
      <c r="G324" s="19">
        <v>49</v>
      </c>
      <c r="H324" s="27">
        <v>884923</v>
      </c>
      <c r="I324" s="19">
        <v>0</v>
      </c>
      <c r="J324" s="27">
        <v>0</v>
      </c>
      <c r="K324" s="31">
        <v>0.72</v>
      </c>
    </row>
    <row r="325" spans="1:11">
      <c r="A325" s="19" t="s">
        <v>395</v>
      </c>
      <c r="B325" s="19" t="s">
        <v>7</v>
      </c>
      <c r="C325" s="19" t="s">
        <v>37</v>
      </c>
      <c r="D325" s="21">
        <f ca="1">RANDBETWEEN(DATE(2021,4,1),DATE(2021,6,30))</f>
        <v>44340</v>
      </c>
      <c r="E325" s="26">
        <v>1080666</v>
      </c>
      <c r="F325" s="19">
        <v>9</v>
      </c>
      <c r="G325" s="19">
        <v>55</v>
      </c>
      <c r="H325" s="27">
        <v>876083</v>
      </c>
      <c r="I325" s="19">
        <v>0</v>
      </c>
      <c r="J325" s="27">
        <v>0</v>
      </c>
      <c r="K325" s="31">
        <v>0.72</v>
      </c>
    </row>
    <row r="326" spans="1:11">
      <c r="A326" s="19" t="s">
        <v>396</v>
      </c>
      <c r="B326" s="19" t="s">
        <v>8</v>
      </c>
      <c r="C326" s="19" t="s">
        <v>34</v>
      </c>
      <c r="D326" s="21">
        <f ca="1">RANDBETWEEN(DATE(2020,7,1),DATE(2020,9,30))</f>
        <v>44029</v>
      </c>
      <c r="E326" s="26">
        <v>1982856</v>
      </c>
      <c r="F326" s="19">
        <v>8.5</v>
      </c>
      <c r="G326" s="19">
        <v>57</v>
      </c>
      <c r="H326" s="27">
        <v>618585</v>
      </c>
      <c r="I326" s="19">
        <v>0</v>
      </c>
      <c r="J326" s="27">
        <v>0</v>
      </c>
      <c r="K326" s="31">
        <v>0.68</v>
      </c>
    </row>
    <row r="327" spans="1:11">
      <c r="A327" s="19" t="s">
        <v>397</v>
      </c>
      <c r="B327" s="19" t="s">
        <v>10</v>
      </c>
      <c r="C327" s="19" t="s">
        <v>45</v>
      </c>
      <c r="D327" s="21">
        <f ca="1">RANDBETWEEN(DATE(2023,4,1),DATE(2023,6,30))</f>
        <v>45036</v>
      </c>
      <c r="E327" s="26">
        <v>2323886</v>
      </c>
      <c r="F327" s="19">
        <v>11.48</v>
      </c>
      <c r="G327" s="19">
        <v>19</v>
      </c>
      <c r="H327" s="27">
        <v>527659</v>
      </c>
      <c r="I327" s="19">
        <v>0</v>
      </c>
      <c r="J327" s="27">
        <v>0</v>
      </c>
      <c r="K327" s="31">
        <v>0.73</v>
      </c>
    </row>
    <row r="328" spans="1:11">
      <c r="A328" s="19" t="s">
        <v>398</v>
      </c>
      <c r="B328" s="19" t="s">
        <v>6</v>
      </c>
      <c r="C328" s="19" t="s">
        <v>31</v>
      </c>
      <c r="D328" s="21">
        <f ca="1">RANDBETWEEN(DATE(2019,10,1),DATE(2019,12,31))</f>
        <v>43782</v>
      </c>
      <c r="E328" s="26">
        <v>76775</v>
      </c>
      <c r="F328" s="19">
        <v>7.91</v>
      </c>
      <c r="G328" s="19">
        <v>41</v>
      </c>
      <c r="H328" s="27">
        <v>58789</v>
      </c>
      <c r="I328" s="19">
        <v>1</v>
      </c>
      <c r="J328" s="27">
        <v>23650</v>
      </c>
      <c r="K328" s="31">
        <v>0.7</v>
      </c>
    </row>
    <row r="329" spans="1:11">
      <c r="A329" s="19" t="s">
        <v>399</v>
      </c>
      <c r="B329" s="19" t="s">
        <v>9</v>
      </c>
      <c r="C329" s="19" t="s">
        <v>44</v>
      </c>
      <c r="D329" s="21">
        <f ca="1">RANDBETWEEN(DATE(2023,1,1),DATE(2023,3,31))</f>
        <v>44934</v>
      </c>
      <c r="E329" s="26">
        <v>303546</v>
      </c>
      <c r="F329" s="28">
        <v>11.85</v>
      </c>
      <c r="G329" s="19">
        <v>73</v>
      </c>
      <c r="H329" s="27">
        <v>64529</v>
      </c>
      <c r="I329" s="19">
        <v>0</v>
      </c>
      <c r="J329" s="27">
        <v>0</v>
      </c>
      <c r="K329" s="31">
        <v>0.73</v>
      </c>
    </row>
    <row r="330" spans="1:11">
      <c r="A330" s="19" t="s">
        <v>400</v>
      </c>
      <c r="B330" s="19" t="s">
        <v>8</v>
      </c>
      <c r="C330" s="19" t="s">
        <v>46</v>
      </c>
      <c r="D330" s="21">
        <f ca="1">RANDBETWEEN(DATE(2023,7,1),DATE(2023,9,30))</f>
        <v>45150</v>
      </c>
      <c r="E330" s="26">
        <v>99706</v>
      </c>
      <c r="F330" s="19">
        <v>8.32</v>
      </c>
      <c r="G330" s="19">
        <v>47</v>
      </c>
      <c r="H330" s="27">
        <v>97909</v>
      </c>
      <c r="I330" s="19">
        <v>1</v>
      </c>
      <c r="J330" s="27">
        <v>51427</v>
      </c>
      <c r="K330" s="31">
        <v>0.76</v>
      </c>
    </row>
    <row r="331" spans="1:11">
      <c r="A331" s="19" t="s">
        <v>401</v>
      </c>
      <c r="B331" s="19" t="s">
        <v>8</v>
      </c>
      <c r="C331" s="19" t="s">
        <v>45</v>
      </c>
      <c r="D331" s="21">
        <f ca="1">RANDBETWEEN(DATE(2023,4,1),DATE(2023,6,30))</f>
        <v>45082</v>
      </c>
      <c r="E331" s="26">
        <v>801899</v>
      </c>
      <c r="F331" s="19">
        <v>8.43</v>
      </c>
      <c r="G331" s="19">
        <v>24</v>
      </c>
      <c r="H331" s="27">
        <v>255900</v>
      </c>
      <c r="I331" s="19">
        <v>0</v>
      </c>
      <c r="J331" s="27">
        <v>0</v>
      </c>
      <c r="K331" s="31">
        <v>0.73</v>
      </c>
    </row>
    <row r="332" spans="1:11">
      <c r="A332" s="19" t="s">
        <v>402</v>
      </c>
      <c r="B332" s="19" t="s">
        <v>7</v>
      </c>
      <c r="C332" s="19" t="s">
        <v>41</v>
      </c>
      <c r="D332" s="21">
        <f ca="1">RANDBETWEEN(DATE(2022,4,1),DATE(2022,6,30))</f>
        <v>44717</v>
      </c>
      <c r="E332" s="26">
        <v>1108718</v>
      </c>
      <c r="F332" s="19">
        <v>9.63</v>
      </c>
      <c r="G332" s="19">
        <v>46</v>
      </c>
      <c r="H332" s="27">
        <v>291831</v>
      </c>
      <c r="I332" s="19">
        <v>0</v>
      </c>
      <c r="J332" s="27">
        <v>0</v>
      </c>
      <c r="K332" s="30">
        <v>0.727</v>
      </c>
    </row>
    <row r="333" spans="1:11">
      <c r="A333" s="19" t="s">
        <v>403</v>
      </c>
      <c r="B333" s="19" t="s">
        <v>8</v>
      </c>
      <c r="C333" s="19" t="s">
        <v>38</v>
      </c>
      <c r="D333" s="21">
        <f ca="1">RANDBETWEEN(DATE(2021,7,1),DATE(2021,9,30))</f>
        <v>44383</v>
      </c>
      <c r="E333" s="26">
        <v>2419790</v>
      </c>
      <c r="F333" s="19">
        <v>8.59</v>
      </c>
      <c r="G333" s="19">
        <v>40</v>
      </c>
      <c r="H333" s="27">
        <v>1808147</v>
      </c>
      <c r="I333" s="19">
        <v>0</v>
      </c>
      <c r="J333" s="27">
        <v>0</v>
      </c>
      <c r="K333" s="33">
        <v>0.68</v>
      </c>
    </row>
    <row r="334" spans="1:11">
      <c r="A334" s="19" t="s">
        <v>404</v>
      </c>
      <c r="B334" s="19" t="s">
        <v>6</v>
      </c>
      <c r="C334" s="19" t="s">
        <v>46</v>
      </c>
      <c r="D334" s="21">
        <f ca="1">RANDBETWEEN(DATE(2023,7,1),DATE(2023,9,30))</f>
        <v>45114</v>
      </c>
      <c r="E334" s="26">
        <v>442169</v>
      </c>
      <c r="F334" s="19">
        <v>7.91</v>
      </c>
      <c r="G334" s="19">
        <v>60</v>
      </c>
      <c r="H334" s="27">
        <v>256813</v>
      </c>
      <c r="I334" s="19">
        <v>0</v>
      </c>
      <c r="J334" s="27">
        <v>0</v>
      </c>
      <c r="K334" s="31">
        <v>0.76</v>
      </c>
    </row>
    <row r="335" spans="1:11">
      <c r="A335" s="19" t="s">
        <v>405</v>
      </c>
      <c r="B335" s="19" t="s">
        <v>10</v>
      </c>
      <c r="C335" s="19" t="s">
        <v>39</v>
      </c>
      <c r="D335" s="21">
        <f ca="1">RANDBETWEEN(DATE(2021,10,1),DATE(2021,12,31))</f>
        <v>44474</v>
      </c>
      <c r="E335" s="26">
        <v>396810</v>
      </c>
      <c r="F335" s="19">
        <v>10.5</v>
      </c>
      <c r="G335" s="19">
        <v>67</v>
      </c>
      <c r="H335" s="27">
        <v>258992</v>
      </c>
      <c r="I335" s="19">
        <v>0</v>
      </c>
      <c r="J335" s="27">
        <v>0</v>
      </c>
      <c r="K335" s="31">
        <v>0.71</v>
      </c>
    </row>
    <row r="336" spans="1:11">
      <c r="A336" s="19" t="s">
        <v>406</v>
      </c>
      <c r="B336" s="19" t="s">
        <v>6</v>
      </c>
      <c r="C336" s="19" t="s">
        <v>35</v>
      </c>
      <c r="D336" s="21">
        <f ca="1">RANDBETWEEN(DATE(2020,10,1),DATE(2020,12,31))</f>
        <v>44196</v>
      </c>
      <c r="E336" s="26">
        <v>2265260</v>
      </c>
      <c r="F336" s="19">
        <v>8.42</v>
      </c>
      <c r="G336" s="19">
        <v>41</v>
      </c>
      <c r="H336" s="27">
        <v>2086346</v>
      </c>
      <c r="I336" s="19">
        <v>0</v>
      </c>
      <c r="J336" s="27">
        <v>0</v>
      </c>
      <c r="K336" s="31">
        <v>0.68</v>
      </c>
    </row>
    <row r="337" spans="1:11">
      <c r="A337" s="19" t="s">
        <v>407</v>
      </c>
      <c r="B337" s="19" t="s">
        <v>7</v>
      </c>
      <c r="C337" s="19" t="s">
        <v>37</v>
      </c>
      <c r="D337" s="21">
        <f ca="1">RANDBETWEEN(DATE(2021,4,1),DATE(2021,6,30))</f>
        <v>44350</v>
      </c>
      <c r="E337" s="26">
        <v>2044392</v>
      </c>
      <c r="F337" s="19">
        <v>8.54</v>
      </c>
      <c r="G337" s="19">
        <v>21</v>
      </c>
      <c r="H337" s="27">
        <v>1879714</v>
      </c>
      <c r="I337" s="19">
        <v>0</v>
      </c>
      <c r="J337" s="27">
        <v>0</v>
      </c>
      <c r="K337" s="31">
        <v>0.72</v>
      </c>
    </row>
    <row r="338" spans="1:11">
      <c r="A338" s="19" t="s">
        <v>408</v>
      </c>
      <c r="B338" s="19" t="s">
        <v>6</v>
      </c>
      <c r="C338" s="19" t="s">
        <v>29</v>
      </c>
      <c r="D338" s="21">
        <f ca="1">RANDBETWEEN(DATE(2019,4,1),DATE(2019,6,30))</f>
        <v>43633</v>
      </c>
      <c r="E338" s="26">
        <v>802267</v>
      </c>
      <c r="F338" s="19">
        <v>8.43</v>
      </c>
      <c r="G338" s="19">
        <v>52</v>
      </c>
      <c r="H338" s="27">
        <v>777537</v>
      </c>
      <c r="I338" s="19">
        <v>0</v>
      </c>
      <c r="J338" s="27">
        <v>0</v>
      </c>
      <c r="K338" s="31">
        <v>0.71</v>
      </c>
    </row>
    <row r="339" spans="1:11">
      <c r="A339" s="19" t="s">
        <v>409</v>
      </c>
      <c r="B339" s="19" t="s">
        <v>8</v>
      </c>
      <c r="C339" s="19" t="s">
        <v>36</v>
      </c>
      <c r="D339" s="21">
        <f ca="1">RANDBETWEEN(DATE(2021,1,1),DATE(2021,3,31))</f>
        <v>44254</v>
      </c>
      <c r="E339" s="26">
        <v>372699</v>
      </c>
      <c r="F339" s="19">
        <v>8.66</v>
      </c>
      <c r="G339" s="19">
        <v>84</v>
      </c>
      <c r="H339" s="27">
        <v>243505</v>
      </c>
      <c r="I339" s="19">
        <v>0</v>
      </c>
      <c r="J339" s="27">
        <v>0</v>
      </c>
      <c r="K339" s="30">
        <v>0.744</v>
      </c>
    </row>
    <row r="340" spans="1:11">
      <c r="A340" s="19" t="s">
        <v>410</v>
      </c>
      <c r="B340" s="19" t="s">
        <v>7</v>
      </c>
      <c r="C340" s="19" t="s">
        <v>31</v>
      </c>
      <c r="D340" s="21">
        <f ca="1">RANDBETWEEN(DATE(2019,10,1),DATE(2019,12,31))</f>
        <v>43777</v>
      </c>
      <c r="E340" s="26">
        <v>1441375</v>
      </c>
      <c r="F340" s="19">
        <v>8.77</v>
      </c>
      <c r="G340" s="19">
        <v>29</v>
      </c>
      <c r="H340" s="27">
        <v>865739</v>
      </c>
      <c r="I340" s="19">
        <v>1</v>
      </c>
      <c r="J340" s="27">
        <v>547890</v>
      </c>
      <c r="K340" s="31">
        <v>0.7</v>
      </c>
    </row>
    <row r="341" spans="1:11">
      <c r="A341" s="19" t="s">
        <v>411</v>
      </c>
      <c r="B341" s="19" t="s">
        <v>6</v>
      </c>
      <c r="C341" s="19" t="s">
        <v>39</v>
      </c>
      <c r="D341" s="21">
        <f ca="1">RANDBETWEEN(DATE(2021,10,1),DATE(2021,12,31))</f>
        <v>44508</v>
      </c>
      <c r="E341" s="26">
        <v>459723</v>
      </c>
      <c r="F341" s="19">
        <v>7.94</v>
      </c>
      <c r="G341" s="19">
        <v>21</v>
      </c>
      <c r="H341" s="27">
        <v>314512</v>
      </c>
      <c r="I341" s="19">
        <v>0</v>
      </c>
      <c r="J341" s="27">
        <v>0</v>
      </c>
      <c r="K341" s="31">
        <v>0.71</v>
      </c>
    </row>
    <row r="342" spans="1:11">
      <c r="A342" s="19" t="s">
        <v>412</v>
      </c>
      <c r="B342" s="19" t="s">
        <v>7</v>
      </c>
      <c r="C342" s="19" t="s">
        <v>29</v>
      </c>
      <c r="D342" s="21">
        <f ca="1">RANDBETWEEN(DATE(2019,4,1),DATE(2019,6,30))</f>
        <v>43591</v>
      </c>
      <c r="E342" s="26">
        <v>1713893</v>
      </c>
      <c r="F342" s="19">
        <v>9.94</v>
      </c>
      <c r="G342" s="19">
        <v>53</v>
      </c>
      <c r="H342" s="27">
        <v>1212233</v>
      </c>
      <c r="I342" s="19">
        <v>0</v>
      </c>
      <c r="J342" s="27">
        <v>0</v>
      </c>
      <c r="K342" s="31">
        <v>0.71</v>
      </c>
    </row>
    <row r="343" spans="1:11">
      <c r="A343" s="19" t="s">
        <v>413</v>
      </c>
      <c r="B343" s="19" t="s">
        <v>8</v>
      </c>
      <c r="C343" s="19" t="s">
        <v>41</v>
      </c>
      <c r="D343" s="21">
        <f ca="1">RANDBETWEEN(DATE(2022,4,1),DATE(2022,6,30))</f>
        <v>44703</v>
      </c>
      <c r="E343" s="26">
        <v>2107740</v>
      </c>
      <c r="F343" s="19">
        <v>8.57</v>
      </c>
      <c r="G343" s="19">
        <v>82</v>
      </c>
      <c r="H343" s="27">
        <v>1149726</v>
      </c>
      <c r="I343" s="19">
        <v>0</v>
      </c>
      <c r="J343" s="27">
        <v>0</v>
      </c>
      <c r="K343" s="30">
        <v>0.727</v>
      </c>
    </row>
    <row r="344" spans="1:11">
      <c r="A344" s="19" t="s">
        <v>414</v>
      </c>
      <c r="B344" s="19" t="s">
        <v>8</v>
      </c>
      <c r="C344" s="19" t="s">
        <v>36</v>
      </c>
      <c r="D344" s="21">
        <f ca="1">RANDBETWEEN(DATE(2021,1,1),DATE(2021,3,31))</f>
        <v>44268</v>
      </c>
      <c r="E344" s="26">
        <v>409427</v>
      </c>
      <c r="F344" s="19">
        <v>9.23</v>
      </c>
      <c r="G344" s="19">
        <v>49</v>
      </c>
      <c r="H344" s="27">
        <v>315458</v>
      </c>
      <c r="I344" s="19">
        <v>0</v>
      </c>
      <c r="J344" s="27">
        <v>0</v>
      </c>
      <c r="K344" s="30">
        <v>0.744</v>
      </c>
    </row>
    <row r="345" spans="1:11">
      <c r="A345" s="19" t="s">
        <v>415</v>
      </c>
      <c r="B345" s="19" t="s">
        <v>10</v>
      </c>
      <c r="C345" s="19" t="s">
        <v>41</v>
      </c>
      <c r="D345" s="21">
        <f ca="1">RANDBETWEEN(DATE(2022,4,1),DATE(2022,6,30))</f>
        <v>44679</v>
      </c>
      <c r="E345" s="26">
        <v>1643835</v>
      </c>
      <c r="F345" s="19">
        <v>10.92</v>
      </c>
      <c r="G345" s="19">
        <v>31</v>
      </c>
      <c r="H345" s="27">
        <v>745220</v>
      </c>
      <c r="I345" s="19">
        <v>0</v>
      </c>
      <c r="J345" s="27">
        <v>0</v>
      </c>
      <c r="K345" s="30">
        <v>0.727</v>
      </c>
    </row>
    <row r="346" spans="1:11">
      <c r="A346" s="19" t="s">
        <v>416</v>
      </c>
      <c r="B346" s="19" t="s">
        <v>6</v>
      </c>
      <c r="C346" s="19" t="s">
        <v>32</v>
      </c>
      <c r="D346" s="21">
        <f ca="1">RANDBETWEEN(DATE(2020,1,1),DATE(2020,3,31))</f>
        <v>43903</v>
      </c>
      <c r="E346" s="26">
        <v>1342967</v>
      </c>
      <c r="F346" s="19">
        <v>7.94</v>
      </c>
      <c r="G346" s="19">
        <v>46</v>
      </c>
      <c r="H346" s="27">
        <v>410955</v>
      </c>
      <c r="I346" s="19">
        <v>0</v>
      </c>
      <c r="J346" s="27">
        <v>0</v>
      </c>
      <c r="K346" s="31">
        <v>0.68</v>
      </c>
    </row>
    <row r="347" spans="1:11">
      <c r="A347" s="19" t="s">
        <v>417</v>
      </c>
      <c r="B347" s="19" t="s">
        <v>8</v>
      </c>
      <c r="C347" s="19" t="s">
        <v>32</v>
      </c>
      <c r="D347" s="21">
        <f ca="1">RANDBETWEEN(DATE(2020,1,1),DATE(2020,3,31))</f>
        <v>43895</v>
      </c>
      <c r="E347" s="26">
        <v>2386164</v>
      </c>
      <c r="F347" s="19">
        <v>8.97</v>
      </c>
      <c r="G347" s="19">
        <v>64</v>
      </c>
      <c r="H347" s="27">
        <v>527364</v>
      </c>
      <c r="I347" s="19">
        <v>0</v>
      </c>
      <c r="J347" s="27">
        <v>0</v>
      </c>
      <c r="K347" s="31">
        <v>0.68</v>
      </c>
    </row>
    <row r="348" spans="1:11">
      <c r="A348" s="19" t="s">
        <v>418</v>
      </c>
      <c r="B348" s="19" t="s">
        <v>6</v>
      </c>
      <c r="C348" s="19" t="s">
        <v>38</v>
      </c>
      <c r="D348" s="21">
        <f ca="1">RANDBETWEEN(DATE(2021,7,1),DATE(2021,9,30))</f>
        <v>44405</v>
      </c>
      <c r="E348" s="26">
        <v>1410759</v>
      </c>
      <c r="F348" s="19">
        <v>8.36</v>
      </c>
      <c r="G348" s="19">
        <v>13</v>
      </c>
      <c r="H348" s="27">
        <v>749180</v>
      </c>
      <c r="I348" s="19">
        <v>0</v>
      </c>
      <c r="J348" s="27">
        <v>0</v>
      </c>
      <c r="K348" s="33">
        <v>0.68</v>
      </c>
    </row>
    <row r="349" spans="1:11">
      <c r="A349" s="19" t="s">
        <v>419</v>
      </c>
      <c r="B349" s="19" t="s">
        <v>7</v>
      </c>
      <c r="C349" s="19" t="s">
        <v>41</v>
      </c>
      <c r="D349" s="21">
        <f ca="1">RANDBETWEEN(DATE(2022,4,1),DATE(2022,6,30))</f>
        <v>44688</v>
      </c>
      <c r="E349" s="26">
        <v>1068135</v>
      </c>
      <c r="F349" s="19">
        <v>9.14</v>
      </c>
      <c r="G349" s="19">
        <v>33</v>
      </c>
      <c r="H349" s="27">
        <v>358467</v>
      </c>
      <c r="I349" s="19">
        <v>0</v>
      </c>
      <c r="J349" s="27">
        <v>0</v>
      </c>
      <c r="K349" s="30">
        <v>0.727</v>
      </c>
    </row>
    <row r="350" spans="1:11">
      <c r="A350" s="19" t="s">
        <v>420</v>
      </c>
      <c r="B350" s="19" t="s">
        <v>9</v>
      </c>
      <c r="C350" s="19" t="s">
        <v>42</v>
      </c>
      <c r="D350" s="21">
        <f ca="1">RANDBETWEEN(DATE(2022,7,1),DATE(2022,9,30))</f>
        <v>44770</v>
      </c>
      <c r="E350" s="26">
        <v>2118311</v>
      </c>
      <c r="F350" s="28">
        <v>10.44</v>
      </c>
      <c r="G350" s="19">
        <v>33</v>
      </c>
      <c r="H350" s="27">
        <v>891320</v>
      </c>
      <c r="I350" s="19">
        <v>0</v>
      </c>
      <c r="J350" s="27">
        <v>0</v>
      </c>
      <c r="K350" s="31">
        <v>0.73</v>
      </c>
    </row>
    <row r="351" spans="1:11">
      <c r="A351" s="19" t="s">
        <v>421</v>
      </c>
      <c r="B351" s="19" t="s">
        <v>6</v>
      </c>
      <c r="C351" s="19" t="s">
        <v>44</v>
      </c>
      <c r="D351" s="21">
        <f ca="1">RANDBETWEEN(DATE(2023,1,1),DATE(2023,3,31))</f>
        <v>45008</v>
      </c>
      <c r="E351" s="26">
        <v>1564667</v>
      </c>
      <c r="F351" s="19">
        <v>7.75</v>
      </c>
      <c r="G351" s="19">
        <v>43</v>
      </c>
      <c r="H351" s="27">
        <v>1056220</v>
      </c>
      <c r="I351" s="19">
        <v>0</v>
      </c>
      <c r="J351" s="27">
        <v>0</v>
      </c>
      <c r="K351" s="31">
        <v>0.73</v>
      </c>
    </row>
    <row r="352" spans="1:11">
      <c r="A352" s="19" t="s">
        <v>422</v>
      </c>
      <c r="B352" s="19" t="s">
        <v>6</v>
      </c>
      <c r="C352" s="19" t="s">
        <v>39</v>
      </c>
      <c r="D352" s="21">
        <f ca="1">RANDBETWEEN(DATE(2021,10,1),DATE(2021,12,31))</f>
        <v>44556</v>
      </c>
      <c r="E352" s="26">
        <v>618284</v>
      </c>
      <c r="F352" s="19">
        <v>7.8</v>
      </c>
      <c r="G352" s="19">
        <v>62</v>
      </c>
      <c r="H352" s="27">
        <v>539941</v>
      </c>
      <c r="I352" s="19">
        <v>0</v>
      </c>
      <c r="J352" s="27">
        <v>0</v>
      </c>
      <c r="K352" s="31">
        <v>0.71</v>
      </c>
    </row>
    <row r="353" spans="1:11">
      <c r="A353" s="19" t="s">
        <v>423</v>
      </c>
      <c r="B353" s="19" t="s">
        <v>9</v>
      </c>
      <c r="C353" s="19" t="s">
        <v>38</v>
      </c>
      <c r="D353" s="21">
        <f ca="1">RANDBETWEEN(DATE(2021,7,1),DATE(2021,9,30))</f>
        <v>44445</v>
      </c>
      <c r="E353" s="26">
        <v>1896428</v>
      </c>
      <c r="F353" s="28">
        <v>11</v>
      </c>
      <c r="G353" s="19">
        <v>29</v>
      </c>
      <c r="H353" s="27">
        <v>865780</v>
      </c>
      <c r="I353" s="19">
        <v>0</v>
      </c>
      <c r="J353" s="27">
        <v>0</v>
      </c>
      <c r="K353" s="33">
        <v>0.68</v>
      </c>
    </row>
    <row r="354" spans="1:11">
      <c r="A354" s="19" t="s">
        <v>424</v>
      </c>
      <c r="B354" s="19" t="s">
        <v>10</v>
      </c>
      <c r="C354" s="19" t="s">
        <v>39</v>
      </c>
      <c r="D354" s="21">
        <f ca="1">RANDBETWEEN(DATE(2021,10,1),DATE(2021,12,31))</f>
        <v>44509</v>
      </c>
      <c r="E354" s="26">
        <v>2059112</v>
      </c>
      <c r="F354" s="19">
        <v>10.13</v>
      </c>
      <c r="G354" s="19">
        <v>62</v>
      </c>
      <c r="H354" s="27">
        <v>891921</v>
      </c>
      <c r="I354" s="19">
        <v>0</v>
      </c>
      <c r="J354" s="27">
        <v>0</v>
      </c>
      <c r="K354" s="31">
        <v>0.71</v>
      </c>
    </row>
    <row r="355" spans="1:11">
      <c r="A355" s="19" t="s">
        <v>425</v>
      </c>
      <c r="B355" s="19" t="s">
        <v>8</v>
      </c>
      <c r="C355" s="19" t="s">
        <v>41</v>
      </c>
      <c r="D355" s="21">
        <f ca="1">RANDBETWEEN(DATE(2022,4,1),DATE(2022,6,30))</f>
        <v>44707</v>
      </c>
      <c r="E355" s="26">
        <v>2465412</v>
      </c>
      <c r="F355" s="19">
        <v>9.24</v>
      </c>
      <c r="G355" s="19">
        <v>53</v>
      </c>
      <c r="H355" s="27">
        <v>1045926</v>
      </c>
      <c r="I355" s="19">
        <v>0</v>
      </c>
      <c r="J355" s="27">
        <v>0</v>
      </c>
      <c r="K355" s="30">
        <v>0.727</v>
      </c>
    </row>
    <row r="356" spans="1:11">
      <c r="A356" s="19" t="s">
        <v>426</v>
      </c>
      <c r="B356" s="19" t="s">
        <v>9</v>
      </c>
      <c r="C356" s="19" t="s">
        <v>47</v>
      </c>
      <c r="D356" s="21">
        <f ca="1">RANDBETWEEN(DATE(2023,10,1),DATE(2023,12,31))</f>
        <v>45234</v>
      </c>
      <c r="E356" s="26">
        <v>527680</v>
      </c>
      <c r="F356" s="28">
        <v>12.8</v>
      </c>
      <c r="G356" s="19">
        <v>37</v>
      </c>
      <c r="H356" s="27">
        <v>526525</v>
      </c>
      <c r="I356" s="19">
        <v>0</v>
      </c>
      <c r="J356" s="27">
        <v>0</v>
      </c>
      <c r="K356" s="32">
        <v>0.74</v>
      </c>
    </row>
    <row r="357" spans="1:11">
      <c r="A357" s="19" t="s">
        <v>427</v>
      </c>
      <c r="B357" s="19" t="s">
        <v>7</v>
      </c>
      <c r="C357" s="19" t="s">
        <v>35</v>
      </c>
      <c r="D357" s="21">
        <f ca="1">RANDBETWEEN(DATE(2020,10,1),DATE(2020,12,31))</f>
        <v>44140</v>
      </c>
      <c r="E357" s="26">
        <v>162894</v>
      </c>
      <c r="F357" s="19">
        <v>9.91</v>
      </c>
      <c r="G357" s="19">
        <v>71</v>
      </c>
      <c r="H357" s="27">
        <v>89716</v>
      </c>
      <c r="I357" s="19">
        <v>0</v>
      </c>
      <c r="J357" s="27">
        <v>0</v>
      </c>
      <c r="K357" s="31">
        <v>0.68</v>
      </c>
    </row>
    <row r="358" spans="1:11">
      <c r="A358" s="19" t="s">
        <v>428</v>
      </c>
      <c r="B358" s="19" t="s">
        <v>6</v>
      </c>
      <c r="C358" s="19" t="s">
        <v>38</v>
      </c>
      <c r="D358" s="21">
        <f ca="1">RANDBETWEEN(DATE(2021,7,1),DATE(2021,9,30))</f>
        <v>44385</v>
      </c>
      <c r="E358" s="26">
        <v>1766064</v>
      </c>
      <c r="F358" s="19">
        <v>8.17</v>
      </c>
      <c r="G358" s="19">
        <v>29</v>
      </c>
      <c r="H358" s="27">
        <v>695152</v>
      </c>
      <c r="I358" s="19">
        <v>0</v>
      </c>
      <c r="J358" s="27">
        <v>0</v>
      </c>
      <c r="K358" s="33">
        <v>0.68</v>
      </c>
    </row>
    <row r="359" spans="1:11">
      <c r="A359" s="19" t="s">
        <v>429</v>
      </c>
      <c r="B359" s="19" t="s">
        <v>8</v>
      </c>
      <c r="C359" s="19" t="s">
        <v>47</v>
      </c>
      <c r="D359" s="21">
        <f ca="1">RANDBETWEEN(DATE(2023,10,1),DATE(2023,12,31))</f>
        <v>45235</v>
      </c>
      <c r="E359" s="26">
        <v>1631214</v>
      </c>
      <c r="F359" s="19">
        <v>8.39</v>
      </c>
      <c r="G359" s="19">
        <v>73</v>
      </c>
      <c r="H359" s="27">
        <v>849281</v>
      </c>
      <c r="I359" s="19">
        <v>0</v>
      </c>
      <c r="J359" s="27">
        <v>0</v>
      </c>
      <c r="K359" s="32">
        <v>0.74</v>
      </c>
    </row>
    <row r="360" spans="1:11">
      <c r="A360" s="19" t="s">
        <v>430</v>
      </c>
      <c r="B360" s="19" t="s">
        <v>8</v>
      </c>
      <c r="C360" s="19" t="s">
        <v>46</v>
      </c>
      <c r="D360" s="21">
        <f ca="1">RANDBETWEEN(DATE(2023,7,1),DATE(2023,9,30))</f>
        <v>45174</v>
      </c>
      <c r="E360" s="26">
        <v>2330213</v>
      </c>
      <c r="F360" s="19">
        <v>8.34</v>
      </c>
      <c r="G360" s="19">
        <v>58</v>
      </c>
      <c r="H360" s="27">
        <v>1573024</v>
      </c>
      <c r="I360" s="19">
        <v>0</v>
      </c>
      <c r="J360" s="27">
        <v>0</v>
      </c>
      <c r="K360" s="31">
        <v>0.76</v>
      </c>
    </row>
    <row r="361" spans="1:11">
      <c r="A361" s="19" t="s">
        <v>431</v>
      </c>
      <c r="B361" s="19" t="s">
        <v>6</v>
      </c>
      <c r="C361" s="19" t="s">
        <v>34</v>
      </c>
      <c r="D361" s="21">
        <f ca="1">RANDBETWEEN(DATE(2020,7,1),DATE(2020,9,30))</f>
        <v>44050</v>
      </c>
      <c r="E361" s="26">
        <v>1091156</v>
      </c>
      <c r="F361" s="19">
        <v>8.16</v>
      </c>
      <c r="G361" s="19">
        <v>57</v>
      </c>
      <c r="H361" s="27">
        <v>783013</v>
      </c>
      <c r="I361" s="19">
        <v>1</v>
      </c>
      <c r="J361" s="27">
        <v>464673</v>
      </c>
      <c r="K361" s="31">
        <v>0.68</v>
      </c>
    </row>
    <row r="362" spans="1:11">
      <c r="A362" s="19" t="s">
        <v>432</v>
      </c>
      <c r="B362" s="19" t="s">
        <v>8</v>
      </c>
      <c r="C362" s="19" t="s">
        <v>32</v>
      </c>
      <c r="D362" s="21">
        <f ca="1">RANDBETWEEN(DATE(2020,1,1),DATE(2020,3,31))</f>
        <v>43841</v>
      </c>
      <c r="E362" s="26">
        <v>1440817</v>
      </c>
      <c r="F362" s="19">
        <v>9.46</v>
      </c>
      <c r="G362" s="19">
        <v>67</v>
      </c>
      <c r="H362" s="27">
        <v>300321</v>
      </c>
      <c r="I362" s="19">
        <v>0</v>
      </c>
      <c r="J362" s="27">
        <v>0</v>
      </c>
      <c r="K362" s="31">
        <v>0.68</v>
      </c>
    </row>
    <row r="363" spans="1:11">
      <c r="A363" s="19" t="s">
        <v>433</v>
      </c>
      <c r="B363" s="19" t="s">
        <v>7</v>
      </c>
      <c r="C363" s="19" t="s">
        <v>43</v>
      </c>
      <c r="D363" s="21">
        <f ca="1">RANDBETWEEN(DATE(2022,10,1),DATE(2022,12,31))</f>
        <v>44913</v>
      </c>
      <c r="E363" s="26">
        <v>2225995</v>
      </c>
      <c r="F363" s="19">
        <v>9.12</v>
      </c>
      <c r="G363" s="19">
        <v>40</v>
      </c>
      <c r="H363" s="27">
        <v>1111429</v>
      </c>
      <c r="I363" s="19">
        <v>0</v>
      </c>
      <c r="J363" s="27">
        <v>0</v>
      </c>
      <c r="K363" s="31">
        <v>0.71</v>
      </c>
    </row>
    <row r="364" spans="1:11">
      <c r="A364" s="19" t="s">
        <v>434</v>
      </c>
      <c r="B364" s="19" t="s">
        <v>7</v>
      </c>
      <c r="C364" s="19" t="s">
        <v>44</v>
      </c>
      <c r="D364" s="21">
        <f ca="1">RANDBETWEEN(DATE(2023,1,1),DATE(2023,3,31))</f>
        <v>45012</v>
      </c>
      <c r="E364" s="26">
        <v>2149105</v>
      </c>
      <c r="F364" s="19">
        <v>8.3</v>
      </c>
      <c r="G364" s="19">
        <v>15</v>
      </c>
      <c r="H364" s="27">
        <v>609571</v>
      </c>
      <c r="I364" s="19">
        <v>0</v>
      </c>
      <c r="J364" s="27">
        <v>0</v>
      </c>
      <c r="K364" s="31">
        <v>0.73</v>
      </c>
    </row>
    <row r="365" spans="1:11">
      <c r="A365" s="19" t="s">
        <v>435</v>
      </c>
      <c r="B365" s="19" t="s">
        <v>6</v>
      </c>
      <c r="C365" s="19" t="s">
        <v>40</v>
      </c>
      <c r="D365" s="21">
        <f ca="1">RANDBETWEEN(DATE(2022,1,1),DATE(2022,3,31))</f>
        <v>44645</v>
      </c>
      <c r="E365" s="26">
        <v>536830</v>
      </c>
      <c r="F365" s="19">
        <v>8.33</v>
      </c>
      <c r="G365" s="19">
        <v>30</v>
      </c>
      <c r="H365" s="27">
        <v>241311</v>
      </c>
      <c r="I365" s="19">
        <v>0</v>
      </c>
      <c r="J365" s="27">
        <v>0</v>
      </c>
      <c r="K365" s="31">
        <v>0.71</v>
      </c>
    </row>
    <row r="366" spans="1:11">
      <c r="A366" s="19" t="s">
        <v>436</v>
      </c>
      <c r="B366" s="19" t="s">
        <v>10</v>
      </c>
      <c r="C366" s="19" t="s">
        <v>32</v>
      </c>
      <c r="D366" s="21">
        <f ca="1">RANDBETWEEN(DATE(2020,1,1),DATE(2020,3,31))</f>
        <v>43917</v>
      </c>
      <c r="E366" s="26">
        <v>2235714</v>
      </c>
      <c r="F366" s="19">
        <v>10.47</v>
      </c>
      <c r="G366" s="19">
        <v>72</v>
      </c>
      <c r="H366" s="27">
        <v>1230833</v>
      </c>
      <c r="I366" s="19">
        <v>0</v>
      </c>
      <c r="J366" s="27">
        <v>0</v>
      </c>
      <c r="K366" s="31">
        <v>0.68</v>
      </c>
    </row>
    <row r="367" spans="1:11">
      <c r="A367" s="19" t="s">
        <v>437</v>
      </c>
      <c r="B367" s="19" t="s">
        <v>9</v>
      </c>
      <c r="C367" s="19" t="s">
        <v>29</v>
      </c>
      <c r="D367" s="21">
        <f ca="1">RANDBETWEEN(DATE(2019,4,1),DATE(2019,6,30))</f>
        <v>43557</v>
      </c>
      <c r="E367" s="26">
        <v>331749</v>
      </c>
      <c r="F367" s="28">
        <v>10.9</v>
      </c>
      <c r="G367" s="19">
        <v>26</v>
      </c>
      <c r="H367" s="27">
        <v>291721</v>
      </c>
      <c r="I367" s="19">
        <v>0</v>
      </c>
      <c r="J367" s="27">
        <v>0</v>
      </c>
      <c r="K367" s="31">
        <v>0.71</v>
      </c>
    </row>
    <row r="368" spans="1:11">
      <c r="A368" s="19" t="s">
        <v>438</v>
      </c>
      <c r="B368" s="19" t="s">
        <v>10</v>
      </c>
      <c r="C368" s="19" t="s">
        <v>34</v>
      </c>
      <c r="D368" s="21">
        <f ca="1">RANDBETWEEN(DATE(2020,7,1),DATE(2020,9,30))</f>
        <v>44047</v>
      </c>
      <c r="E368" s="26">
        <v>1073045</v>
      </c>
      <c r="F368" s="19">
        <v>10.53</v>
      </c>
      <c r="G368" s="19">
        <v>82</v>
      </c>
      <c r="H368" s="27">
        <v>498742</v>
      </c>
      <c r="I368" s="19">
        <v>0</v>
      </c>
      <c r="J368" s="27">
        <v>0</v>
      </c>
      <c r="K368" s="31">
        <v>0.68</v>
      </c>
    </row>
    <row r="369" spans="1:11">
      <c r="A369" s="19" t="s">
        <v>439</v>
      </c>
      <c r="B369" s="19" t="s">
        <v>8</v>
      </c>
      <c r="C369" s="19" t="s">
        <v>34</v>
      </c>
      <c r="D369" s="21">
        <f ca="1">RANDBETWEEN(DATE(2020,7,1),DATE(2020,9,30))</f>
        <v>44039</v>
      </c>
      <c r="E369" s="26">
        <v>1022472</v>
      </c>
      <c r="F369" s="19">
        <v>9.26</v>
      </c>
      <c r="G369" s="19">
        <v>35</v>
      </c>
      <c r="H369" s="27">
        <v>728391</v>
      </c>
      <c r="I369" s="19">
        <v>0</v>
      </c>
      <c r="J369" s="27">
        <v>0</v>
      </c>
      <c r="K369" s="31">
        <v>0.68</v>
      </c>
    </row>
    <row r="370" spans="1:11">
      <c r="A370" s="19" t="s">
        <v>440</v>
      </c>
      <c r="B370" s="19" t="s">
        <v>6</v>
      </c>
      <c r="C370" s="19" t="s">
        <v>41</v>
      </c>
      <c r="D370" s="21">
        <f ca="1">RANDBETWEEN(DATE(2022,4,1),DATE(2022,6,30))</f>
        <v>44693</v>
      </c>
      <c r="E370" s="26">
        <v>877638</v>
      </c>
      <c r="F370" s="19">
        <v>7.95</v>
      </c>
      <c r="G370" s="19">
        <v>66</v>
      </c>
      <c r="H370" s="27">
        <v>178652</v>
      </c>
      <c r="I370" s="19">
        <v>0</v>
      </c>
      <c r="J370" s="27">
        <v>0</v>
      </c>
      <c r="K370" s="30">
        <v>0.727</v>
      </c>
    </row>
    <row r="371" spans="1:11">
      <c r="A371" s="19" t="s">
        <v>441</v>
      </c>
      <c r="B371" s="19" t="s">
        <v>9</v>
      </c>
      <c r="C371" s="19" t="s">
        <v>34</v>
      </c>
      <c r="D371" s="21">
        <f ca="1">RANDBETWEEN(DATE(2020,7,1),DATE(2020,9,30))</f>
        <v>44069</v>
      </c>
      <c r="E371" s="26">
        <v>312411</v>
      </c>
      <c r="F371" s="28">
        <v>11.73</v>
      </c>
      <c r="G371" s="19">
        <v>80</v>
      </c>
      <c r="H371" s="27">
        <v>153904</v>
      </c>
      <c r="I371" s="19">
        <v>0</v>
      </c>
      <c r="J371" s="27">
        <v>0</v>
      </c>
      <c r="K371" s="31">
        <v>0.68</v>
      </c>
    </row>
    <row r="372" spans="1:11">
      <c r="A372" s="19" t="s">
        <v>442</v>
      </c>
      <c r="B372" s="19" t="s">
        <v>6</v>
      </c>
      <c r="C372" s="19" t="s">
        <v>45</v>
      </c>
      <c r="D372" s="21">
        <f ca="1">RANDBETWEEN(DATE(2023,4,1),DATE(2023,6,30))</f>
        <v>45023</v>
      </c>
      <c r="E372" s="26">
        <v>1150389</v>
      </c>
      <c r="F372" s="19">
        <v>8.17</v>
      </c>
      <c r="G372" s="19">
        <v>74</v>
      </c>
      <c r="H372" s="27">
        <v>1119021</v>
      </c>
      <c r="I372" s="19">
        <v>0</v>
      </c>
      <c r="J372" s="27">
        <v>0</v>
      </c>
      <c r="K372" s="31">
        <v>0.73</v>
      </c>
    </row>
    <row r="373" spans="1:11">
      <c r="A373" s="19" t="s">
        <v>443</v>
      </c>
      <c r="B373" s="19" t="s">
        <v>8</v>
      </c>
      <c r="C373" s="19" t="s">
        <v>40</v>
      </c>
      <c r="D373" s="21">
        <f ca="1">RANDBETWEEN(DATE(2022,1,1),DATE(2022,3,31))</f>
        <v>44584</v>
      </c>
      <c r="E373" s="26">
        <v>1696448</v>
      </c>
      <c r="F373" s="19">
        <v>9</v>
      </c>
      <c r="G373" s="19">
        <v>56</v>
      </c>
      <c r="H373" s="27">
        <v>1486791</v>
      </c>
      <c r="I373" s="19">
        <v>0</v>
      </c>
      <c r="J373" s="27">
        <v>0</v>
      </c>
      <c r="K373" s="31">
        <v>0.71</v>
      </c>
    </row>
    <row r="374" spans="1:11">
      <c r="A374" s="19" t="s">
        <v>444</v>
      </c>
      <c r="B374" s="19" t="s">
        <v>9</v>
      </c>
      <c r="C374" s="19" t="s">
        <v>32</v>
      </c>
      <c r="D374" s="21">
        <f ca="1">RANDBETWEEN(DATE(2020,1,1),DATE(2020,3,31))</f>
        <v>43837</v>
      </c>
      <c r="E374" s="26">
        <v>405475</v>
      </c>
      <c r="F374" s="28">
        <v>12.02</v>
      </c>
      <c r="G374" s="19">
        <v>52</v>
      </c>
      <c r="H374" s="27">
        <v>158483</v>
      </c>
      <c r="I374" s="19">
        <v>1</v>
      </c>
      <c r="J374" s="27">
        <v>55361</v>
      </c>
      <c r="K374" s="31">
        <v>0.68</v>
      </c>
    </row>
    <row r="375" spans="1:11">
      <c r="A375" s="19" t="s">
        <v>445</v>
      </c>
      <c r="B375" s="19" t="s">
        <v>10</v>
      </c>
      <c r="C375" s="19" t="s">
        <v>47</v>
      </c>
      <c r="D375" s="21">
        <f ca="1">RANDBETWEEN(DATE(2023,10,1),DATE(2023,12,31))</f>
        <v>45219</v>
      </c>
      <c r="E375" s="26">
        <v>2192554</v>
      </c>
      <c r="F375" s="19">
        <v>10.28</v>
      </c>
      <c r="G375" s="19">
        <v>29</v>
      </c>
      <c r="H375" s="27">
        <v>1111554</v>
      </c>
      <c r="I375" s="19">
        <v>0</v>
      </c>
      <c r="J375" s="27">
        <v>0</v>
      </c>
      <c r="K375" s="32">
        <v>0.74</v>
      </c>
    </row>
    <row r="376" spans="1:11">
      <c r="A376" s="19" t="s">
        <v>446</v>
      </c>
      <c r="B376" s="19" t="s">
        <v>7</v>
      </c>
      <c r="C376" s="19" t="s">
        <v>38</v>
      </c>
      <c r="D376" s="21">
        <f ca="1">RANDBETWEEN(DATE(2021,7,1),DATE(2021,9,30))</f>
        <v>44396</v>
      </c>
      <c r="E376" s="26">
        <v>776599</v>
      </c>
      <c r="F376" s="19">
        <v>9.11</v>
      </c>
      <c r="G376" s="19">
        <v>74</v>
      </c>
      <c r="H376" s="27">
        <v>242483</v>
      </c>
      <c r="I376" s="19">
        <v>0</v>
      </c>
      <c r="J376" s="27">
        <v>0</v>
      </c>
      <c r="K376" s="33">
        <v>0.68</v>
      </c>
    </row>
    <row r="377" spans="1:11">
      <c r="A377" s="19" t="s">
        <v>447</v>
      </c>
      <c r="B377" s="19" t="s">
        <v>8</v>
      </c>
      <c r="C377" s="19" t="s">
        <v>44</v>
      </c>
      <c r="D377" s="21">
        <f ca="1">RANDBETWEEN(DATE(2023,1,1),DATE(2023,3,31))</f>
        <v>44936</v>
      </c>
      <c r="E377" s="26">
        <v>274861</v>
      </c>
      <c r="F377" s="19">
        <v>9.34</v>
      </c>
      <c r="G377" s="19">
        <v>13</v>
      </c>
      <c r="H377" s="27">
        <v>84994</v>
      </c>
      <c r="I377" s="19">
        <v>0</v>
      </c>
      <c r="J377" s="27">
        <v>0</v>
      </c>
      <c r="K377" s="31">
        <v>0.73</v>
      </c>
    </row>
    <row r="378" spans="1:11">
      <c r="A378" s="19" t="s">
        <v>448</v>
      </c>
      <c r="B378" s="19" t="s">
        <v>7</v>
      </c>
      <c r="C378" s="19" t="s">
        <v>44</v>
      </c>
      <c r="D378" s="21">
        <f ca="1">RANDBETWEEN(DATE(2023,1,1),DATE(2023,3,31))</f>
        <v>44979</v>
      </c>
      <c r="E378" s="26">
        <v>2169960</v>
      </c>
      <c r="F378" s="19">
        <v>9.31</v>
      </c>
      <c r="G378" s="19">
        <v>64</v>
      </c>
      <c r="H378" s="27">
        <v>1155513</v>
      </c>
      <c r="I378" s="19">
        <v>0</v>
      </c>
      <c r="J378" s="27">
        <v>0</v>
      </c>
      <c r="K378" s="31">
        <v>0.73</v>
      </c>
    </row>
    <row r="379" spans="1:11">
      <c r="A379" s="19" t="s">
        <v>449</v>
      </c>
      <c r="B379" s="19" t="s">
        <v>8</v>
      </c>
      <c r="C379" s="19" t="s">
        <v>36</v>
      </c>
      <c r="D379" s="21">
        <f ca="1">RANDBETWEEN(DATE(2021,1,1),DATE(2021,3,31))</f>
        <v>44236</v>
      </c>
      <c r="E379" s="26">
        <v>751511</v>
      </c>
      <c r="F379" s="19">
        <v>8.4</v>
      </c>
      <c r="G379" s="19">
        <v>15</v>
      </c>
      <c r="H379" s="27">
        <v>325909</v>
      </c>
      <c r="I379" s="19">
        <v>0</v>
      </c>
      <c r="J379" s="27">
        <v>0</v>
      </c>
      <c r="K379" s="30">
        <v>0.744</v>
      </c>
    </row>
    <row r="380" spans="1:11">
      <c r="A380" s="19" t="s">
        <v>450</v>
      </c>
      <c r="B380" s="19" t="s">
        <v>7</v>
      </c>
      <c r="C380" s="19" t="s">
        <v>47</v>
      </c>
      <c r="D380" s="21">
        <f ca="1">RANDBETWEEN(DATE(2023,10,1),DATE(2023,12,31))</f>
        <v>45245</v>
      </c>
      <c r="E380" s="26">
        <v>1260771</v>
      </c>
      <c r="F380" s="19">
        <v>8.34</v>
      </c>
      <c r="G380" s="19">
        <v>70</v>
      </c>
      <c r="H380" s="27">
        <v>1001070</v>
      </c>
      <c r="I380" s="19">
        <v>0</v>
      </c>
      <c r="J380" s="27">
        <v>0</v>
      </c>
      <c r="K380" s="32">
        <v>0.74</v>
      </c>
    </row>
    <row r="381" spans="1:11">
      <c r="A381" s="19" t="s">
        <v>451</v>
      </c>
      <c r="B381" s="19" t="s">
        <v>7</v>
      </c>
      <c r="C381" s="19" t="s">
        <v>37</v>
      </c>
      <c r="D381" s="21">
        <f ca="1">RANDBETWEEN(DATE(2021,4,1),DATE(2021,6,30))</f>
        <v>44298</v>
      </c>
      <c r="E381" s="26">
        <v>2192475</v>
      </c>
      <c r="F381" s="19">
        <v>8.23</v>
      </c>
      <c r="G381" s="19">
        <v>26</v>
      </c>
      <c r="H381" s="27">
        <v>1798027</v>
      </c>
      <c r="I381" s="19">
        <v>0</v>
      </c>
      <c r="J381" s="27">
        <v>0</v>
      </c>
      <c r="K381" s="31">
        <v>0.72</v>
      </c>
    </row>
    <row r="382" spans="1:11">
      <c r="A382" s="19" t="s">
        <v>452</v>
      </c>
      <c r="B382" s="19" t="s">
        <v>9</v>
      </c>
      <c r="C382" s="19" t="s">
        <v>43</v>
      </c>
      <c r="D382" s="21">
        <f ca="1">RANDBETWEEN(DATE(2022,10,1),DATE(2022,12,31))</f>
        <v>44846</v>
      </c>
      <c r="E382" s="26">
        <v>2323494</v>
      </c>
      <c r="F382" s="28">
        <v>12.47</v>
      </c>
      <c r="G382" s="19">
        <v>17</v>
      </c>
      <c r="H382" s="27">
        <v>1480257</v>
      </c>
      <c r="I382" s="19">
        <v>0</v>
      </c>
      <c r="J382" s="27">
        <v>0</v>
      </c>
      <c r="K382" s="31">
        <v>0.71</v>
      </c>
    </row>
    <row r="383" spans="1:11">
      <c r="A383" s="19" t="s">
        <v>453</v>
      </c>
      <c r="B383" s="19" t="s">
        <v>6</v>
      </c>
      <c r="C383" s="19" t="s">
        <v>43</v>
      </c>
      <c r="D383" s="21">
        <f ca="1">RANDBETWEEN(DATE(2022,10,1),DATE(2022,12,31))</f>
        <v>44885</v>
      </c>
      <c r="E383" s="26">
        <v>1088222</v>
      </c>
      <c r="F383" s="19">
        <v>7.8</v>
      </c>
      <c r="G383" s="19">
        <v>16</v>
      </c>
      <c r="H383" s="27">
        <v>446445</v>
      </c>
      <c r="I383" s="19">
        <v>0</v>
      </c>
      <c r="J383" s="27">
        <v>0</v>
      </c>
      <c r="K383" s="31">
        <v>0.71</v>
      </c>
    </row>
    <row r="384" spans="1:11">
      <c r="A384" s="19" t="s">
        <v>454</v>
      </c>
      <c r="B384" s="19" t="s">
        <v>6</v>
      </c>
      <c r="C384" s="19" t="s">
        <v>36</v>
      </c>
      <c r="D384" s="21">
        <f ca="1">RANDBETWEEN(DATE(2021,1,1),DATE(2021,3,31))</f>
        <v>44269</v>
      </c>
      <c r="E384" s="26">
        <v>1891592</v>
      </c>
      <c r="F384" s="19">
        <v>8.37</v>
      </c>
      <c r="G384" s="19">
        <v>27</v>
      </c>
      <c r="H384" s="27">
        <v>695921</v>
      </c>
      <c r="I384" s="19">
        <v>0</v>
      </c>
      <c r="J384" s="27">
        <v>0</v>
      </c>
      <c r="K384" s="30">
        <v>0.744</v>
      </c>
    </row>
    <row r="385" spans="1:11">
      <c r="A385" s="19" t="s">
        <v>455</v>
      </c>
      <c r="B385" s="19" t="s">
        <v>9</v>
      </c>
      <c r="C385" s="19" t="s">
        <v>35</v>
      </c>
      <c r="D385" s="21">
        <f ca="1">RANDBETWEEN(DATE(2020,10,1),DATE(2020,12,31))</f>
        <v>44165</v>
      </c>
      <c r="E385" s="26">
        <v>1845862</v>
      </c>
      <c r="F385" s="28">
        <v>10.5</v>
      </c>
      <c r="G385" s="19">
        <v>29</v>
      </c>
      <c r="H385" s="27">
        <v>1570503</v>
      </c>
      <c r="I385" s="19">
        <v>0</v>
      </c>
      <c r="J385" s="27">
        <v>0</v>
      </c>
      <c r="K385" s="31">
        <v>0.68</v>
      </c>
    </row>
    <row r="386" spans="1:11">
      <c r="A386" s="19" t="s">
        <v>456</v>
      </c>
      <c r="B386" s="19" t="s">
        <v>7</v>
      </c>
      <c r="C386" s="19" t="s">
        <v>34</v>
      </c>
      <c r="D386" s="21">
        <f ca="1">RANDBETWEEN(DATE(2020,7,1),DATE(2020,9,30))</f>
        <v>44026</v>
      </c>
      <c r="E386" s="26">
        <v>1521426</v>
      </c>
      <c r="F386" s="19">
        <v>9.06</v>
      </c>
      <c r="G386" s="19">
        <v>80</v>
      </c>
      <c r="H386" s="27">
        <v>698217</v>
      </c>
      <c r="I386" s="19">
        <v>0</v>
      </c>
      <c r="J386" s="27">
        <v>0</v>
      </c>
      <c r="K386" s="31">
        <v>0.68</v>
      </c>
    </row>
    <row r="387" spans="1:11">
      <c r="A387" s="19" t="s">
        <v>457</v>
      </c>
      <c r="B387" s="19" t="s">
        <v>9</v>
      </c>
      <c r="C387" s="19" t="s">
        <v>32</v>
      </c>
      <c r="D387" s="21">
        <f ca="1">RANDBETWEEN(DATE(2020,1,1),DATE(2020,3,31))</f>
        <v>43852</v>
      </c>
      <c r="E387" s="26">
        <v>2452227</v>
      </c>
      <c r="F387" s="28">
        <v>10.8</v>
      </c>
      <c r="G387" s="19">
        <v>77</v>
      </c>
      <c r="H387" s="27">
        <v>756441</v>
      </c>
      <c r="I387" s="19">
        <v>0</v>
      </c>
      <c r="J387" s="27">
        <v>0</v>
      </c>
      <c r="K387" s="31">
        <v>0.68</v>
      </c>
    </row>
    <row r="388" spans="1:11">
      <c r="A388" s="19" t="s">
        <v>458</v>
      </c>
      <c r="B388" s="19" t="s">
        <v>8</v>
      </c>
      <c r="C388" s="19" t="s">
        <v>33</v>
      </c>
      <c r="D388" s="21">
        <f ca="1">RANDBETWEEN(DATE(2020,4,1),DATE(2020,6,30))</f>
        <v>43926</v>
      </c>
      <c r="E388" s="26">
        <v>298663</v>
      </c>
      <c r="F388" s="19">
        <v>9.49</v>
      </c>
      <c r="G388" s="19">
        <v>28</v>
      </c>
      <c r="H388" s="27">
        <v>119388</v>
      </c>
      <c r="I388" s="19">
        <v>0</v>
      </c>
      <c r="J388" s="27">
        <v>0</v>
      </c>
      <c r="K388" s="31">
        <v>0.72</v>
      </c>
    </row>
    <row r="389" spans="1:11">
      <c r="A389" s="19" t="s">
        <v>459</v>
      </c>
      <c r="B389" s="19" t="s">
        <v>10</v>
      </c>
      <c r="C389" s="19" t="s">
        <v>42</v>
      </c>
      <c r="D389" s="21">
        <f ca="1">RANDBETWEEN(DATE(2022,7,1),DATE(2022,9,30))</f>
        <v>44805</v>
      </c>
      <c r="E389" s="26">
        <v>1697106</v>
      </c>
      <c r="F389" s="19">
        <v>10.48</v>
      </c>
      <c r="G389" s="19">
        <v>46</v>
      </c>
      <c r="H389" s="27">
        <v>848786</v>
      </c>
      <c r="I389" s="19">
        <v>1</v>
      </c>
      <c r="J389" s="27">
        <v>439534</v>
      </c>
      <c r="K389" s="31">
        <v>0.73</v>
      </c>
    </row>
    <row r="390" spans="1:11">
      <c r="A390" s="19" t="s">
        <v>460</v>
      </c>
      <c r="B390" s="19" t="s">
        <v>6</v>
      </c>
      <c r="C390" s="19" t="s">
        <v>40</v>
      </c>
      <c r="D390" s="21">
        <f ca="1">RANDBETWEEN(DATE(2022,1,1),DATE(2022,3,31))</f>
        <v>44609</v>
      </c>
      <c r="E390" s="26">
        <v>1739678</v>
      </c>
      <c r="F390" s="19">
        <v>8.02</v>
      </c>
      <c r="G390" s="19">
        <v>47</v>
      </c>
      <c r="H390" s="27">
        <v>980754</v>
      </c>
      <c r="I390" s="19">
        <v>0</v>
      </c>
      <c r="J390" s="27">
        <v>0</v>
      </c>
      <c r="K390" s="31">
        <v>0.71</v>
      </c>
    </row>
    <row r="391" spans="1:11">
      <c r="A391" s="19" t="s">
        <v>461</v>
      </c>
      <c r="B391" s="19" t="s">
        <v>7</v>
      </c>
      <c r="C391" s="19" t="s">
        <v>43</v>
      </c>
      <c r="D391" s="21">
        <f ca="1">RANDBETWEEN(DATE(2022,10,1),DATE(2022,12,31))</f>
        <v>44897</v>
      </c>
      <c r="E391" s="26">
        <v>60372</v>
      </c>
      <c r="F391" s="19">
        <v>9.74</v>
      </c>
      <c r="G391" s="19">
        <v>23</v>
      </c>
      <c r="H391" s="27">
        <v>42735</v>
      </c>
      <c r="I391" s="19">
        <v>0</v>
      </c>
      <c r="J391" s="27">
        <v>0</v>
      </c>
      <c r="K391" s="31">
        <v>0.71</v>
      </c>
    </row>
    <row r="392" spans="1:11">
      <c r="A392" s="19" t="s">
        <v>462</v>
      </c>
      <c r="B392" s="19" t="s">
        <v>6</v>
      </c>
      <c r="C392" s="19" t="s">
        <v>35</v>
      </c>
      <c r="D392" s="21">
        <f ca="1">RANDBETWEEN(DATE(2020,10,1),DATE(2020,12,31))</f>
        <v>44122</v>
      </c>
      <c r="E392" s="26">
        <v>2291538</v>
      </c>
      <c r="F392" s="19">
        <v>7.9</v>
      </c>
      <c r="G392" s="19">
        <v>66</v>
      </c>
      <c r="H392" s="27">
        <v>1365234</v>
      </c>
      <c r="I392" s="19">
        <v>0</v>
      </c>
      <c r="J392" s="27">
        <v>0</v>
      </c>
      <c r="K392" s="31">
        <v>0.68</v>
      </c>
    </row>
    <row r="393" spans="1:11">
      <c r="A393" s="19" t="s">
        <v>463</v>
      </c>
      <c r="B393" s="19" t="s">
        <v>9</v>
      </c>
      <c r="C393" s="19" t="s">
        <v>47</v>
      </c>
      <c r="D393" s="21">
        <f ca="1">RANDBETWEEN(DATE(2023,10,1),DATE(2023,12,31))</f>
        <v>45220</v>
      </c>
      <c r="E393" s="26">
        <v>1466647</v>
      </c>
      <c r="F393" s="28">
        <v>11.64</v>
      </c>
      <c r="G393" s="19">
        <v>28</v>
      </c>
      <c r="H393" s="27">
        <v>1293491</v>
      </c>
      <c r="I393" s="19">
        <v>0</v>
      </c>
      <c r="J393" s="27">
        <v>0</v>
      </c>
      <c r="K393" s="32">
        <v>0.74</v>
      </c>
    </row>
    <row r="394" spans="1:11">
      <c r="A394" s="19" t="s">
        <v>464</v>
      </c>
      <c r="B394" s="19" t="s">
        <v>6</v>
      </c>
      <c r="C394" s="19" t="s">
        <v>29</v>
      </c>
      <c r="D394" s="21">
        <f ca="1">RANDBETWEEN(DATE(2019,4,1),DATE(2019,6,30))</f>
        <v>43577</v>
      </c>
      <c r="E394" s="26">
        <v>242698</v>
      </c>
      <c r="F394" s="19">
        <v>7.6</v>
      </c>
      <c r="G394" s="19">
        <v>70</v>
      </c>
      <c r="H394" s="27">
        <v>72661</v>
      </c>
      <c r="I394" s="19">
        <v>0</v>
      </c>
      <c r="J394" s="27">
        <v>0</v>
      </c>
      <c r="K394" s="31">
        <v>0.71</v>
      </c>
    </row>
    <row r="395" spans="1:11">
      <c r="A395" s="19" t="s">
        <v>465</v>
      </c>
      <c r="B395" s="19" t="s">
        <v>8</v>
      </c>
      <c r="C395" s="19" t="s">
        <v>35</v>
      </c>
      <c r="D395" s="21">
        <f ca="1">RANDBETWEEN(DATE(2020,10,1),DATE(2020,12,31))</f>
        <v>44124</v>
      </c>
      <c r="E395" s="26">
        <v>1964775</v>
      </c>
      <c r="F395" s="19">
        <v>8.3</v>
      </c>
      <c r="G395" s="19">
        <v>66</v>
      </c>
      <c r="H395" s="27">
        <v>1958006</v>
      </c>
      <c r="I395" s="19">
        <v>0</v>
      </c>
      <c r="J395" s="27">
        <v>0</v>
      </c>
      <c r="K395" s="31">
        <v>0.68</v>
      </c>
    </row>
    <row r="396" spans="1:11">
      <c r="A396" s="19" t="s">
        <v>466</v>
      </c>
      <c r="B396" s="19" t="s">
        <v>9</v>
      </c>
      <c r="C396" s="19" t="s">
        <v>31</v>
      </c>
      <c r="D396" s="21">
        <f ca="1">RANDBETWEEN(DATE(2019,10,1),DATE(2019,12,31))</f>
        <v>43828</v>
      </c>
      <c r="E396" s="26">
        <v>716799</v>
      </c>
      <c r="F396" s="28">
        <v>12.62</v>
      </c>
      <c r="G396" s="19">
        <v>47</v>
      </c>
      <c r="H396" s="27">
        <v>518726</v>
      </c>
      <c r="I396" s="19">
        <v>0</v>
      </c>
      <c r="J396" s="27">
        <v>0</v>
      </c>
      <c r="K396" s="31">
        <v>0.7</v>
      </c>
    </row>
    <row r="397" spans="1:11">
      <c r="A397" s="19" t="s">
        <v>467</v>
      </c>
      <c r="B397" s="19" t="s">
        <v>9</v>
      </c>
      <c r="C397" s="19" t="s">
        <v>36</v>
      </c>
      <c r="D397" s="21">
        <f ca="1">RANDBETWEEN(DATE(2021,1,1),DATE(2021,3,31))</f>
        <v>44248</v>
      </c>
      <c r="E397" s="26">
        <v>744262</v>
      </c>
      <c r="F397" s="28">
        <v>10.16</v>
      </c>
      <c r="G397" s="19">
        <v>51</v>
      </c>
      <c r="H397" s="27">
        <v>404420</v>
      </c>
      <c r="I397" s="19">
        <v>1</v>
      </c>
      <c r="J397" s="27">
        <v>96281</v>
      </c>
      <c r="K397" s="30">
        <v>0.744</v>
      </c>
    </row>
    <row r="398" spans="1:11">
      <c r="A398" s="19" t="s">
        <v>468</v>
      </c>
      <c r="B398" s="19" t="s">
        <v>10</v>
      </c>
      <c r="C398" s="19" t="s">
        <v>45</v>
      </c>
      <c r="D398" s="21">
        <f ca="1">RANDBETWEEN(DATE(2023,4,1),DATE(2023,6,30))</f>
        <v>45055</v>
      </c>
      <c r="E398" s="26">
        <v>2049872</v>
      </c>
      <c r="F398" s="19">
        <v>9.66</v>
      </c>
      <c r="G398" s="19">
        <v>40</v>
      </c>
      <c r="H398" s="27">
        <v>1525076</v>
      </c>
      <c r="I398" s="19">
        <v>1</v>
      </c>
      <c r="J398" s="27">
        <v>729350</v>
      </c>
      <c r="K398" s="31">
        <v>0.73</v>
      </c>
    </row>
    <row r="399" spans="1:11">
      <c r="A399" s="19" t="s">
        <v>469</v>
      </c>
      <c r="B399" s="19" t="s">
        <v>6</v>
      </c>
      <c r="C399" s="19" t="s">
        <v>31</v>
      </c>
      <c r="D399" s="21">
        <f ca="1">RANDBETWEEN(DATE(2019,10,1),DATE(2019,12,31))</f>
        <v>43744</v>
      </c>
      <c r="E399" s="26">
        <v>1821313</v>
      </c>
      <c r="F399" s="19">
        <v>8.19</v>
      </c>
      <c r="G399" s="19">
        <v>73</v>
      </c>
      <c r="H399" s="27">
        <v>697849</v>
      </c>
      <c r="I399" s="19">
        <v>0</v>
      </c>
      <c r="J399" s="27">
        <v>0</v>
      </c>
      <c r="K399" s="31">
        <v>0.7</v>
      </c>
    </row>
    <row r="400" spans="1:11">
      <c r="A400" s="19" t="s">
        <v>470</v>
      </c>
      <c r="B400" s="19" t="s">
        <v>6</v>
      </c>
      <c r="C400" s="19" t="s">
        <v>33</v>
      </c>
      <c r="D400" s="21">
        <f ca="1">RANDBETWEEN(DATE(2020,4,1),DATE(2020,6,30))</f>
        <v>43960</v>
      </c>
      <c r="E400" s="26">
        <v>482858</v>
      </c>
      <c r="F400" s="19">
        <v>7.81</v>
      </c>
      <c r="G400" s="19">
        <v>50</v>
      </c>
      <c r="H400" s="27">
        <v>244411</v>
      </c>
      <c r="I400" s="19">
        <v>0</v>
      </c>
      <c r="J400" s="27">
        <v>0</v>
      </c>
      <c r="K400" s="31">
        <v>0.72</v>
      </c>
    </row>
    <row r="401" spans="1:11">
      <c r="A401" s="19" t="s">
        <v>471</v>
      </c>
      <c r="B401" s="19" t="s">
        <v>10</v>
      </c>
      <c r="C401" s="19" t="s">
        <v>29</v>
      </c>
      <c r="D401" s="21">
        <f ca="1">RANDBETWEEN(DATE(2019,4,1),DATE(2019,6,30))</f>
        <v>43593</v>
      </c>
      <c r="E401" s="26">
        <v>649169</v>
      </c>
      <c r="F401" s="19">
        <v>9.64</v>
      </c>
      <c r="G401" s="19">
        <v>84</v>
      </c>
      <c r="H401" s="27">
        <v>446794</v>
      </c>
      <c r="I401" s="19">
        <v>0</v>
      </c>
      <c r="J401" s="27">
        <v>0</v>
      </c>
      <c r="K401" s="31">
        <v>0.71</v>
      </c>
    </row>
    <row r="402" spans="1:11">
      <c r="A402" s="19" t="s">
        <v>472</v>
      </c>
      <c r="B402" s="19" t="s">
        <v>9</v>
      </c>
      <c r="C402" s="19" t="s">
        <v>42</v>
      </c>
      <c r="D402" s="21">
        <f ca="1">RANDBETWEEN(DATE(2022,7,1),DATE(2022,9,30))</f>
        <v>44795</v>
      </c>
      <c r="E402" s="26">
        <v>943619</v>
      </c>
      <c r="F402" s="28">
        <v>11.88</v>
      </c>
      <c r="G402" s="19">
        <v>31</v>
      </c>
      <c r="H402" s="27">
        <v>653796</v>
      </c>
      <c r="I402" s="19">
        <v>0</v>
      </c>
      <c r="J402" s="27">
        <v>0</v>
      </c>
      <c r="K402" s="31">
        <v>0.73</v>
      </c>
    </row>
    <row r="403" spans="1:11">
      <c r="A403" s="19" t="s">
        <v>473</v>
      </c>
      <c r="B403" s="19" t="s">
        <v>10</v>
      </c>
      <c r="C403" s="19" t="s">
        <v>32</v>
      </c>
      <c r="D403" s="21">
        <f ca="1">RANDBETWEEN(DATE(2020,1,1),DATE(2020,3,31))</f>
        <v>43883</v>
      </c>
      <c r="E403" s="26">
        <v>413595</v>
      </c>
      <c r="F403" s="19">
        <v>11.29</v>
      </c>
      <c r="G403" s="19">
        <v>29</v>
      </c>
      <c r="H403" s="27">
        <v>277794</v>
      </c>
      <c r="I403" s="19">
        <v>0</v>
      </c>
      <c r="J403" s="27">
        <v>0</v>
      </c>
      <c r="K403" s="31">
        <v>0.68</v>
      </c>
    </row>
    <row r="404" spans="1:11">
      <c r="A404" s="19" t="s">
        <v>474</v>
      </c>
      <c r="B404" s="19" t="s">
        <v>8</v>
      </c>
      <c r="C404" s="19" t="s">
        <v>37</v>
      </c>
      <c r="D404" s="21">
        <f ca="1">RANDBETWEEN(DATE(2021,4,1),DATE(2021,6,30))</f>
        <v>44313</v>
      </c>
      <c r="E404" s="26">
        <v>1369123</v>
      </c>
      <c r="F404" s="19">
        <v>9.25</v>
      </c>
      <c r="G404" s="19">
        <v>43</v>
      </c>
      <c r="H404" s="27">
        <v>979876</v>
      </c>
      <c r="I404" s="19">
        <v>0</v>
      </c>
      <c r="J404" s="27">
        <v>0</v>
      </c>
      <c r="K404" s="31">
        <v>0.72</v>
      </c>
    </row>
    <row r="405" spans="1:11">
      <c r="A405" s="19" t="s">
        <v>475</v>
      </c>
      <c r="B405" s="19" t="s">
        <v>7</v>
      </c>
      <c r="C405" s="19" t="s">
        <v>38</v>
      </c>
      <c r="D405" s="21">
        <f ca="1">RANDBETWEEN(DATE(2021,7,1),DATE(2021,9,30))</f>
        <v>44426</v>
      </c>
      <c r="E405" s="26">
        <v>1245044</v>
      </c>
      <c r="F405" s="19">
        <v>9.56</v>
      </c>
      <c r="G405" s="19">
        <v>15</v>
      </c>
      <c r="H405" s="27">
        <v>453639</v>
      </c>
      <c r="I405" s="19">
        <v>0</v>
      </c>
      <c r="J405" s="27">
        <v>0</v>
      </c>
      <c r="K405" s="33">
        <v>0.68</v>
      </c>
    </row>
    <row r="406" spans="1:11">
      <c r="A406" s="19" t="s">
        <v>476</v>
      </c>
      <c r="B406" s="19" t="s">
        <v>10</v>
      </c>
      <c r="C406" s="19" t="s">
        <v>36</v>
      </c>
      <c r="D406" s="21">
        <f ca="1">RANDBETWEEN(DATE(2021,1,1),DATE(2021,3,31))</f>
        <v>44271</v>
      </c>
      <c r="E406" s="26">
        <v>1693122</v>
      </c>
      <c r="F406" s="19">
        <v>10.09</v>
      </c>
      <c r="G406" s="19">
        <v>18</v>
      </c>
      <c r="H406" s="27">
        <v>1008948</v>
      </c>
      <c r="I406" s="19">
        <v>0</v>
      </c>
      <c r="J406" s="27">
        <v>0</v>
      </c>
      <c r="K406" s="30">
        <v>0.744</v>
      </c>
    </row>
    <row r="407" spans="1:11">
      <c r="A407" s="19" t="s">
        <v>477</v>
      </c>
      <c r="B407" s="19" t="s">
        <v>8</v>
      </c>
      <c r="C407" s="19" t="s">
        <v>40</v>
      </c>
      <c r="D407" s="21">
        <f ca="1">RANDBETWEEN(DATE(2022,1,1),DATE(2022,3,31))</f>
        <v>44619</v>
      </c>
      <c r="E407" s="26">
        <v>347845</v>
      </c>
      <c r="F407" s="19">
        <v>8.93</v>
      </c>
      <c r="G407" s="19">
        <v>13</v>
      </c>
      <c r="H407" s="27">
        <v>329457</v>
      </c>
      <c r="I407" s="19">
        <v>0</v>
      </c>
      <c r="J407" s="27">
        <v>0</v>
      </c>
      <c r="K407" s="31">
        <v>0.71</v>
      </c>
    </row>
    <row r="408" spans="1:11">
      <c r="A408" s="19" t="s">
        <v>478</v>
      </c>
      <c r="B408" s="19" t="s">
        <v>7</v>
      </c>
      <c r="C408" s="19" t="s">
        <v>44</v>
      </c>
      <c r="D408" s="21">
        <f ca="1">RANDBETWEEN(DATE(2023,1,1),DATE(2023,3,31))</f>
        <v>44979</v>
      </c>
      <c r="E408" s="26">
        <v>1815229</v>
      </c>
      <c r="F408" s="19">
        <v>8.73</v>
      </c>
      <c r="G408" s="19">
        <v>34</v>
      </c>
      <c r="H408" s="27">
        <v>1749086</v>
      </c>
      <c r="I408" s="19">
        <v>0</v>
      </c>
      <c r="J408" s="27">
        <v>0</v>
      </c>
      <c r="K408" s="31">
        <v>0.73</v>
      </c>
    </row>
    <row r="409" spans="1:11">
      <c r="A409" s="19" t="s">
        <v>479</v>
      </c>
      <c r="B409" s="19" t="s">
        <v>6</v>
      </c>
      <c r="C409" s="19" t="s">
        <v>30</v>
      </c>
      <c r="D409" s="21">
        <f ca="1">RANDBETWEEN(DATE(2019,7,1),DATE(2019,9,30))</f>
        <v>43698</v>
      </c>
      <c r="E409" s="26">
        <v>333252</v>
      </c>
      <c r="F409" s="19">
        <v>7.51</v>
      </c>
      <c r="G409" s="19">
        <v>39</v>
      </c>
      <c r="H409" s="27">
        <v>312611</v>
      </c>
      <c r="I409" s="19">
        <v>0</v>
      </c>
      <c r="J409" s="27">
        <v>0</v>
      </c>
      <c r="K409" s="31">
        <v>0.71</v>
      </c>
    </row>
    <row r="410" spans="1:11">
      <c r="A410" s="19" t="s">
        <v>480</v>
      </c>
      <c r="B410" s="19" t="s">
        <v>8</v>
      </c>
      <c r="C410" s="19" t="s">
        <v>42</v>
      </c>
      <c r="D410" s="21">
        <f ca="1">RANDBETWEEN(DATE(2022,7,1),DATE(2022,9,30))</f>
        <v>44791</v>
      </c>
      <c r="E410" s="26">
        <v>2174878</v>
      </c>
      <c r="F410" s="19">
        <v>8.64</v>
      </c>
      <c r="G410" s="19">
        <v>76</v>
      </c>
      <c r="H410" s="27">
        <v>1171955</v>
      </c>
      <c r="I410" s="19">
        <v>0</v>
      </c>
      <c r="J410" s="27">
        <v>0</v>
      </c>
      <c r="K410" s="31">
        <v>0.73</v>
      </c>
    </row>
    <row r="411" spans="1:11">
      <c r="A411" s="19" t="s">
        <v>481</v>
      </c>
      <c r="B411" s="19" t="s">
        <v>7</v>
      </c>
      <c r="C411" s="19" t="s">
        <v>31</v>
      </c>
      <c r="D411" s="21">
        <f ca="1">RANDBETWEEN(DATE(2019,10,1),DATE(2019,12,31))</f>
        <v>43818</v>
      </c>
      <c r="E411" s="26">
        <v>2305090</v>
      </c>
      <c r="F411" s="19">
        <v>9.23</v>
      </c>
      <c r="G411" s="19">
        <v>47</v>
      </c>
      <c r="H411" s="27">
        <v>1032508</v>
      </c>
      <c r="I411" s="19">
        <v>0</v>
      </c>
      <c r="J411" s="27">
        <v>0</v>
      </c>
      <c r="K411" s="31">
        <v>0.7</v>
      </c>
    </row>
    <row r="412" spans="1:11">
      <c r="A412" s="19" t="s">
        <v>482</v>
      </c>
      <c r="B412" s="19" t="s">
        <v>10</v>
      </c>
      <c r="C412" s="19" t="s">
        <v>47</v>
      </c>
      <c r="D412" s="21">
        <f ca="1">RANDBETWEEN(DATE(2023,10,1),DATE(2023,12,31))</f>
        <v>45272</v>
      </c>
      <c r="E412" s="26">
        <v>701698</v>
      </c>
      <c r="F412" s="19">
        <v>10.57</v>
      </c>
      <c r="G412" s="19">
        <v>62</v>
      </c>
      <c r="H412" s="27">
        <v>496406</v>
      </c>
      <c r="I412" s="19">
        <v>0</v>
      </c>
      <c r="J412" s="27">
        <v>0</v>
      </c>
      <c r="K412" s="32">
        <v>0.74</v>
      </c>
    </row>
    <row r="413" spans="1:11">
      <c r="A413" s="19" t="s">
        <v>483</v>
      </c>
      <c r="B413" s="19" t="s">
        <v>6</v>
      </c>
      <c r="C413" s="19" t="s">
        <v>30</v>
      </c>
      <c r="D413" s="21">
        <f ca="1">RANDBETWEEN(DATE(2019,7,1),DATE(2019,9,30))</f>
        <v>43656</v>
      </c>
      <c r="E413" s="26">
        <v>1350945</v>
      </c>
      <c r="F413" s="19">
        <v>8.2</v>
      </c>
      <c r="G413" s="19">
        <v>42</v>
      </c>
      <c r="H413" s="27">
        <v>534411</v>
      </c>
      <c r="I413" s="19">
        <v>0</v>
      </c>
      <c r="J413" s="27">
        <v>0</v>
      </c>
      <c r="K413" s="31">
        <v>0.71</v>
      </c>
    </row>
    <row r="414" spans="1:11">
      <c r="A414" s="19" t="s">
        <v>484</v>
      </c>
      <c r="B414" s="19" t="s">
        <v>6</v>
      </c>
      <c r="C414" s="19" t="s">
        <v>38</v>
      </c>
      <c r="D414" s="21">
        <f ca="1">RANDBETWEEN(DATE(2021,7,1),DATE(2021,9,30))</f>
        <v>44447</v>
      </c>
      <c r="E414" s="26">
        <v>1951579</v>
      </c>
      <c r="F414" s="19">
        <v>8.11</v>
      </c>
      <c r="G414" s="19">
        <v>19</v>
      </c>
      <c r="H414" s="27">
        <v>1430241</v>
      </c>
      <c r="I414" s="19">
        <v>0</v>
      </c>
      <c r="J414" s="27">
        <v>0</v>
      </c>
      <c r="K414" s="33">
        <v>0.68</v>
      </c>
    </row>
    <row r="415" spans="1:11">
      <c r="A415" s="19" t="s">
        <v>485</v>
      </c>
      <c r="B415" s="19" t="s">
        <v>10</v>
      </c>
      <c r="C415" s="19" t="s">
        <v>29</v>
      </c>
      <c r="D415" s="21">
        <f ca="1">RANDBETWEEN(DATE(2019,4,1),DATE(2019,6,30))</f>
        <v>43602</v>
      </c>
      <c r="E415" s="26">
        <v>550980</v>
      </c>
      <c r="F415" s="19">
        <v>9.53</v>
      </c>
      <c r="G415" s="19">
        <v>29</v>
      </c>
      <c r="H415" s="27">
        <v>182410</v>
      </c>
      <c r="I415" s="19">
        <v>0</v>
      </c>
      <c r="J415" s="27">
        <v>0</v>
      </c>
      <c r="K415" s="31">
        <v>0.71</v>
      </c>
    </row>
    <row r="416" spans="1:11">
      <c r="A416" s="19" t="s">
        <v>486</v>
      </c>
      <c r="B416" s="19" t="s">
        <v>7</v>
      </c>
      <c r="C416" s="19" t="s">
        <v>34</v>
      </c>
      <c r="D416" s="21">
        <f ca="1">RANDBETWEEN(DATE(2020,7,1),DATE(2020,9,30))</f>
        <v>44060</v>
      </c>
      <c r="E416" s="26">
        <v>2219389</v>
      </c>
      <c r="F416" s="19">
        <v>9.57</v>
      </c>
      <c r="G416" s="19">
        <v>45</v>
      </c>
      <c r="H416" s="27">
        <v>1104136</v>
      </c>
      <c r="I416" s="19">
        <v>0</v>
      </c>
      <c r="J416" s="27">
        <v>0</v>
      </c>
      <c r="K416" s="31">
        <v>0.68</v>
      </c>
    </row>
    <row r="417" spans="1:11">
      <c r="A417" s="19" t="s">
        <v>487</v>
      </c>
      <c r="B417" s="19" t="s">
        <v>9</v>
      </c>
      <c r="C417" s="19" t="s">
        <v>39</v>
      </c>
      <c r="D417" s="21">
        <f ca="1">RANDBETWEEN(DATE(2021,10,1),DATE(2021,12,31))</f>
        <v>44560</v>
      </c>
      <c r="E417" s="26">
        <v>545165</v>
      </c>
      <c r="F417" s="28">
        <v>12.31</v>
      </c>
      <c r="G417" s="19">
        <v>15</v>
      </c>
      <c r="H417" s="27">
        <v>461038</v>
      </c>
      <c r="I417" s="19">
        <v>0</v>
      </c>
      <c r="J417" s="27">
        <v>0</v>
      </c>
      <c r="K417" s="31">
        <v>0.71</v>
      </c>
    </row>
    <row r="418" spans="1:11">
      <c r="A418" s="19" t="s">
        <v>488</v>
      </c>
      <c r="B418" s="19" t="s">
        <v>6</v>
      </c>
      <c r="C418" s="19" t="s">
        <v>44</v>
      </c>
      <c r="D418" s="21">
        <f ca="1">RANDBETWEEN(DATE(2023,1,1),DATE(2023,3,31))</f>
        <v>44937</v>
      </c>
      <c r="E418" s="26">
        <v>1152890</v>
      </c>
      <c r="F418" s="19">
        <v>8.21</v>
      </c>
      <c r="G418" s="19">
        <v>21</v>
      </c>
      <c r="H418" s="27">
        <v>650412</v>
      </c>
      <c r="I418" s="19">
        <v>0</v>
      </c>
      <c r="J418" s="27">
        <v>0</v>
      </c>
      <c r="K418" s="31">
        <v>0.73</v>
      </c>
    </row>
    <row r="419" spans="1:11">
      <c r="A419" s="19" t="s">
        <v>489</v>
      </c>
      <c r="B419" s="19" t="s">
        <v>8</v>
      </c>
      <c r="C419" s="19" t="s">
        <v>37</v>
      </c>
      <c r="D419" s="21">
        <f ca="1">RANDBETWEEN(DATE(2021,4,1),DATE(2021,6,30))</f>
        <v>44334</v>
      </c>
      <c r="E419" s="26">
        <v>2427692</v>
      </c>
      <c r="F419" s="19">
        <v>8.5</v>
      </c>
      <c r="G419" s="19">
        <v>32</v>
      </c>
      <c r="H419" s="27">
        <v>1987462</v>
      </c>
      <c r="I419" s="19">
        <v>0</v>
      </c>
      <c r="J419" s="27">
        <v>0</v>
      </c>
      <c r="K419" s="31">
        <v>0.72</v>
      </c>
    </row>
    <row r="420" spans="1:11">
      <c r="A420" s="19" t="s">
        <v>490</v>
      </c>
      <c r="B420" s="19" t="s">
        <v>6</v>
      </c>
      <c r="C420" s="19" t="s">
        <v>30</v>
      </c>
      <c r="D420" s="21">
        <f ca="1">RANDBETWEEN(DATE(2019,7,1),DATE(2019,9,30))</f>
        <v>43648</v>
      </c>
      <c r="E420" s="26">
        <v>1007997</v>
      </c>
      <c r="F420" s="19">
        <v>8.24</v>
      </c>
      <c r="G420" s="19">
        <v>12</v>
      </c>
      <c r="H420" s="27">
        <v>894044</v>
      </c>
      <c r="I420" s="19">
        <v>1</v>
      </c>
      <c r="J420" s="27">
        <v>195252</v>
      </c>
      <c r="K420" s="31">
        <v>0.71</v>
      </c>
    </row>
    <row r="421" spans="1:11">
      <c r="A421" s="19" t="s">
        <v>491</v>
      </c>
      <c r="B421" s="19" t="s">
        <v>9</v>
      </c>
      <c r="C421" s="19" t="s">
        <v>30</v>
      </c>
      <c r="D421" s="21">
        <f ca="1">RANDBETWEEN(DATE(2019,7,1),DATE(2019,9,30))</f>
        <v>43658</v>
      </c>
      <c r="E421" s="26">
        <v>1656332</v>
      </c>
      <c r="F421" s="28">
        <v>12.76</v>
      </c>
      <c r="G421" s="19">
        <v>34</v>
      </c>
      <c r="H421" s="27">
        <v>1063848</v>
      </c>
      <c r="I421" s="19">
        <v>0</v>
      </c>
      <c r="J421" s="27">
        <v>0</v>
      </c>
      <c r="K421" s="31">
        <v>0.71</v>
      </c>
    </row>
    <row r="422" spans="1:11">
      <c r="A422" s="19" t="s">
        <v>492</v>
      </c>
      <c r="B422" s="19" t="s">
        <v>8</v>
      </c>
      <c r="C422" s="19" t="s">
        <v>39</v>
      </c>
      <c r="D422" s="21">
        <f ca="1">RANDBETWEEN(DATE(2021,10,1),DATE(2021,12,31))</f>
        <v>44471</v>
      </c>
      <c r="E422" s="26">
        <v>991685</v>
      </c>
      <c r="F422" s="19">
        <v>8.69</v>
      </c>
      <c r="G422" s="19">
        <v>65</v>
      </c>
      <c r="H422" s="27">
        <v>413538</v>
      </c>
      <c r="I422" s="19">
        <v>0</v>
      </c>
      <c r="J422" s="27">
        <v>0</v>
      </c>
      <c r="K422" s="31">
        <v>0.71</v>
      </c>
    </row>
    <row r="423" spans="1:11">
      <c r="A423" s="19" t="s">
        <v>493</v>
      </c>
      <c r="B423" s="19" t="s">
        <v>9</v>
      </c>
      <c r="C423" s="19" t="s">
        <v>34</v>
      </c>
      <c r="D423" s="21">
        <f ca="1">RANDBETWEEN(DATE(2020,7,1),DATE(2020,9,30))</f>
        <v>44027</v>
      </c>
      <c r="E423" s="26">
        <v>550803</v>
      </c>
      <c r="F423" s="28">
        <v>11.51</v>
      </c>
      <c r="G423" s="19">
        <v>18</v>
      </c>
      <c r="H423" s="27">
        <v>208505</v>
      </c>
      <c r="I423" s="19">
        <v>0</v>
      </c>
      <c r="J423" s="27">
        <v>0</v>
      </c>
      <c r="K423" s="31">
        <v>0.68</v>
      </c>
    </row>
    <row r="424" spans="1:11">
      <c r="A424" s="19" t="s">
        <v>494</v>
      </c>
      <c r="B424" s="19" t="s">
        <v>6</v>
      </c>
      <c r="C424" s="19" t="s">
        <v>38</v>
      </c>
      <c r="D424" s="21">
        <f ca="1">RANDBETWEEN(DATE(2021,7,1),DATE(2021,9,30))</f>
        <v>44392</v>
      </c>
      <c r="E424" s="26">
        <v>1731600</v>
      </c>
      <c r="F424" s="19">
        <v>7.57</v>
      </c>
      <c r="G424" s="19">
        <v>71</v>
      </c>
      <c r="H424" s="27">
        <v>1417872</v>
      </c>
      <c r="I424" s="19">
        <v>0</v>
      </c>
      <c r="J424" s="27">
        <v>0</v>
      </c>
      <c r="K424" s="33">
        <v>0.68</v>
      </c>
    </row>
    <row r="425" spans="1:11">
      <c r="A425" s="19" t="s">
        <v>495</v>
      </c>
      <c r="B425" s="19" t="s">
        <v>6</v>
      </c>
      <c r="C425" s="19" t="s">
        <v>35</v>
      </c>
      <c r="D425" s="21">
        <f ca="1">RANDBETWEEN(DATE(2020,10,1),DATE(2020,12,31))</f>
        <v>44169</v>
      </c>
      <c r="E425" s="26">
        <v>2369833</v>
      </c>
      <c r="F425" s="19">
        <v>7.96</v>
      </c>
      <c r="G425" s="19">
        <v>59</v>
      </c>
      <c r="H425" s="27">
        <v>1026791</v>
      </c>
      <c r="I425" s="19">
        <v>0</v>
      </c>
      <c r="J425" s="27">
        <v>0</v>
      </c>
      <c r="K425" s="31">
        <v>0.68</v>
      </c>
    </row>
    <row r="426" spans="1:11">
      <c r="A426" s="19" t="s">
        <v>496</v>
      </c>
      <c r="B426" s="19" t="s">
        <v>7</v>
      </c>
      <c r="C426" s="19" t="s">
        <v>35</v>
      </c>
      <c r="D426" s="21">
        <f ca="1">RANDBETWEEN(DATE(2020,10,1),DATE(2020,12,31))</f>
        <v>44132</v>
      </c>
      <c r="E426" s="26">
        <v>1067471</v>
      </c>
      <c r="F426" s="19">
        <v>8.93</v>
      </c>
      <c r="G426" s="19">
        <v>75</v>
      </c>
      <c r="H426" s="27">
        <v>839000</v>
      </c>
      <c r="I426" s="19">
        <v>0</v>
      </c>
      <c r="J426" s="27">
        <v>0</v>
      </c>
      <c r="K426" s="31">
        <v>0.68</v>
      </c>
    </row>
    <row r="427" spans="1:11">
      <c r="A427" s="19" t="s">
        <v>497</v>
      </c>
      <c r="B427" s="19" t="s">
        <v>10</v>
      </c>
      <c r="C427" s="19" t="s">
        <v>29</v>
      </c>
      <c r="D427" s="21">
        <f ca="1">RANDBETWEEN(DATE(2019,4,1),DATE(2019,6,30))</f>
        <v>43595</v>
      </c>
      <c r="E427" s="26">
        <v>681521</v>
      </c>
      <c r="F427" s="19">
        <v>9.51</v>
      </c>
      <c r="G427" s="19">
        <v>64</v>
      </c>
      <c r="H427" s="27">
        <v>263338</v>
      </c>
      <c r="I427" s="19">
        <v>0</v>
      </c>
      <c r="J427" s="27">
        <v>0</v>
      </c>
      <c r="K427" s="31">
        <v>0.71</v>
      </c>
    </row>
    <row r="428" spans="1:11">
      <c r="A428" s="19" t="s">
        <v>498</v>
      </c>
      <c r="B428" s="19" t="s">
        <v>6</v>
      </c>
      <c r="C428" s="19" t="s">
        <v>38</v>
      </c>
      <c r="D428" s="21">
        <f ca="1">RANDBETWEEN(DATE(2021,7,1),DATE(2021,9,30))</f>
        <v>44388</v>
      </c>
      <c r="E428" s="26">
        <v>1455164</v>
      </c>
      <c r="F428" s="19">
        <v>7.5</v>
      </c>
      <c r="G428" s="19">
        <v>60</v>
      </c>
      <c r="H428" s="27">
        <v>412043</v>
      </c>
      <c r="I428" s="19">
        <v>0</v>
      </c>
      <c r="J428" s="27">
        <v>0</v>
      </c>
      <c r="K428" s="33">
        <v>0.68</v>
      </c>
    </row>
    <row r="429" spans="1:11">
      <c r="A429" s="19" t="s">
        <v>499</v>
      </c>
      <c r="B429" s="19" t="s">
        <v>10</v>
      </c>
      <c r="C429" s="19" t="s">
        <v>33</v>
      </c>
      <c r="D429" s="21">
        <f ca="1">RANDBETWEEN(DATE(2020,4,1),DATE(2020,6,30))</f>
        <v>43984</v>
      </c>
      <c r="E429" s="26">
        <v>1810835</v>
      </c>
      <c r="F429" s="19">
        <v>10.48</v>
      </c>
      <c r="G429" s="19">
        <v>19</v>
      </c>
      <c r="H429" s="27">
        <v>1393115</v>
      </c>
      <c r="I429" s="19">
        <v>1</v>
      </c>
      <c r="J429" s="27">
        <v>791999</v>
      </c>
      <c r="K429" s="31">
        <v>0.72</v>
      </c>
    </row>
    <row r="430" spans="1:11">
      <c r="A430" s="19" t="s">
        <v>500</v>
      </c>
      <c r="B430" s="19" t="s">
        <v>7</v>
      </c>
      <c r="C430" s="19" t="s">
        <v>43</v>
      </c>
      <c r="D430" s="21">
        <f ca="1">RANDBETWEEN(DATE(2022,10,1),DATE(2022,12,31))</f>
        <v>44904</v>
      </c>
      <c r="E430" s="26">
        <v>1782485</v>
      </c>
      <c r="F430" s="19">
        <v>9.4</v>
      </c>
      <c r="G430" s="19">
        <v>59</v>
      </c>
      <c r="H430" s="27">
        <v>1746200</v>
      </c>
      <c r="I430" s="19">
        <v>0</v>
      </c>
      <c r="J430" s="27">
        <v>0</v>
      </c>
      <c r="K430" s="31">
        <v>0.71</v>
      </c>
    </row>
    <row r="431" spans="1:11">
      <c r="A431" s="19" t="s">
        <v>501</v>
      </c>
      <c r="B431" s="19" t="s">
        <v>6</v>
      </c>
      <c r="C431" s="19" t="s">
        <v>31</v>
      </c>
      <c r="D431" s="21">
        <f ca="1">RANDBETWEEN(DATE(2019,10,1),DATE(2019,12,31))</f>
        <v>43772</v>
      </c>
      <c r="E431" s="26">
        <v>2169917</v>
      </c>
      <c r="F431" s="19">
        <v>7.63</v>
      </c>
      <c r="G431" s="19">
        <v>62</v>
      </c>
      <c r="H431" s="27">
        <v>1461475</v>
      </c>
      <c r="I431" s="19">
        <v>1</v>
      </c>
      <c r="J431" s="27">
        <v>679553</v>
      </c>
      <c r="K431" s="31">
        <v>0.7</v>
      </c>
    </row>
    <row r="432" spans="1:11">
      <c r="A432" s="19" t="s">
        <v>502</v>
      </c>
      <c r="B432" s="19" t="s">
        <v>10</v>
      </c>
      <c r="C432" s="19" t="s">
        <v>41</v>
      </c>
      <c r="D432" s="21">
        <f ca="1">RANDBETWEEN(DATE(2022,4,1),DATE(2022,6,30))</f>
        <v>44720</v>
      </c>
      <c r="E432" s="26">
        <v>1043092</v>
      </c>
      <c r="F432" s="19">
        <v>10.08</v>
      </c>
      <c r="G432" s="19">
        <v>52</v>
      </c>
      <c r="H432" s="27">
        <v>793355</v>
      </c>
      <c r="I432" s="19">
        <v>0</v>
      </c>
      <c r="J432" s="27">
        <v>0</v>
      </c>
      <c r="K432" s="30">
        <v>0.727</v>
      </c>
    </row>
    <row r="433" spans="1:11">
      <c r="A433" s="19" t="s">
        <v>503</v>
      </c>
      <c r="B433" s="19" t="s">
        <v>9</v>
      </c>
      <c r="C433" s="19" t="s">
        <v>35</v>
      </c>
      <c r="D433" s="21">
        <f ca="1">RANDBETWEEN(DATE(2020,10,1),DATE(2020,12,31))</f>
        <v>44106</v>
      </c>
      <c r="E433" s="26">
        <v>1949004</v>
      </c>
      <c r="F433" s="28">
        <v>10.82</v>
      </c>
      <c r="G433" s="19">
        <v>21</v>
      </c>
      <c r="H433" s="27">
        <v>602026</v>
      </c>
      <c r="I433" s="19">
        <v>0</v>
      </c>
      <c r="J433" s="27">
        <v>0</v>
      </c>
      <c r="K433" s="31">
        <v>0.68</v>
      </c>
    </row>
    <row r="434" spans="1:11">
      <c r="A434" s="19" t="s">
        <v>504</v>
      </c>
      <c r="B434" s="19" t="s">
        <v>6</v>
      </c>
      <c r="C434" s="19" t="s">
        <v>43</v>
      </c>
      <c r="D434" s="21">
        <f ca="1">RANDBETWEEN(DATE(2022,10,1),DATE(2022,12,31))</f>
        <v>44866</v>
      </c>
      <c r="E434" s="26">
        <v>701839</v>
      </c>
      <c r="F434" s="19">
        <v>7.61</v>
      </c>
      <c r="G434" s="19">
        <v>69</v>
      </c>
      <c r="H434" s="27">
        <v>316688</v>
      </c>
      <c r="I434" s="19">
        <v>0</v>
      </c>
      <c r="J434" s="27">
        <v>0</v>
      </c>
      <c r="K434" s="31">
        <v>0.71</v>
      </c>
    </row>
    <row r="435" spans="1:11">
      <c r="A435" s="19" t="s">
        <v>505</v>
      </c>
      <c r="B435" s="19" t="s">
        <v>9</v>
      </c>
      <c r="C435" s="19" t="s">
        <v>37</v>
      </c>
      <c r="D435" s="21">
        <f ca="1">RANDBETWEEN(DATE(2021,4,1),DATE(2021,6,30))</f>
        <v>44339</v>
      </c>
      <c r="E435" s="26">
        <v>920889</v>
      </c>
      <c r="F435" s="28">
        <v>11.36</v>
      </c>
      <c r="G435" s="19">
        <v>71</v>
      </c>
      <c r="H435" s="27">
        <v>812210</v>
      </c>
      <c r="I435" s="19">
        <v>1</v>
      </c>
      <c r="J435" s="27">
        <v>424817</v>
      </c>
      <c r="K435" s="31">
        <v>0.72</v>
      </c>
    </row>
    <row r="436" spans="1:11">
      <c r="A436" s="19" t="s">
        <v>506</v>
      </c>
      <c r="B436" s="19" t="s">
        <v>9</v>
      </c>
      <c r="C436" s="19" t="s">
        <v>33</v>
      </c>
      <c r="D436" s="21">
        <f ca="1">RANDBETWEEN(DATE(2020,4,1),DATE(2020,6,30))</f>
        <v>43978</v>
      </c>
      <c r="E436" s="26">
        <v>219155</v>
      </c>
      <c r="F436" s="28">
        <v>10.65</v>
      </c>
      <c r="G436" s="19">
        <v>53</v>
      </c>
      <c r="H436" s="27">
        <v>59822</v>
      </c>
      <c r="I436" s="19">
        <v>0</v>
      </c>
      <c r="J436" s="27">
        <v>0</v>
      </c>
      <c r="K436" s="31">
        <v>0.72</v>
      </c>
    </row>
    <row r="437" spans="1:11">
      <c r="A437" s="19" t="s">
        <v>507</v>
      </c>
      <c r="B437" s="19" t="s">
        <v>9</v>
      </c>
      <c r="C437" s="19" t="s">
        <v>37</v>
      </c>
      <c r="D437" s="21">
        <f ca="1">RANDBETWEEN(DATE(2021,4,1),DATE(2021,6,30))</f>
        <v>44290</v>
      </c>
      <c r="E437" s="26">
        <v>1711969</v>
      </c>
      <c r="F437" s="28">
        <v>11.54</v>
      </c>
      <c r="G437" s="19">
        <v>50</v>
      </c>
      <c r="H437" s="27">
        <v>1465568</v>
      </c>
      <c r="I437" s="19">
        <v>0</v>
      </c>
      <c r="J437" s="27">
        <v>0</v>
      </c>
      <c r="K437" s="31">
        <v>0.72</v>
      </c>
    </row>
    <row r="438" spans="1:11">
      <c r="A438" s="19" t="s">
        <v>508</v>
      </c>
      <c r="B438" s="19" t="s">
        <v>8</v>
      </c>
      <c r="C438" s="19" t="s">
        <v>36</v>
      </c>
      <c r="D438" s="21">
        <f ca="1">RANDBETWEEN(DATE(2021,1,1),DATE(2021,3,31))</f>
        <v>44232</v>
      </c>
      <c r="E438" s="26">
        <v>1946669</v>
      </c>
      <c r="F438" s="19">
        <v>8.97</v>
      </c>
      <c r="G438" s="19">
        <v>82</v>
      </c>
      <c r="H438" s="27">
        <v>536852</v>
      </c>
      <c r="I438" s="19">
        <v>0</v>
      </c>
      <c r="J438" s="27">
        <v>0</v>
      </c>
      <c r="K438" s="30">
        <v>0.744</v>
      </c>
    </row>
    <row r="439" spans="1:11">
      <c r="A439" s="19" t="s">
        <v>509</v>
      </c>
      <c r="B439" s="19" t="s">
        <v>10</v>
      </c>
      <c r="C439" s="19" t="s">
        <v>33</v>
      </c>
      <c r="D439" s="21">
        <f ca="1">RANDBETWEEN(DATE(2020,4,1),DATE(2020,6,30))</f>
        <v>44007</v>
      </c>
      <c r="E439" s="26">
        <v>559411</v>
      </c>
      <c r="F439" s="19">
        <v>9.52</v>
      </c>
      <c r="G439" s="19">
        <v>40</v>
      </c>
      <c r="H439" s="27">
        <v>200552</v>
      </c>
      <c r="I439" s="19">
        <v>0</v>
      </c>
      <c r="J439" s="27">
        <v>0</v>
      </c>
      <c r="K439" s="31">
        <v>0.72</v>
      </c>
    </row>
    <row r="440" spans="1:11">
      <c r="A440" s="19" t="s">
        <v>510</v>
      </c>
      <c r="B440" s="19" t="s">
        <v>6</v>
      </c>
      <c r="C440" s="19" t="s">
        <v>29</v>
      </c>
      <c r="D440" s="21">
        <f ca="1">RANDBETWEEN(DATE(2019,4,1),DATE(2019,6,30))</f>
        <v>43641</v>
      </c>
      <c r="E440" s="26">
        <v>2492443</v>
      </c>
      <c r="F440" s="19">
        <v>8.09</v>
      </c>
      <c r="G440" s="19">
        <v>21</v>
      </c>
      <c r="H440" s="27">
        <v>2486783</v>
      </c>
      <c r="I440" s="19">
        <v>0</v>
      </c>
      <c r="J440" s="27">
        <v>0</v>
      </c>
      <c r="K440" s="31">
        <v>0.71</v>
      </c>
    </row>
    <row r="441" spans="1:11">
      <c r="A441" s="19" t="s">
        <v>511</v>
      </c>
      <c r="B441" s="19" t="s">
        <v>8</v>
      </c>
      <c r="C441" s="19" t="s">
        <v>32</v>
      </c>
      <c r="D441" s="21">
        <f ca="1">RANDBETWEEN(DATE(2020,1,1),DATE(2020,3,31))</f>
        <v>43873</v>
      </c>
      <c r="E441" s="26">
        <v>590190</v>
      </c>
      <c r="F441" s="19">
        <v>8.41</v>
      </c>
      <c r="G441" s="19">
        <v>54</v>
      </c>
      <c r="H441" s="27">
        <v>138197</v>
      </c>
      <c r="I441" s="19">
        <v>0</v>
      </c>
      <c r="J441" s="27">
        <v>0</v>
      </c>
      <c r="K441" s="31">
        <v>0.68</v>
      </c>
    </row>
    <row r="442" spans="1:11">
      <c r="A442" s="19" t="s">
        <v>512</v>
      </c>
      <c r="B442" s="19" t="s">
        <v>10</v>
      </c>
      <c r="C442" s="19" t="s">
        <v>44</v>
      </c>
      <c r="D442" s="21">
        <f ca="1">RANDBETWEEN(DATE(2023,1,1),DATE(2023,3,31))</f>
        <v>44993</v>
      </c>
      <c r="E442" s="26">
        <v>2457044</v>
      </c>
      <c r="F442" s="19">
        <v>10.37</v>
      </c>
      <c r="G442" s="19">
        <v>62</v>
      </c>
      <c r="H442" s="27">
        <v>549360</v>
      </c>
      <c r="I442" s="19">
        <v>0</v>
      </c>
      <c r="J442" s="27">
        <v>0</v>
      </c>
      <c r="K442" s="31">
        <v>0.73</v>
      </c>
    </row>
    <row r="443" spans="1:11">
      <c r="A443" s="19" t="s">
        <v>513</v>
      </c>
      <c r="B443" s="19" t="s">
        <v>10</v>
      </c>
      <c r="C443" s="19" t="s">
        <v>37</v>
      </c>
      <c r="D443" s="21">
        <f ca="1">RANDBETWEEN(DATE(2021,4,1),DATE(2021,6,30))</f>
        <v>44357</v>
      </c>
      <c r="E443" s="26">
        <v>1534545</v>
      </c>
      <c r="F443" s="19">
        <v>9.93</v>
      </c>
      <c r="G443" s="19">
        <v>35</v>
      </c>
      <c r="H443" s="27">
        <v>650468</v>
      </c>
      <c r="I443" s="19">
        <v>0</v>
      </c>
      <c r="J443" s="27">
        <v>0</v>
      </c>
      <c r="K443" s="31">
        <v>0.72</v>
      </c>
    </row>
    <row r="444" spans="1:11">
      <c r="A444" s="19" t="s">
        <v>514</v>
      </c>
      <c r="B444" s="19" t="s">
        <v>6</v>
      </c>
      <c r="C444" s="19" t="s">
        <v>42</v>
      </c>
      <c r="D444" s="21">
        <f ca="1">RANDBETWEEN(DATE(2022,7,1),DATE(2022,9,30))</f>
        <v>44825</v>
      </c>
      <c r="E444" s="26">
        <v>1080896</v>
      </c>
      <c r="F444" s="19">
        <v>8.15</v>
      </c>
      <c r="G444" s="19">
        <v>75</v>
      </c>
      <c r="H444" s="27">
        <v>979532</v>
      </c>
      <c r="I444" s="19">
        <v>0</v>
      </c>
      <c r="J444" s="27">
        <v>0</v>
      </c>
      <c r="K444" s="31">
        <v>0.73</v>
      </c>
    </row>
    <row r="445" spans="1:11">
      <c r="A445" s="19" t="s">
        <v>515</v>
      </c>
      <c r="B445" s="19" t="s">
        <v>6</v>
      </c>
      <c r="C445" s="19" t="s">
        <v>35</v>
      </c>
      <c r="D445" s="21">
        <f ca="1">RANDBETWEEN(DATE(2020,10,1),DATE(2020,12,31))</f>
        <v>44142</v>
      </c>
      <c r="E445" s="26">
        <v>1223465</v>
      </c>
      <c r="F445" s="19">
        <v>7.88</v>
      </c>
      <c r="G445" s="19">
        <v>65</v>
      </c>
      <c r="H445" s="27">
        <v>873703</v>
      </c>
      <c r="I445" s="19">
        <v>0</v>
      </c>
      <c r="J445" s="27">
        <v>0</v>
      </c>
      <c r="K445" s="31">
        <v>0.68</v>
      </c>
    </row>
    <row r="446" spans="1:11">
      <c r="A446" s="19" t="s">
        <v>516</v>
      </c>
      <c r="B446" s="19" t="s">
        <v>10</v>
      </c>
      <c r="C446" s="19" t="s">
        <v>40</v>
      </c>
      <c r="D446" s="21">
        <f ca="1">RANDBETWEEN(DATE(2022,1,1),DATE(2022,3,31))</f>
        <v>44599</v>
      </c>
      <c r="E446" s="26">
        <v>2330261</v>
      </c>
      <c r="F446" s="19">
        <v>11.09</v>
      </c>
      <c r="G446" s="19">
        <v>60</v>
      </c>
      <c r="H446" s="27">
        <v>1360284</v>
      </c>
      <c r="I446" s="19">
        <v>0</v>
      </c>
      <c r="J446" s="27">
        <v>0</v>
      </c>
      <c r="K446" s="31">
        <v>0.71</v>
      </c>
    </row>
    <row r="447" spans="1:11">
      <c r="A447" s="19" t="s">
        <v>517</v>
      </c>
      <c r="B447" s="19" t="s">
        <v>9</v>
      </c>
      <c r="C447" s="19" t="s">
        <v>37</v>
      </c>
      <c r="D447" s="21">
        <f ca="1">RANDBETWEEN(DATE(2021,4,1),DATE(2021,6,30))</f>
        <v>44337</v>
      </c>
      <c r="E447" s="26">
        <v>2422512</v>
      </c>
      <c r="F447" s="28">
        <v>11.51</v>
      </c>
      <c r="G447" s="19">
        <v>61</v>
      </c>
      <c r="H447" s="27">
        <v>832987</v>
      </c>
      <c r="I447" s="19">
        <v>0</v>
      </c>
      <c r="J447" s="27">
        <v>0</v>
      </c>
      <c r="K447" s="31">
        <v>0.72</v>
      </c>
    </row>
    <row r="448" spans="1:11">
      <c r="A448" s="19" t="s">
        <v>518</v>
      </c>
      <c r="B448" s="19" t="s">
        <v>10</v>
      </c>
      <c r="C448" s="19" t="s">
        <v>30</v>
      </c>
      <c r="D448" s="21">
        <f ca="1">RANDBETWEEN(DATE(2019,7,1),DATE(2019,9,30))</f>
        <v>43698</v>
      </c>
      <c r="E448" s="26">
        <v>172907</v>
      </c>
      <c r="F448" s="19">
        <v>11.29</v>
      </c>
      <c r="G448" s="19">
        <v>47</v>
      </c>
      <c r="H448" s="27">
        <v>146438</v>
      </c>
      <c r="I448" s="19">
        <v>0</v>
      </c>
      <c r="J448" s="27">
        <v>0</v>
      </c>
      <c r="K448" s="31">
        <v>0.71</v>
      </c>
    </row>
    <row r="449" spans="1:11">
      <c r="A449" s="19" t="s">
        <v>519</v>
      </c>
      <c r="B449" s="19" t="s">
        <v>9</v>
      </c>
      <c r="C449" s="19" t="s">
        <v>32</v>
      </c>
      <c r="D449" s="21">
        <f ca="1">RANDBETWEEN(DATE(2020,1,1),DATE(2020,3,31))</f>
        <v>43905</v>
      </c>
      <c r="E449" s="26">
        <v>2499427</v>
      </c>
      <c r="F449" s="28">
        <v>13</v>
      </c>
      <c r="G449" s="19">
        <v>32</v>
      </c>
      <c r="H449" s="27">
        <v>995485</v>
      </c>
      <c r="I449" s="19">
        <v>0</v>
      </c>
      <c r="J449" s="27">
        <v>0</v>
      </c>
      <c r="K449" s="31">
        <v>0.68</v>
      </c>
    </row>
    <row r="450" spans="1:11">
      <c r="A450" s="19" t="s">
        <v>520</v>
      </c>
      <c r="B450" s="19" t="s">
        <v>7</v>
      </c>
      <c r="C450" s="19" t="s">
        <v>47</v>
      </c>
      <c r="D450" s="21">
        <f ca="1">RANDBETWEEN(DATE(2023,10,1),DATE(2023,12,31))</f>
        <v>45239</v>
      </c>
      <c r="E450" s="26">
        <v>284497</v>
      </c>
      <c r="F450" s="19">
        <v>9.53</v>
      </c>
      <c r="G450" s="19">
        <v>40</v>
      </c>
      <c r="H450" s="27">
        <v>249561</v>
      </c>
      <c r="I450" s="19">
        <v>0</v>
      </c>
      <c r="J450" s="27">
        <v>0</v>
      </c>
      <c r="K450" s="32">
        <v>0.74</v>
      </c>
    </row>
    <row r="451" spans="1:11">
      <c r="A451" s="19" t="s">
        <v>521</v>
      </c>
      <c r="B451" s="19" t="s">
        <v>9</v>
      </c>
      <c r="C451" s="19" t="s">
        <v>40</v>
      </c>
      <c r="D451" s="21">
        <f ca="1">RANDBETWEEN(DATE(2022,1,1),DATE(2022,3,31))</f>
        <v>44568</v>
      </c>
      <c r="E451" s="26">
        <v>778601</v>
      </c>
      <c r="F451" s="28">
        <v>10.53</v>
      </c>
      <c r="G451" s="19">
        <v>52</v>
      </c>
      <c r="H451" s="27">
        <v>725020</v>
      </c>
      <c r="I451" s="19">
        <v>1</v>
      </c>
      <c r="J451" s="27">
        <v>348172</v>
      </c>
      <c r="K451" s="31">
        <v>0.71</v>
      </c>
    </row>
    <row r="452" spans="1:11">
      <c r="A452" s="19" t="s">
        <v>522</v>
      </c>
      <c r="B452" s="19" t="s">
        <v>7</v>
      </c>
      <c r="C452" s="19" t="s">
        <v>44</v>
      </c>
      <c r="D452" s="21">
        <f ca="1">RANDBETWEEN(DATE(2023,1,1),DATE(2023,3,31))</f>
        <v>44989</v>
      </c>
      <c r="E452" s="26">
        <v>2413936</v>
      </c>
      <c r="F452" s="19">
        <v>8.28</v>
      </c>
      <c r="G452" s="19">
        <v>36</v>
      </c>
      <c r="H452" s="27">
        <v>1529710</v>
      </c>
      <c r="I452" s="19">
        <v>0</v>
      </c>
      <c r="J452" s="27">
        <v>0</v>
      </c>
      <c r="K452" s="31">
        <v>0.73</v>
      </c>
    </row>
    <row r="453" spans="1:11">
      <c r="A453" s="19" t="s">
        <v>523</v>
      </c>
      <c r="B453" s="19" t="s">
        <v>6</v>
      </c>
      <c r="C453" s="19" t="s">
        <v>29</v>
      </c>
      <c r="D453" s="21">
        <f ca="1">RANDBETWEEN(DATE(2019,4,1),DATE(2019,6,30))</f>
        <v>43570</v>
      </c>
      <c r="E453" s="26">
        <v>428566</v>
      </c>
      <c r="F453" s="19">
        <v>7.56</v>
      </c>
      <c r="G453" s="19">
        <v>40</v>
      </c>
      <c r="H453" s="27">
        <v>266207</v>
      </c>
      <c r="I453" s="19">
        <v>1</v>
      </c>
      <c r="J453" s="27">
        <v>150981</v>
      </c>
      <c r="K453" s="31">
        <v>0.71</v>
      </c>
    </row>
    <row r="454" spans="1:11">
      <c r="A454" s="19" t="s">
        <v>524</v>
      </c>
      <c r="B454" s="19" t="s">
        <v>10</v>
      </c>
      <c r="C454" s="19" t="s">
        <v>39</v>
      </c>
      <c r="D454" s="21">
        <f ca="1">RANDBETWEEN(DATE(2021,10,1),DATE(2021,12,31))</f>
        <v>44528</v>
      </c>
      <c r="E454" s="26">
        <v>597312</v>
      </c>
      <c r="F454" s="19">
        <v>10.18</v>
      </c>
      <c r="G454" s="19">
        <v>34</v>
      </c>
      <c r="H454" s="27">
        <v>147921</v>
      </c>
      <c r="I454" s="19">
        <v>0</v>
      </c>
      <c r="J454" s="27">
        <v>0</v>
      </c>
      <c r="K454" s="31">
        <v>0.71</v>
      </c>
    </row>
    <row r="455" spans="1:11">
      <c r="A455" s="19" t="s">
        <v>525</v>
      </c>
      <c r="B455" s="19" t="s">
        <v>10</v>
      </c>
      <c r="C455" s="19" t="s">
        <v>31</v>
      </c>
      <c r="D455" s="21">
        <f ca="1">RANDBETWEEN(DATE(2019,10,1),DATE(2019,12,31))</f>
        <v>43755</v>
      </c>
      <c r="E455" s="26">
        <v>515234</v>
      </c>
      <c r="F455" s="19">
        <v>11.19</v>
      </c>
      <c r="G455" s="19">
        <v>58</v>
      </c>
      <c r="H455" s="27">
        <v>257036</v>
      </c>
      <c r="I455" s="19">
        <v>0</v>
      </c>
      <c r="J455" s="27">
        <v>0</v>
      </c>
      <c r="K455" s="31">
        <v>0.7</v>
      </c>
    </row>
    <row r="456" spans="1:11">
      <c r="A456" s="19" t="s">
        <v>526</v>
      </c>
      <c r="B456" s="19" t="s">
        <v>8</v>
      </c>
      <c r="C456" s="19" t="s">
        <v>33</v>
      </c>
      <c r="D456" s="21">
        <f ca="1">RANDBETWEEN(DATE(2020,4,1),DATE(2020,6,30))</f>
        <v>43980</v>
      </c>
      <c r="E456" s="26">
        <v>473759</v>
      </c>
      <c r="F456" s="19">
        <v>8.7</v>
      </c>
      <c r="G456" s="19">
        <v>53</v>
      </c>
      <c r="H456" s="27">
        <v>464610</v>
      </c>
      <c r="I456" s="19">
        <v>0</v>
      </c>
      <c r="J456" s="27">
        <v>0</v>
      </c>
      <c r="K456" s="31">
        <v>0.72</v>
      </c>
    </row>
    <row r="457" spans="1:11">
      <c r="A457" s="19" t="s">
        <v>527</v>
      </c>
      <c r="B457" s="19" t="s">
        <v>8</v>
      </c>
      <c r="C457" s="19" t="s">
        <v>46</v>
      </c>
      <c r="D457" s="21">
        <f ca="1">RANDBETWEEN(DATE(2023,7,1),DATE(2023,9,30))</f>
        <v>45141</v>
      </c>
      <c r="E457" s="26">
        <v>2093464</v>
      </c>
      <c r="F457" s="19">
        <v>9.08</v>
      </c>
      <c r="G457" s="19">
        <v>34</v>
      </c>
      <c r="H457" s="27">
        <v>1580247</v>
      </c>
      <c r="I457" s="19">
        <v>0</v>
      </c>
      <c r="J457" s="27">
        <v>0</v>
      </c>
      <c r="K457" s="31">
        <v>0.76</v>
      </c>
    </row>
    <row r="458" spans="1:11">
      <c r="A458" s="19" t="s">
        <v>528</v>
      </c>
      <c r="B458" s="19" t="s">
        <v>9</v>
      </c>
      <c r="C458" s="19" t="s">
        <v>41</v>
      </c>
      <c r="D458" s="21">
        <f ca="1">RANDBETWEEN(DATE(2022,4,1),DATE(2022,6,30))</f>
        <v>44687</v>
      </c>
      <c r="E458" s="26">
        <v>986324</v>
      </c>
      <c r="F458" s="28">
        <v>12</v>
      </c>
      <c r="G458" s="19">
        <v>34</v>
      </c>
      <c r="H458" s="27">
        <v>439366</v>
      </c>
      <c r="I458" s="19">
        <v>0</v>
      </c>
      <c r="J458" s="27">
        <v>0</v>
      </c>
      <c r="K458" s="30">
        <v>0.727</v>
      </c>
    </row>
    <row r="459" spans="1:11">
      <c r="A459" s="19" t="s">
        <v>529</v>
      </c>
      <c r="B459" s="19" t="s">
        <v>10</v>
      </c>
      <c r="C459" s="19" t="s">
        <v>47</v>
      </c>
      <c r="D459" s="21">
        <f ca="1">RANDBETWEEN(DATE(2023,10,1),DATE(2023,12,31))</f>
        <v>45247</v>
      </c>
      <c r="E459" s="26">
        <v>795362</v>
      </c>
      <c r="F459" s="19">
        <v>10.96</v>
      </c>
      <c r="G459" s="19">
        <v>62</v>
      </c>
      <c r="H459" s="27">
        <v>179677</v>
      </c>
      <c r="I459" s="19">
        <v>0</v>
      </c>
      <c r="J459" s="27">
        <v>0</v>
      </c>
      <c r="K459" s="32">
        <v>0.74</v>
      </c>
    </row>
    <row r="460" spans="1:11">
      <c r="A460" s="19" t="s">
        <v>530</v>
      </c>
      <c r="B460" s="19" t="s">
        <v>7</v>
      </c>
      <c r="C460" s="19" t="s">
        <v>44</v>
      </c>
      <c r="D460" s="21">
        <f ca="1">RANDBETWEEN(DATE(2023,1,1),DATE(2023,3,31))</f>
        <v>45015</v>
      </c>
      <c r="E460" s="26">
        <v>976501</v>
      </c>
      <c r="F460" s="19">
        <v>9.28</v>
      </c>
      <c r="G460" s="19">
        <v>25</v>
      </c>
      <c r="H460" s="27">
        <v>305170</v>
      </c>
      <c r="I460" s="19">
        <v>0</v>
      </c>
      <c r="J460" s="27">
        <v>0</v>
      </c>
      <c r="K460" s="31">
        <v>0.73</v>
      </c>
    </row>
    <row r="461" spans="1:11">
      <c r="A461" s="19" t="s">
        <v>531</v>
      </c>
      <c r="B461" s="19" t="s">
        <v>10</v>
      </c>
      <c r="C461" s="19" t="s">
        <v>31</v>
      </c>
      <c r="D461" s="21">
        <f ca="1">RANDBETWEEN(DATE(2019,10,1),DATE(2019,12,31))</f>
        <v>43746</v>
      </c>
      <c r="E461" s="26">
        <v>1504627</v>
      </c>
      <c r="F461" s="19">
        <v>11.46</v>
      </c>
      <c r="G461" s="19">
        <v>33</v>
      </c>
      <c r="H461" s="27">
        <v>1289961</v>
      </c>
      <c r="I461" s="19">
        <v>0</v>
      </c>
      <c r="J461" s="27">
        <v>0</v>
      </c>
      <c r="K461" s="31">
        <v>0.7</v>
      </c>
    </row>
    <row r="462" spans="1:11">
      <c r="A462" s="19" t="s">
        <v>532</v>
      </c>
      <c r="B462" s="19" t="s">
        <v>9</v>
      </c>
      <c r="C462" s="19" t="s">
        <v>36</v>
      </c>
      <c r="D462" s="21">
        <f ca="1">RANDBETWEEN(DATE(2021,1,1),DATE(2021,3,31))</f>
        <v>44235</v>
      </c>
      <c r="E462" s="26">
        <v>1923301</v>
      </c>
      <c r="F462" s="28">
        <v>10.03</v>
      </c>
      <c r="G462" s="19">
        <v>38</v>
      </c>
      <c r="H462" s="27">
        <v>1451209</v>
      </c>
      <c r="I462" s="19">
        <v>0</v>
      </c>
      <c r="J462" s="27">
        <v>0</v>
      </c>
      <c r="K462" s="30">
        <v>0.744</v>
      </c>
    </row>
    <row r="463" spans="1:11">
      <c r="A463" s="19" t="s">
        <v>533</v>
      </c>
      <c r="B463" s="19" t="s">
        <v>6</v>
      </c>
      <c r="C463" s="19" t="s">
        <v>42</v>
      </c>
      <c r="D463" s="21">
        <f ca="1">RANDBETWEEN(DATE(2022,7,1),DATE(2022,9,30))</f>
        <v>44782</v>
      </c>
      <c r="E463" s="26">
        <v>55373</v>
      </c>
      <c r="F463" s="19">
        <v>7.55</v>
      </c>
      <c r="G463" s="19">
        <v>68</v>
      </c>
      <c r="H463" s="27">
        <v>54004</v>
      </c>
      <c r="I463" s="19">
        <v>0</v>
      </c>
      <c r="J463" s="27">
        <v>0</v>
      </c>
      <c r="K463" s="31">
        <v>0.73</v>
      </c>
    </row>
    <row r="464" spans="1:11">
      <c r="A464" s="19" t="s">
        <v>534</v>
      </c>
      <c r="B464" s="19" t="s">
        <v>8</v>
      </c>
      <c r="C464" s="19" t="s">
        <v>32</v>
      </c>
      <c r="D464" s="21">
        <f ca="1">RANDBETWEEN(DATE(2020,1,1),DATE(2020,3,31))</f>
        <v>43844</v>
      </c>
      <c r="E464" s="26">
        <v>1638435</v>
      </c>
      <c r="F464" s="19">
        <v>8.72</v>
      </c>
      <c r="G464" s="19">
        <v>60</v>
      </c>
      <c r="H464" s="27">
        <v>1414044</v>
      </c>
      <c r="I464" s="19">
        <v>0</v>
      </c>
      <c r="J464" s="27">
        <v>0</v>
      </c>
      <c r="K464" s="31">
        <v>0.68</v>
      </c>
    </row>
    <row r="465" spans="1:11">
      <c r="A465" s="19" t="s">
        <v>535</v>
      </c>
      <c r="B465" s="19" t="s">
        <v>7</v>
      </c>
      <c r="C465" s="19" t="s">
        <v>30</v>
      </c>
      <c r="D465" s="21">
        <f ca="1">RANDBETWEEN(DATE(2019,7,1),DATE(2019,9,30))</f>
        <v>43680</v>
      </c>
      <c r="E465" s="26">
        <v>996162</v>
      </c>
      <c r="F465" s="19">
        <v>8.33</v>
      </c>
      <c r="G465" s="19">
        <v>21</v>
      </c>
      <c r="H465" s="27">
        <v>434253</v>
      </c>
      <c r="I465" s="19">
        <v>0</v>
      </c>
      <c r="J465" s="27">
        <v>0</v>
      </c>
      <c r="K465" s="31">
        <v>0.71</v>
      </c>
    </row>
    <row r="466" spans="1:11">
      <c r="A466" s="19" t="s">
        <v>536</v>
      </c>
      <c r="B466" s="19" t="s">
        <v>6</v>
      </c>
      <c r="C466" s="19" t="s">
        <v>34</v>
      </c>
      <c r="D466" s="21">
        <f ca="1">RANDBETWEEN(DATE(2020,7,1),DATE(2020,9,30))</f>
        <v>44051</v>
      </c>
      <c r="E466" s="26">
        <v>361219</v>
      </c>
      <c r="F466" s="19">
        <v>7.84</v>
      </c>
      <c r="G466" s="19">
        <v>60</v>
      </c>
      <c r="H466" s="27">
        <v>283769</v>
      </c>
      <c r="I466" s="19">
        <v>0</v>
      </c>
      <c r="J466" s="27">
        <v>0</v>
      </c>
      <c r="K466" s="31">
        <v>0.68</v>
      </c>
    </row>
    <row r="467" spans="1:11">
      <c r="A467" s="19" t="s">
        <v>537</v>
      </c>
      <c r="B467" s="19" t="s">
        <v>6</v>
      </c>
      <c r="C467" s="19" t="s">
        <v>29</v>
      </c>
      <c r="D467" s="21">
        <f ca="1">RANDBETWEEN(DATE(2019,4,1),DATE(2019,6,30))</f>
        <v>43580</v>
      </c>
      <c r="E467" s="26">
        <v>1467467</v>
      </c>
      <c r="F467" s="19">
        <v>8.09</v>
      </c>
      <c r="G467" s="19">
        <v>73</v>
      </c>
      <c r="H467" s="27">
        <v>799855</v>
      </c>
      <c r="I467" s="19">
        <v>0</v>
      </c>
      <c r="J467" s="27">
        <v>0</v>
      </c>
      <c r="K467" s="31">
        <v>0.71</v>
      </c>
    </row>
    <row r="468" spans="1:11">
      <c r="A468" s="19" t="s">
        <v>538</v>
      </c>
      <c r="B468" s="19" t="s">
        <v>7</v>
      </c>
      <c r="C468" s="19" t="s">
        <v>39</v>
      </c>
      <c r="D468" s="21">
        <f ca="1">RANDBETWEEN(DATE(2021,10,1),DATE(2021,12,31))</f>
        <v>44554</v>
      </c>
      <c r="E468" s="26">
        <v>1871168</v>
      </c>
      <c r="F468" s="19">
        <v>8.31</v>
      </c>
      <c r="G468" s="19">
        <v>24</v>
      </c>
      <c r="H468" s="27">
        <v>681929</v>
      </c>
      <c r="I468" s="19">
        <v>0</v>
      </c>
      <c r="J468" s="27">
        <v>0</v>
      </c>
      <c r="K468" s="31">
        <v>0.71</v>
      </c>
    </row>
    <row r="469" spans="1:11">
      <c r="A469" s="19" t="s">
        <v>539</v>
      </c>
      <c r="B469" s="19" t="s">
        <v>7</v>
      </c>
      <c r="C469" s="19" t="s">
        <v>38</v>
      </c>
      <c r="D469" s="21">
        <f ca="1">RANDBETWEEN(DATE(2021,7,1),DATE(2021,9,30))</f>
        <v>44451</v>
      </c>
      <c r="E469" s="26">
        <v>2315450</v>
      </c>
      <c r="F469" s="19">
        <v>8.53</v>
      </c>
      <c r="G469" s="19">
        <v>48</v>
      </c>
      <c r="H469" s="27">
        <v>903114</v>
      </c>
      <c r="I469" s="19">
        <v>1</v>
      </c>
      <c r="J469" s="27">
        <v>387172</v>
      </c>
      <c r="K469" s="33">
        <v>0.68</v>
      </c>
    </row>
    <row r="470" spans="1:11">
      <c r="A470" s="19" t="s">
        <v>540</v>
      </c>
      <c r="B470" s="19" t="s">
        <v>8</v>
      </c>
      <c r="C470" s="19" t="s">
        <v>42</v>
      </c>
      <c r="D470" s="21">
        <f ca="1">RANDBETWEEN(DATE(2022,7,1),DATE(2022,9,30))</f>
        <v>44759</v>
      </c>
      <c r="E470" s="26">
        <v>694202</v>
      </c>
      <c r="F470" s="19">
        <v>8.37</v>
      </c>
      <c r="G470" s="19">
        <v>12</v>
      </c>
      <c r="H470" s="27">
        <v>187505</v>
      </c>
      <c r="I470" s="19">
        <v>0</v>
      </c>
      <c r="J470" s="27">
        <v>0</v>
      </c>
      <c r="K470" s="31">
        <v>0.73</v>
      </c>
    </row>
    <row r="471" spans="1:11">
      <c r="A471" s="19" t="s">
        <v>541</v>
      </c>
      <c r="B471" s="19" t="s">
        <v>7</v>
      </c>
      <c r="C471" s="19" t="s">
        <v>35</v>
      </c>
      <c r="D471" s="21">
        <f ca="1">RANDBETWEEN(DATE(2020,10,1),DATE(2020,12,31))</f>
        <v>44111</v>
      </c>
      <c r="E471" s="26">
        <v>2064643</v>
      </c>
      <c r="F471" s="19">
        <v>8.4</v>
      </c>
      <c r="G471" s="19">
        <v>15</v>
      </c>
      <c r="H471" s="27">
        <v>695094</v>
      </c>
      <c r="I471" s="19">
        <v>0</v>
      </c>
      <c r="J471" s="27">
        <v>0</v>
      </c>
      <c r="K471" s="31">
        <v>0.68</v>
      </c>
    </row>
    <row r="472" spans="1:11">
      <c r="A472" s="19" t="s">
        <v>542</v>
      </c>
      <c r="B472" s="19" t="s">
        <v>6</v>
      </c>
      <c r="C472" s="19" t="s">
        <v>41</v>
      </c>
      <c r="D472" s="21">
        <f ca="1">RANDBETWEEN(DATE(2022,4,1),DATE(2022,6,30))</f>
        <v>44735</v>
      </c>
      <c r="E472" s="26">
        <v>2036299</v>
      </c>
      <c r="F472" s="19">
        <v>8.34</v>
      </c>
      <c r="G472" s="19">
        <v>51</v>
      </c>
      <c r="H472" s="27">
        <v>1174446</v>
      </c>
      <c r="I472" s="19">
        <v>0</v>
      </c>
      <c r="J472" s="27">
        <v>0</v>
      </c>
      <c r="K472" s="30">
        <v>0.727</v>
      </c>
    </row>
    <row r="473" spans="1:11">
      <c r="A473" s="19" t="s">
        <v>543</v>
      </c>
      <c r="B473" s="19" t="s">
        <v>9</v>
      </c>
      <c r="C473" s="19" t="s">
        <v>34</v>
      </c>
      <c r="D473" s="21">
        <f ca="1">RANDBETWEEN(DATE(2020,7,1),DATE(2020,9,30))</f>
        <v>44051</v>
      </c>
      <c r="E473" s="26">
        <v>432255</v>
      </c>
      <c r="F473" s="28">
        <v>11.93</v>
      </c>
      <c r="G473" s="19">
        <v>61</v>
      </c>
      <c r="H473" s="27">
        <v>214751</v>
      </c>
      <c r="I473" s="19">
        <v>0</v>
      </c>
      <c r="J473" s="27">
        <v>0</v>
      </c>
      <c r="K473" s="31">
        <v>0.68</v>
      </c>
    </row>
    <row r="474" spans="1:11">
      <c r="A474" s="19" t="s">
        <v>544</v>
      </c>
      <c r="B474" s="19" t="s">
        <v>10</v>
      </c>
      <c r="C474" s="19" t="s">
        <v>43</v>
      </c>
      <c r="D474" s="21">
        <f ca="1">RANDBETWEEN(DATE(2022,10,1),DATE(2022,12,31))</f>
        <v>44905</v>
      </c>
      <c r="E474" s="26">
        <v>1919717</v>
      </c>
      <c r="F474" s="19">
        <v>9.59</v>
      </c>
      <c r="G474" s="19">
        <v>68</v>
      </c>
      <c r="H474" s="27">
        <v>788467</v>
      </c>
      <c r="I474" s="19">
        <v>0</v>
      </c>
      <c r="J474" s="27">
        <v>0</v>
      </c>
      <c r="K474" s="31">
        <v>0.71</v>
      </c>
    </row>
    <row r="475" spans="1:11">
      <c r="A475" s="19" t="s">
        <v>545</v>
      </c>
      <c r="B475" s="19" t="s">
        <v>7</v>
      </c>
      <c r="C475" s="19" t="s">
        <v>31</v>
      </c>
      <c r="D475" s="21">
        <f ca="1">RANDBETWEEN(DATE(2019,10,1),DATE(2019,12,31))</f>
        <v>43791</v>
      </c>
      <c r="E475" s="26">
        <v>308534</v>
      </c>
      <c r="F475" s="19">
        <v>8.3</v>
      </c>
      <c r="G475" s="19">
        <v>24</v>
      </c>
      <c r="H475" s="27">
        <v>226622</v>
      </c>
      <c r="I475" s="19">
        <v>1</v>
      </c>
      <c r="J475" s="27">
        <v>98069</v>
      </c>
      <c r="K475" s="31">
        <v>0.7</v>
      </c>
    </row>
    <row r="476" spans="1:11">
      <c r="A476" s="19" t="s">
        <v>546</v>
      </c>
      <c r="B476" s="19" t="s">
        <v>8</v>
      </c>
      <c r="C476" s="19" t="s">
        <v>45</v>
      </c>
      <c r="D476" s="21">
        <f ca="1">RANDBETWEEN(DATE(2023,4,1),DATE(2023,6,30))</f>
        <v>45060</v>
      </c>
      <c r="E476" s="26">
        <v>1004257</v>
      </c>
      <c r="F476" s="19">
        <v>8.96</v>
      </c>
      <c r="G476" s="19">
        <v>61</v>
      </c>
      <c r="H476" s="27">
        <v>537182</v>
      </c>
      <c r="I476" s="19">
        <v>0</v>
      </c>
      <c r="J476" s="27">
        <v>0</v>
      </c>
      <c r="K476" s="31">
        <v>0.73</v>
      </c>
    </row>
    <row r="477" spans="1:11">
      <c r="A477" s="19" t="s">
        <v>547</v>
      </c>
      <c r="B477" s="19" t="s">
        <v>8</v>
      </c>
      <c r="C477" s="19" t="s">
        <v>38</v>
      </c>
      <c r="D477" s="21">
        <f ca="1">RANDBETWEEN(DATE(2021,7,1),DATE(2021,9,30))</f>
        <v>44418</v>
      </c>
      <c r="E477" s="26">
        <v>2452137</v>
      </c>
      <c r="F477" s="19">
        <v>9.36</v>
      </c>
      <c r="G477" s="19">
        <v>72</v>
      </c>
      <c r="H477" s="27">
        <v>645314</v>
      </c>
      <c r="I477" s="19">
        <v>0</v>
      </c>
      <c r="J477" s="27">
        <v>0</v>
      </c>
      <c r="K477" s="33">
        <v>0.68</v>
      </c>
    </row>
    <row r="478" spans="1:11">
      <c r="A478" s="19" t="s">
        <v>548</v>
      </c>
      <c r="B478" s="19" t="s">
        <v>6</v>
      </c>
      <c r="C478" s="19" t="s">
        <v>47</v>
      </c>
      <c r="D478" s="21">
        <f ca="1">RANDBETWEEN(DATE(2023,10,1),DATE(2023,12,31))</f>
        <v>45246</v>
      </c>
      <c r="E478" s="26">
        <v>2155966</v>
      </c>
      <c r="F478" s="19">
        <v>8.07</v>
      </c>
      <c r="G478" s="19">
        <v>78</v>
      </c>
      <c r="H478" s="27">
        <v>1599786</v>
      </c>
      <c r="I478" s="19">
        <v>0</v>
      </c>
      <c r="J478" s="27">
        <v>0</v>
      </c>
      <c r="K478" s="32">
        <v>0.74</v>
      </c>
    </row>
    <row r="479" spans="1:11">
      <c r="A479" s="19" t="s">
        <v>549</v>
      </c>
      <c r="B479" s="19" t="s">
        <v>6</v>
      </c>
      <c r="C479" s="19" t="s">
        <v>35</v>
      </c>
      <c r="D479" s="21">
        <f ca="1">RANDBETWEEN(DATE(2020,10,1),DATE(2020,12,31))</f>
        <v>44161</v>
      </c>
      <c r="E479" s="26">
        <v>1933409</v>
      </c>
      <c r="F479" s="19">
        <v>7.67</v>
      </c>
      <c r="G479" s="19">
        <v>33</v>
      </c>
      <c r="H479" s="27">
        <v>1637149</v>
      </c>
      <c r="I479" s="19">
        <v>0</v>
      </c>
      <c r="J479" s="27">
        <v>0</v>
      </c>
      <c r="K479" s="31">
        <v>0.68</v>
      </c>
    </row>
    <row r="480" spans="1:11">
      <c r="A480" s="19" t="s">
        <v>550</v>
      </c>
      <c r="B480" s="19" t="s">
        <v>8</v>
      </c>
      <c r="C480" s="19" t="s">
        <v>35</v>
      </c>
      <c r="D480" s="21">
        <f ca="1">RANDBETWEEN(DATE(2020,10,1),DATE(2020,12,31))</f>
        <v>44151</v>
      </c>
      <c r="E480" s="26">
        <v>378701</v>
      </c>
      <c r="F480" s="19">
        <v>9.49</v>
      </c>
      <c r="G480" s="19">
        <v>67</v>
      </c>
      <c r="H480" s="27">
        <v>377873</v>
      </c>
      <c r="I480" s="19">
        <v>0</v>
      </c>
      <c r="J480" s="27">
        <v>0</v>
      </c>
      <c r="K480" s="31">
        <v>0.68</v>
      </c>
    </row>
    <row r="481" spans="1:11">
      <c r="A481" s="19" t="s">
        <v>551</v>
      </c>
      <c r="B481" s="19" t="s">
        <v>7</v>
      </c>
      <c r="C481" s="19" t="s">
        <v>31</v>
      </c>
      <c r="D481" s="21">
        <f ca="1">RANDBETWEEN(DATE(2019,10,1),DATE(2019,12,31))</f>
        <v>43813</v>
      </c>
      <c r="E481" s="26">
        <v>1131653</v>
      </c>
      <c r="F481" s="19">
        <v>8.64</v>
      </c>
      <c r="G481" s="19">
        <v>20</v>
      </c>
      <c r="H481" s="27">
        <v>577685</v>
      </c>
      <c r="I481" s="19">
        <v>0</v>
      </c>
      <c r="J481" s="27">
        <v>0</v>
      </c>
      <c r="K481" s="31">
        <v>0.7</v>
      </c>
    </row>
    <row r="482" spans="1:11">
      <c r="A482" s="19" t="s">
        <v>552</v>
      </c>
      <c r="B482" s="19" t="s">
        <v>9</v>
      </c>
      <c r="C482" s="19" t="s">
        <v>48</v>
      </c>
      <c r="D482" s="21">
        <f ca="1">RANDBETWEEN(DATE(2024,1,1),DATE(2024,3,31))</f>
        <v>45341</v>
      </c>
      <c r="E482" s="26">
        <v>1208470</v>
      </c>
      <c r="F482" s="28">
        <v>11.56</v>
      </c>
      <c r="G482" s="19">
        <v>13</v>
      </c>
      <c r="H482" s="27">
        <v>809748</v>
      </c>
      <c r="I482" s="19">
        <v>0</v>
      </c>
      <c r="J482" s="27">
        <v>0</v>
      </c>
      <c r="K482" s="31">
        <v>0.75</v>
      </c>
    </row>
    <row r="483" spans="1:11">
      <c r="A483" s="19" t="s">
        <v>553</v>
      </c>
      <c r="B483" s="19" t="s">
        <v>6</v>
      </c>
      <c r="C483" s="19" t="s">
        <v>47</v>
      </c>
      <c r="D483" s="21">
        <f ca="1">RANDBETWEEN(DATE(2023,10,1),DATE(2023,12,31))</f>
        <v>45216</v>
      </c>
      <c r="E483" s="26">
        <v>1788297</v>
      </c>
      <c r="F483" s="19">
        <v>7.65</v>
      </c>
      <c r="G483" s="19">
        <v>84</v>
      </c>
      <c r="H483" s="27">
        <v>1191259</v>
      </c>
      <c r="I483" s="19">
        <v>0</v>
      </c>
      <c r="J483" s="27">
        <v>0</v>
      </c>
      <c r="K483" s="32">
        <v>0.74</v>
      </c>
    </row>
    <row r="484" spans="1:11">
      <c r="A484" s="19" t="s">
        <v>554</v>
      </c>
      <c r="B484" s="19" t="s">
        <v>6</v>
      </c>
      <c r="C484" s="19" t="s">
        <v>38</v>
      </c>
      <c r="D484" s="21">
        <f ca="1">RANDBETWEEN(DATE(2021,7,1),DATE(2021,9,30))</f>
        <v>44447</v>
      </c>
      <c r="E484" s="26">
        <v>493064</v>
      </c>
      <c r="F484" s="19">
        <v>8.06</v>
      </c>
      <c r="G484" s="19">
        <v>24</v>
      </c>
      <c r="H484" s="27">
        <v>440789</v>
      </c>
      <c r="I484" s="19">
        <v>0</v>
      </c>
      <c r="J484" s="27">
        <v>0</v>
      </c>
      <c r="K484" s="33">
        <v>0.68</v>
      </c>
    </row>
    <row r="485" spans="1:11">
      <c r="A485" s="19" t="s">
        <v>555</v>
      </c>
      <c r="B485" s="19" t="s">
        <v>8</v>
      </c>
      <c r="C485" s="19" t="s">
        <v>47</v>
      </c>
      <c r="D485" s="21">
        <f ca="1">RANDBETWEEN(DATE(2023,10,1),DATE(2023,12,31))</f>
        <v>45271</v>
      </c>
      <c r="E485" s="26">
        <v>1157869</v>
      </c>
      <c r="F485" s="19">
        <v>8.76</v>
      </c>
      <c r="G485" s="19">
        <v>74</v>
      </c>
      <c r="H485" s="27">
        <v>795652</v>
      </c>
      <c r="I485" s="19">
        <v>0</v>
      </c>
      <c r="J485" s="27">
        <v>0</v>
      </c>
      <c r="K485" s="32">
        <v>0.74</v>
      </c>
    </row>
    <row r="486" spans="1:11">
      <c r="A486" s="19" t="s">
        <v>556</v>
      </c>
      <c r="B486" s="19" t="s">
        <v>9</v>
      </c>
      <c r="C486" s="19" t="s">
        <v>30</v>
      </c>
      <c r="D486" s="21">
        <f ca="1">RANDBETWEEN(DATE(2019,7,1),DATE(2019,9,30))</f>
        <v>43655</v>
      </c>
      <c r="E486" s="26">
        <v>1740195</v>
      </c>
      <c r="F486" s="28">
        <v>10.43</v>
      </c>
      <c r="G486" s="19">
        <v>63</v>
      </c>
      <c r="H486" s="27">
        <v>899044</v>
      </c>
      <c r="I486" s="19">
        <v>0</v>
      </c>
      <c r="J486" s="27">
        <v>0</v>
      </c>
      <c r="K486" s="31">
        <v>0.71</v>
      </c>
    </row>
    <row r="487" spans="1:11">
      <c r="A487" s="19" t="s">
        <v>557</v>
      </c>
      <c r="B487" s="19" t="s">
        <v>10</v>
      </c>
      <c r="C487" s="19" t="s">
        <v>40</v>
      </c>
      <c r="D487" s="21">
        <f ca="1">RANDBETWEEN(DATE(2022,1,1),DATE(2022,3,31))</f>
        <v>44602</v>
      </c>
      <c r="E487" s="26">
        <v>256741</v>
      </c>
      <c r="F487" s="19">
        <v>10.99</v>
      </c>
      <c r="G487" s="19">
        <v>46</v>
      </c>
      <c r="H487" s="27">
        <v>55503</v>
      </c>
      <c r="I487" s="19">
        <v>0</v>
      </c>
      <c r="J487" s="27">
        <v>0</v>
      </c>
      <c r="K487" s="31">
        <v>0.71</v>
      </c>
    </row>
    <row r="488" spans="1:11">
      <c r="A488" s="19" t="s">
        <v>558</v>
      </c>
      <c r="B488" s="19" t="s">
        <v>9</v>
      </c>
      <c r="C488" s="19" t="s">
        <v>32</v>
      </c>
      <c r="D488" s="21">
        <f ca="1">RANDBETWEEN(DATE(2020,1,1),DATE(2020,3,31))</f>
        <v>43838</v>
      </c>
      <c r="E488" s="26">
        <v>1354215</v>
      </c>
      <c r="F488" s="28">
        <v>10.84</v>
      </c>
      <c r="G488" s="19">
        <v>74</v>
      </c>
      <c r="H488" s="27">
        <v>1324418</v>
      </c>
      <c r="I488" s="19">
        <v>0</v>
      </c>
      <c r="J488" s="27">
        <v>0</v>
      </c>
      <c r="K488" s="31">
        <v>0.68</v>
      </c>
    </row>
    <row r="489" spans="1:11">
      <c r="A489" s="19" t="s">
        <v>559</v>
      </c>
      <c r="B489" s="19" t="s">
        <v>9</v>
      </c>
      <c r="C489" s="19" t="s">
        <v>37</v>
      </c>
      <c r="D489" s="21">
        <f ca="1">RANDBETWEEN(DATE(2021,4,1),DATE(2021,6,30))</f>
        <v>44289</v>
      </c>
      <c r="E489" s="26">
        <v>1908540</v>
      </c>
      <c r="F489" s="28">
        <v>12.32</v>
      </c>
      <c r="G489" s="19">
        <v>53</v>
      </c>
      <c r="H489" s="27">
        <v>1494462</v>
      </c>
      <c r="I489" s="19">
        <v>0</v>
      </c>
      <c r="J489" s="27">
        <v>0</v>
      </c>
      <c r="K489" s="31">
        <v>0.72</v>
      </c>
    </row>
    <row r="490" spans="1:11">
      <c r="A490" s="19" t="s">
        <v>560</v>
      </c>
      <c r="B490" s="19" t="s">
        <v>6</v>
      </c>
      <c r="C490" s="19" t="s">
        <v>44</v>
      </c>
      <c r="D490" s="21">
        <f ca="1">RANDBETWEEN(DATE(2023,1,1),DATE(2023,3,31))</f>
        <v>44961</v>
      </c>
      <c r="E490" s="26">
        <v>838259</v>
      </c>
      <c r="F490" s="19">
        <v>7.94</v>
      </c>
      <c r="G490" s="19">
        <v>64</v>
      </c>
      <c r="H490" s="27">
        <v>676973</v>
      </c>
      <c r="I490" s="19">
        <v>0</v>
      </c>
      <c r="J490" s="27">
        <v>0</v>
      </c>
      <c r="K490" s="31">
        <v>0.73</v>
      </c>
    </row>
    <row r="491" spans="1:11">
      <c r="A491" s="19" t="s">
        <v>561</v>
      </c>
      <c r="B491" s="19" t="s">
        <v>6</v>
      </c>
      <c r="C491" s="19" t="s">
        <v>38</v>
      </c>
      <c r="D491" s="21">
        <f ca="1">RANDBETWEEN(DATE(2021,7,1),DATE(2021,9,30))</f>
        <v>44440</v>
      </c>
      <c r="E491" s="26">
        <v>2211197</v>
      </c>
      <c r="F491" s="19">
        <v>8.29</v>
      </c>
      <c r="G491" s="19">
        <v>20</v>
      </c>
      <c r="H491" s="27">
        <v>1697437</v>
      </c>
      <c r="I491" s="19">
        <v>0</v>
      </c>
      <c r="J491" s="27">
        <v>0</v>
      </c>
      <c r="K491" s="33">
        <v>0.68</v>
      </c>
    </row>
    <row r="492" spans="1:11">
      <c r="A492" s="19" t="s">
        <v>562</v>
      </c>
      <c r="B492" s="19" t="s">
        <v>7</v>
      </c>
      <c r="C492" s="19" t="s">
        <v>35</v>
      </c>
      <c r="D492" s="21">
        <f ca="1">RANDBETWEEN(DATE(2020,10,1),DATE(2020,12,31))</f>
        <v>44126</v>
      </c>
      <c r="E492" s="26">
        <v>2435184</v>
      </c>
      <c r="F492" s="19">
        <v>8.06</v>
      </c>
      <c r="G492" s="19">
        <v>36</v>
      </c>
      <c r="H492" s="27">
        <v>2117590</v>
      </c>
      <c r="I492" s="19">
        <v>0</v>
      </c>
      <c r="J492" s="27">
        <v>0</v>
      </c>
      <c r="K492" s="31">
        <v>0.68</v>
      </c>
    </row>
    <row r="493" spans="1:11">
      <c r="A493" s="19" t="s">
        <v>563</v>
      </c>
      <c r="B493" s="19" t="s">
        <v>8</v>
      </c>
      <c r="C493" s="19" t="s">
        <v>37</v>
      </c>
      <c r="D493" s="21">
        <f ca="1">RANDBETWEEN(DATE(2021,4,1),DATE(2021,6,30))</f>
        <v>44366</v>
      </c>
      <c r="E493" s="26">
        <v>262060</v>
      </c>
      <c r="F493" s="19">
        <v>9.4</v>
      </c>
      <c r="G493" s="19">
        <v>37</v>
      </c>
      <c r="H493" s="27">
        <v>129636</v>
      </c>
      <c r="I493" s="19">
        <v>0</v>
      </c>
      <c r="J493" s="27">
        <v>0</v>
      </c>
      <c r="K493" s="31">
        <v>0.72</v>
      </c>
    </row>
    <row r="494" spans="1:11">
      <c r="A494" s="19" t="s">
        <v>564</v>
      </c>
      <c r="B494" s="19" t="s">
        <v>8</v>
      </c>
      <c r="C494" s="19" t="s">
        <v>40</v>
      </c>
      <c r="D494" s="21">
        <f ca="1">RANDBETWEEN(DATE(2022,1,1),DATE(2022,3,31))</f>
        <v>44573</v>
      </c>
      <c r="E494" s="26">
        <v>569560</v>
      </c>
      <c r="F494" s="19">
        <v>9.12</v>
      </c>
      <c r="G494" s="19">
        <v>42</v>
      </c>
      <c r="H494" s="27">
        <v>336626</v>
      </c>
      <c r="I494" s="19">
        <v>0</v>
      </c>
      <c r="J494" s="27">
        <v>0</v>
      </c>
      <c r="K494" s="31">
        <v>0.71</v>
      </c>
    </row>
    <row r="495" spans="1:11">
      <c r="A495" s="19" t="s">
        <v>565</v>
      </c>
      <c r="B495" s="19" t="s">
        <v>8</v>
      </c>
      <c r="C495" s="19" t="s">
        <v>37</v>
      </c>
      <c r="D495" s="21">
        <f ca="1">RANDBETWEEN(DATE(2021,4,1),DATE(2021,6,30))</f>
        <v>44371</v>
      </c>
      <c r="E495" s="26">
        <v>2362461</v>
      </c>
      <c r="F495" s="19">
        <v>8.72</v>
      </c>
      <c r="G495" s="19">
        <v>32</v>
      </c>
      <c r="H495" s="27">
        <v>1888005</v>
      </c>
      <c r="I495" s="19">
        <v>0</v>
      </c>
      <c r="J495" s="27">
        <v>0</v>
      </c>
      <c r="K495" s="31">
        <v>0.72</v>
      </c>
    </row>
    <row r="496" spans="1:11">
      <c r="A496" s="19" t="s">
        <v>566</v>
      </c>
      <c r="B496" s="19" t="s">
        <v>9</v>
      </c>
      <c r="C496" s="19" t="s">
        <v>47</v>
      </c>
      <c r="D496" s="21">
        <f ca="1">RANDBETWEEN(DATE(2023,10,1),DATE(2023,12,31))</f>
        <v>45211</v>
      </c>
      <c r="E496" s="26">
        <v>165135</v>
      </c>
      <c r="F496" s="28">
        <v>11.16</v>
      </c>
      <c r="G496" s="19">
        <v>32</v>
      </c>
      <c r="H496" s="27">
        <v>136048</v>
      </c>
      <c r="I496" s="19">
        <v>0</v>
      </c>
      <c r="J496" s="27">
        <v>0</v>
      </c>
      <c r="K496" s="32">
        <v>0.74</v>
      </c>
    </row>
    <row r="497" spans="1:11">
      <c r="A497" s="19" t="s">
        <v>567</v>
      </c>
      <c r="B497" s="19" t="s">
        <v>10</v>
      </c>
      <c r="C497" s="19" t="s">
        <v>42</v>
      </c>
      <c r="D497" s="21">
        <f ca="1">RANDBETWEEN(DATE(2022,7,1),DATE(2022,9,30))</f>
        <v>44808</v>
      </c>
      <c r="E497" s="26">
        <v>994188</v>
      </c>
      <c r="F497" s="19">
        <v>10.86</v>
      </c>
      <c r="G497" s="19">
        <v>46</v>
      </c>
      <c r="H497" s="27">
        <v>607076</v>
      </c>
      <c r="I497" s="19">
        <v>0</v>
      </c>
      <c r="J497" s="27">
        <v>0</v>
      </c>
      <c r="K497" s="31">
        <v>0.73</v>
      </c>
    </row>
    <row r="498" spans="1:11">
      <c r="A498" s="19" t="s">
        <v>568</v>
      </c>
      <c r="B498" s="19" t="s">
        <v>6</v>
      </c>
      <c r="C498" s="19" t="s">
        <v>48</v>
      </c>
      <c r="D498" s="21">
        <f ca="1">RANDBETWEEN(DATE(2024,1,1),DATE(2024,3,31))</f>
        <v>45367</v>
      </c>
      <c r="E498" s="26">
        <v>2038507</v>
      </c>
      <c r="F498" s="19">
        <v>8.41</v>
      </c>
      <c r="G498" s="19">
        <v>34</v>
      </c>
      <c r="H498" s="27">
        <v>1713756</v>
      </c>
      <c r="I498" s="19">
        <v>0</v>
      </c>
      <c r="J498" s="27">
        <v>0</v>
      </c>
      <c r="K498" s="31">
        <v>0.75</v>
      </c>
    </row>
    <row r="499" spans="1:11">
      <c r="A499" s="19" t="s">
        <v>569</v>
      </c>
      <c r="B499" s="19" t="s">
        <v>7</v>
      </c>
      <c r="C499" s="19" t="s">
        <v>42</v>
      </c>
      <c r="D499" s="21">
        <f ca="1">RANDBETWEEN(DATE(2022,7,1),DATE(2022,9,30))</f>
        <v>44784</v>
      </c>
      <c r="E499" s="26">
        <v>1331190</v>
      </c>
      <c r="F499" s="19">
        <v>9.43</v>
      </c>
      <c r="G499" s="19">
        <v>47</v>
      </c>
      <c r="H499" s="27">
        <v>1219884</v>
      </c>
      <c r="I499" s="19">
        <v>0</v>
      </c>
      <c r="J499" s="27">
        <v>0</v>
      </c>
      <c r="K499" s="31">
        <v>0.73</v>
      </c>
    </row>
    <row r="500" spans="1:11">
      <c r="A500" s="19" t="s">
        <v>570</v>
      </c>
      <c r="B500" s="19" t="s">
        <v>8</v>
      </c>
      <c r="C500" s="19" t="s">
        <v>45</v>
      </c>
      <c r="D500" s="21">
        <f ca="1">RANDBETWEEN(DATE(2023,4,1),DATE(2023,6,30))</f>
        <v>45064</v>
      </c>
      <c r="E500" s="26">
        <v>1106959</v>
      </c>
      <c r="F500" s="19">
        <v>8.56</v>
      </c>
      <c r="G500" s="19">
        <v>50</v>
      </c>
      <c r="H500" s="27">
        <v>951374</v>
      </c>
      <c r="I500" s="19">
        <v>0</v>
      </c>
      <c r="J500" s="27">
        <v>0</v>
      </c>
      <c r="K500" s="31">
        <v>0.73</v>
      </c>
    </row>
    <row r="501" spans="1:11">
      <c r="A501" s="19" t="s">
        <v>571</v>
      </c>
      <c r="B501" s="19" t="s">
        <v>6</v>
      </c>
      <c r="C501" s="19" t="s">
        <v>46</v>
      </c>
      <c r="D501" s="21">
        <f ca="1">RANDBETWEEN(DATE(2023,7,1),DATE(2023,9,30))</f>
        <v>45166</v>
      </c>
      <c r="E501" s="26">
        <v>80817</v>
      </c>
      <c r="F501" s="19">
        <v>8.01</v>
      </c>
      <c r="G501" s="19">
        <v>59</v>
      </c>
      <c r="H501" s="27">
        <v>58016</v>
      </c>
      <c r="I501" s="19">
        <v>0</v>
      </c>
      <c r="J501" s="27">
        <v>0</v>
      </c>
      <c r="K501" s="31">
        <v>0.76</v>
      </c>
    </row>
    <row r="502" spans="1:11">
      <c r="A502" s="34" t="s">
        <v>572</v>
      </c>
      <c r="B502" s="34" t="s">
        <v>6</v>
      </c>
      <c r="C502" s="34" t="s">
        <v>39</v>
      </c>
      <c r="D502" s="21">
        <f ca="1">RANDBETWEEN(DATE(2021,10,1),DATE(2021,12,31))</f>
        <v>44528</v>
      </c>
      <c r="E502" s="35">
        <v>506821</v>
      </c>
      <c r="F502" s="34">
        <v>7.89</v>
      </c>
      <c r="G502" s="34">
        <v>7</v>
      </c>
      <c r="H502" s="36">
        <v>108181</v>
      </c>
      <c r="I502" s="34">
        <v>0</v>
      </c>
      <c r="J502" s="36">
        <v>0</v>
      </c>
      <c r="K502" s="31">
        <v>0.71</v>
      </c>
    </row>
    <row r="503" spans="1:11">
      <c r="A503" s="34" t="s">
        <v>573</v>
      </c>
      <c r="B503" s="34" t="s">
        <v>10</v>
      </c>
      <c r="C503" s="34" t="s">
        <v>32</v>
      </c>
      <c r="D503" s="21">
        <f ca="1">RANDBETWEEN(DATE(2020,1,1),DATE(2020,3,31))</f>
        <v>43849</v>
      </c>
      <c r="E503" s="35">
        <v>2439505</v>
      </c>
      <c r="F503" s="34">
        <v>8.91</v>
      </c>
      <c r="G503" s="34">
        <v>7</v>
      </c>
      <c r="H503" s="36">
        <v>580422</v>
      </c>
      <c r="I503" s="34">
        <v>0</v>
      </c>
      <c r="J503" s="36">
        <v>0</v>
      </c>
      <c r="K503" s="31">
        <v>0.68</v>
      </c>
    </row>
    <row r="504" spans="1:11">
      <c r="A504" s="34" t="s">
        <v>574</v>
      </c>
      <c r="B504" s="34" t="s">
        <v>8</v>
      </c>
      <c r="C504" s="34" t="s">
        <v>42</v>
      </c>
      <c r="D504" s="21">
        <f ca="1">RANDBETWEEN(DATE(2022,7,1),DATE(2022,9,30))</f>
        <v>44801</v>
      </c>
      <c r="E504" s="35">
        <v>7410324</v>
      </c>
      <c r="F504" s="34">
        <v>7.73</v>
      </c>
      <c r="G504" s="34">
        <v>256</v>
      </c>
      <c r="H504" s="36">
        <v>6979216</v>
      </c>
      <c r="I504" s="34">
        <v>0</v>
      </c>
      <c r="J504" s="36">
        <v>0</v>
      </c>
      <c r="K504" s="31">
        <v>0.73</v>
      </c>
    </row>
    <row r="505" spans="1:11">
      <c r="A505" s="34" t="s">
        <v>575</v>
      </c>
      <c r="B505" s="34" t="s">
        <v>9</v>
      </c>
      <c r="C505" s="34" t="s">
        <v>43</v>
      </c>
      <c r="D505" s="21">
        <f ca="1">RANDBETWEEN(DATE(2022,10,1),DATE(2022,12,31))</f>
        <v>44835</v>
      </c>
      <c r="E505" s="35">
        <v>668680</v>
      </c>
      <c r="F505" s="37">
        <v>11.63</v>
      </c>
      <c r="G505" s="34">
        <v>13</v>
      </c>
      <c r="H505" s="36">
        <v>268287</v>
      </c>
      <c r="I505" s="34">
        <v>0</v>
      </c>
      <c r="J505" s="36">
        <v>0</v>
      </c>
      <c r="K505" s="31">
        <v>0.71</v>
      </c>
    </row>
    <row r="506" spans="1:11">
      <c r="A506" s="34" t="s">
        <v>576</v>
      </c>
      <c r="B506" s="34" t="s">
        <v>8</v>
      </c>
      <c r="C506" s="34" t="s">
        <v>45</v>
      </c>
      <c r="D506" s="21">
        <f ca="1">RANDBETWEEN(DATE(2023,4,1),DATE(2023,6,30))</f>
        <v>45095</v>
      </c>
      <c r="E506" s="35">
        <v>5548929</v>
      </c>
      <c r="F506" s="34">
        <v>7.87</v>
      </c>
      <c r="G506" s="34">
        <v>164</v>
      </c>
      <c r="H506" s="36">
        <v>1671684</v>
      </c>
      <c r="I506" s="34">
        <v>0</v>
      </c>
      <c r="J506" s="36">
        <v>0</v>
      </c>
      <c r="K506" s="31">
        <v>0.73</v>
      </c>
    </row>
    <row r="507" spans="1:11">
      <c r="A507" s="34" t="s">
        <v>577</v>
      </c>
      <c r="B507" s="34" t="s">
        <v>6</v>
      </c>
      <c r="C507" s="34" t="s">
        <v>30</v>
      </c>
      <c r="D507" s="21">
        <f ca="1">RANDBETWEEN(DATE(2019,7,1),DATE(2019,9,30))</f>
        <v>43655</v>
      </c>
      <c r="E507" s="35">
        <v>55502</v>
      </c>
      <c r="F507" s="34">
        <v>8.15</v>
      </c>
      <c r="G507" s="34">
        <v>35</v>
      </c>
      <c r="H507" s="36">
        <v>27993</v>
      </c>
      <c r="I507" s="34">
        <v>0</v>
      </c>
      <c r="J507" s="36">
        <v>0</v>
      </c>
      <c r="K507" s="31">
        <v>0.71</v>
      </c>
    </row>
    <row r="508" spans="1:11">
      <c r="A508" s="34" t="s">
        <v>578</v>
      </c>
      <c r="B508" s="34" t="s">
        <v>9</v>
      </c>
      <c r="C508" s="34" t="s">
        <v>34</v>
      </c>
      <c r="D508" s="21">
        <f ca="1">RANDBETWEEN(DATE(2020,7,1),DATE(2020,9,30))</f>
        <v>44039</v>
      </c>
      <c r="E508" s="35">
        <v>1202020</v>
      </c>
      <c r="F508" s="37">
        <v>11.3</v>
      </c>
      <c r="G508" s="34">
        <v>24</v>
      </c>
      <c r="H508" s="36">
        <v>452351</v>
      </c>
      <c r="I508" s="34">
        <v>0</v>
      </c>
      <c r="J508" s="36">
        <v>0</v>
      </c>
      <c r="K508" s="31">
        <v>0.68</v>
      </c>
    </row>
    <row r="509" spans="1:11">
      <c r="A509" s="34" t="s">
        <v>579</v>
      </c>
      <c r="B509" s="34" t="s">
        <v>10</v>
      </c>
      <c r="C509" s="34" t="s">
        <v>33</v>
      </c>
      <c r="D509" s="21">
        <f ca="1">RANDBETWEEN(DATE(2020,4,1),DATE(2020,6,30))</f>
        <v>44001</v>
      </c>
      <c r="E509" s="35">
        <v>3388085</v>
      </c>
      <c r="F509" s="34">
        <v>10.13</v>
      </c>
      <c r="G509" s="34">
        <v>20</v>
      </c>
      <c r="H509" s="36">
        <v>3292219</v>
      </c>
      <c r="I509" s="34">
        <v>0</v>
      </c>
      <c r="J509" s="36">
        <v>0</v>
      </c>
      <c r="K509" s="31">
        <v>0.72</v>
      </c>
    </row>
    <row r="510" spans="1:11">
      <c r="A510" s="34" t="s">
        <v>580</v>
      </c>
      <c r="B510" s="34" t="s">
        <v>9</v>
      </c>
      <c r="C510" s="34" t="s">
        <v>36</v>
      </c>
      <c r="D510" s="21">
        <f ca="1">RANDBETWEEN(DATE(2021,1,1),DATE(2021,3,31))</f>
        <v>44251</v>
      </c>
      <c r="E510" s="35">
        <v>1417520</v>
      </c>
      <c r="F510" s="37">
        <v>10.75</v>
      </c>
      <c r="G510" s="34">
        <v>49</v>
      </c>
      <c r="H510" s="36">
        <v>175867</v>
      </c>
      <c r="I510" s="34">
        <v>0</v>
      </c>
      <c r="J510" s="36">
        <v>0</v>
      </c>
      <c r="K510" s="30">
        <v>0.744</v>
      </c>
    </row>
    <row r="511" spans="1:11">
      <c r="A511" s="34" t="s">
        <v>581</v>
      </c>
      <c r="B511" s="34" t="s">
        <v>10</v>
      </c>
      <c r="C511" s="34" t="s">
        <v>37</v>
      </c>
      <c r="D511" s="21">
        <f ca="1">RANDBETWEEN(DATE(2021,4,1),DATE(2021,6,30))</f>
        <v>44341</v>
      </c>
      <c r="E511" s="35">
        <v>1037781</v>
      </c>
      <c r="F511" s="34">
        <v>10.9</v>
      </c>
      <c r="G511" s="34">
        <v>78</v>
      </c>
      <c r="H511" s="36">
        <v>852846</v>
      </c>
      <c r="I511" s="34">
        <v>1</v>
      </c>
      <c r="J511" s="36">
        <v>282189</v>
      </c>
      <c r="K511" s="31">
        <v>0.72</v>
      </c>
    </row>
    <row r="512" spans="1:11">
      <c r="A512" s="34" t="s">
        <v>582</v>
      </c>
      <c r="B512" s="34" t="s">
        <v>6</v>
      </c>
      <c r="C512" s="34" t="s">
        <v>30</v>
      </c>
      <c r="D512" s="21">
        <f ca="1">RANDBETWEEN(DATE(2019,7,1),DATE(2019,9,30))</f>
        <v>43655</v>
      </c>
      <c r="E512" s="35">
        <v>113541</v>
      </c>
      <c r="F512" s="34">
        <v>7.53</v>
      </c>
      <c r="G512" s="34">
        <v>11</v>
      </c>
      <c r="H512" s="36">
        <v>9266</v>
      </c>
      <c r="I512" s="34">
        <v>1</v>
      </c>
      <c r="J512" s="36">
        <v>1125</v>
      </c>
      <c r="K512" s="31">
        <v>0.71</v>
      </c>
    </row>
    <row r="513" spans="1:11">
      <c r="A513" s="34" t="s">
        <v>583</v>
      </c>
      <c r="B513" s="34" t="s">
        <v>9</v>
      </c>
      <c r="C513" s="34" t="s">
        <v>39</v>
      </c>
      <c r="D513" s="21">
        <f ca="1">RANDBETWEEN(DATE(2021,10,1),DATE(2021,12,31))</f>
        <v>44545</v>
      </c>
      <c r="E513" s="35">
        <v>1105047</v>
      </c>
      <c r="F513" s="37">
        <v>10.03</v>
      </c>
      <c r="G513" s="34">
        <v>33</v>
      </c>
      <c r="H513" s="36">
        <v>642656</v>
      </c>
      <c r="I513" s="34">
        <v>1</v>
      </c>
      <c r="J513" s="36">
        <v>303606</v>
      </c>
      <c r="K513" s="31">
        <v>0.71</v>
      </c>
    </row>
    <row r="514" spans="1:11">
      <c r="A514" s="34" t="s">
        <v>584</v>
      </c>
      <c r="B514" s="34" t="s">
        <v>6</v>
      </c>
      <c r="C514" s="34" t="s">
        <v>42</v>
      </c>
      <c r="D514" s="21">
        <f ca="1">RANDBETWEEN(DATE(2022,7,1),DATE(2022,9,30))</f>
        <v>44794</v>
      </c>
      <c r="E514" s="35">
        <v>666794</v>
      </c>
      <c r="F514" s="34">
        <v>7.52</v>
      </c>
      <c r="G514" s="34">
        <v>19</v>
      </c>
      <c r="H514" s="36">
        <v>295249</v>
      </c>
      <c r="I514" s="34">
        <v>0</v>
      </c>
      <c r="J514" s="36">
        <v>0</v>
      </c>
      <c r="K514" s="31">
        <v>0.73</v>
      </c>
    </row>
    <row r="515" spans="1:11">
      <c r="A515" s="34" t="s">
        <v>585</v>
      </c>
      <c r="B515" s="34" t="s">
        <v>10</v>
      </c>
      <c r="C515" s="34" t="s">
        <v>35</v>
      </c>
      <c r="D515" s="21">
        <f ca="1">RANDBETWEEN(DATE(2020,10,1),DATE(2020,12,31))</f>
        <v>44178</v>
      </c>
      <c r="E515" s="35">
        <v>3284134</v>
      </c>
      <c r="F515" s="34">
        <v>11.25</v>
      </c>
      <c r="G515" s="34">
        <v>66</v>
      </c>
      <c r="H515" s="36">
        <v>2694976</v>
      </c>
      <c r="I515" s="34">
        <v>1</v>
      </c>
      <c r="J515" s="36">
        <v>1675593</v>
      </c>
      <c r="K515" s="31">
        <v>0.68</v>
      </c>
    </row>
    <row r="516" spans="1:11">
      <c r="A516" s="34" t="s">
        <v>586</v>
      </c>
      <c r="B516" s="34" t="s">
        <v>10</v>
      </c>
      <c r="C516" s="34" t="s">
        <v>36</v>
      </c>
      <c r="D516" s="21">
        <f ca="1">RANDBETWEEN(DATE(2021,1,1),DATE(2021,3,31))</f>
        <v>44200</v>
      </c>
      <c r="E516" s="35">
        <v>4161479</v>
      </c>
      <c r="F516" s="34">
        <v>8.52</v>
      </c>
      <c r="G516" s="34">
        <v>10</v>
      </c>
      <c r="H516" s="36">
        <v>3826230</v>
      </c>
      <c r="I516" s="34">
        <v>0</v>
      </c>
      <c r="J516" s="36">
        <v>0</v>
      </c>
      <c r="K516" s="30">
        <v>0.744</v>
      </c>
    </row>
    <row r="517" spans="1:11">
      <c r="A517" s="34" t="s">
        <v>587</v>
      </c>
      <c r="B517" s="34" t="s">
        <v>10</v>
      </c>
      <c r="C517" s="34" t="s">
        <v>34</v>
      </c>
      <c r="D517" s="21">
        <f ca="1">RANDBETWEEN(DATE(2020,7,1),DATE(2020,9,30))</f>
        <v>44067</v>
      </c>
      <c r="E517" s="35">
        <v>4963872</v>
      </c>
      <c r="F517" s="34">
        <v>10.02</v>
      </c>
      <c r="G517" s="34">
        <v>65</v>
      </c>
      <c r="H517" s="36">
        <v>4357425</v>
      </c>
      <c r="I517" s="34">
        <v>0</v>
      </c>
      <c r="J517" s="36">
        <v>0</v>
      </c>
      <c r="K517" s="31">
        <v>0.68</v>
      </c>
    </row>
    <row r="518" spans="1:11">
      <c r="A518" s="34" t="s">
        <v>588</v>
      </c>
      <c r="B518" s="34" t="s">
        <v>10</v>
      </c>
      <c r="C518" s="34" t="s">
        <v>41</v>
      </c>
      <c r="D518" s="21">
        <f ca="1">RANDBETWEEN(DATE(2022,4,1),DATE(2022,6,30))</f>
        <v>44705</v>
      </c>
      <c r="E518" s="35">
        <v>2998971</v>
      </c>
      <c r="F518" s="34">
        <v>10.55</v>
      </c>
      <c r="G518" s="34">
        <v>62</v>
      </c>
      <c r="H518" s="36">
        <v>2538219</v>
      </c>
      <c r="I518" s="34">
        <v>0</v>
      </c>
      <c r="J518" s="36">
        <v>0</v>
      </c>
      <c r="K518" s="30">
        <v>0.727</v>
      </c>
    </row>
    <row r="519" spans="1:11">
      <c r="A519" s="34" t="s">
        <v>589</v>
      </c>
      <c r="B519" s="34" t="s">
        <v>10</v>
      </c>
      <c r="C519" s="34" t="s">
        <v>41</v>
      </c>
      <c r="D519" s="21">
        <f ca="1">RANDBETWEEN(DATE(2022,4,1),DATE(2022,6,30))</f>
        <v>44725</v>
      </c>
      <c r="E519" s="35">
        <v>2332125</v>
      </c>
      <c r="F519" s="34">
        <v>9.68</v>
      </c>
      <c r="G519" s="34">
        <v>42</v>
      </c>
      <c r="H519" s="36">
        <v>762832</v>
      </c>
      <c r="I519" s="34">
        <v>1</v>
      </c>
      <c r="J519" s="36">
        <v>95967</v>
      </c>
      <c r="K519" s="30">
        <v>0.727</v>
      </c>
    </row>
    <row r="520" spans="1:11">
      <c r="A520" s="34" t="s">
        <v>590</v>
      </c>
      <c r="B520" s="34" t="s">
        <v>6</v>
      </c>
      <c r="C520" s="34" t="s">
        <v>29</v>
      </c>
      <c r="D520" s="21">
        <f ca="1">RANDBETWEEN(DATE(2019,4,1),DATE(2019,6,30))</f>
        <v>43588</v>
      </c>
      <c r="E520" s="35">
        <v>277111</v>
      </c>
      <c r="F520" s="34">
        <v>8.49</v>
      </c>
      <c r="G520" s="34">
        <v>44</v>
      </c>
      <c r="H520" s="36">
        <v>14550</v>
      </c>
      <c r="I520" s="34">
        <v>1</v>
      </c>
      <c r="J520" s="36">
        <v>7386</v>
      </c>
      <c r="K520" s="31">
        <v>0.71</v>
      </c>
    </row>
    <row r="521" spans="1:11">
      <c r="A521" s="34" t="s">
        <v>591</v>
      </c>
      <c r="B521" s="34" t="s">
        <v>8</v>
      </c>
      <c r="C521" s="34" t="s">
        <v>41</v>
      </c>
      <c r="D521" s="21">
        <f ca="1">RANDBETWEEN(DATE(2022,4,1),DATE(2022,6,30))</f>
        <v>44742</v>
      </c>
      <c r="E521" s="35">
        <v>7795412</v>
      </c>
      <c r="F521" s="34">
        <v>8.45</v>
      </c>
      <c r="G521" s="34">
        <v>84</v>
      </c>
      <c r="H521" s="36">
        <v>1833461</v>
      </c>
      <c r="I521" s="34">
        <v>1</v>
      </c>
      <c r="J521" s="36">
        <v>1264931</v>
      </c>
      <c r="K521" s="30">
        <v>0.727</v>
      </c>
    </row>
    <row r="522" spans="1:11">
      <c r="A522" s="34" t="s">
        <v>592</v>
      </c>
      <c r="B522" s="34" t="s">
        <v>9</v>
      </c>
      <c r="C522" s="34" t="s">
        <v>36</v>
      </c>
      <c r="D522" s="21">
        <f ca="1">RANDBETWEEN(DATE(2021,1,1),DATE(2021,3,31))</f>
        <v>44239</v>
      </c>
      <c r="E522" s="35">
        <v>1037630</v>
      </c>
      <c r="F522" s="37">
        <v>11.81</v>
      </c>
      <c r="G522" s="34">
        <v>21</v>
      </c>
      <c r="H522" s="36">
        <v>614847</v>
      </c>
      <c r="I522" s="34">
        <v>1</v>
      </c>
      <c r="J522" s="36">
        <v>136385</v>
      </c>
      <c r="K522" s="30">
        <v>0.744</v>
      </c>
    </row>
    <row r="523" spans="1:11">
      <c r="A523" s="34" t="s">
        <v>593</v>
      </c>
      <c r="B523" s="34" t="s">
        <v>10</v>
      </c>
      <c r="C523" s="34" t="s">
        <v>43</v>
      </c>
      <c r="D523" s="21">
        <f ca="1">RANDBETWEEN(DATE(2022,10,1),DATE(2022,12,31))</f>
        <v>44897</v>
      </c>
      <c r="E523" s="35">
        <v>407547</v>
      </c>
      <c r="F523" s="34">
        <v>10.4</v>
      </c>
      <c r="G523" s="34">
        <v>20</v>
      </c>
      <c r="H523" s="36">
        <v>261206</v>
      </c>
      <c r="I523" s="34">
        <v>1</v>
      </c>
      <c r="J523" s="36">
        <v>60437</v>
      </c>
      <c r="K523" s="31">
        <v>0.71</v>
      </c>
    </row>
    <row r="524" spans="1:11">
      <c r="A524" s="34" t="s">
        <v>594</v>
      </c>
      <c r="B524" s="34" t="s">
        <v>9</v>
      </c>
      <c r="C524" s="34" t="s">
        <v>40</v>
      </c>
      <c r="D524" s="21">
        <f ca="1">RANDBETWEEN(DATE(2022,1,1),DATE(2022,3,31))</f>
        <v>44575</v>
      </c>
      <c r="E524" s="35">
        <v>1892592</v>
      </c>
      <c r="F524" s="37">
        <v>11.24</v>
      </c>
      <c r="G524" s="34">
        <v>26</v>
      </c>
      <c r="H524" s="36">
        <v>146153</v>
      </c>
      <c r="I524" s="34">
        <v>1</v>
      </c>
      <c r="J524" s="36">
        <v>37928</v>
      </c>
      <c r="K524" s="31">
        <v>0.71</v>
      </c>
    </row>
    <row r="525" spans="1:11">
      <c r="A525" s="34" t="s">
        <v>595</v>
      </c>
      <c r="B525" s="34" t="s">
        <v>6</v>
      </c>
      <c r="C525" s="34" t="s">
        <v>37</v>
      </c>
      <c r="D525" s="21">
        <f ca="1">RANDBETWEEN(DATE(2021,4,1),DATE(2021,6,30))</f>
        <v>44300</v>
      </c>
      <c r="E525" s="35">
        <v>622545</v>
      </c>
      <c r="F525" s="34">
        <v>7.76</v>
      </c>
      <c r="G525" s="34">
        <v>35</v>
      </c>
      <c r="H525" s="36">
        <v>600613</v>
      </c>
      <c r="I525" s="34">
        <v>0</v>
      </c>
      <c r="J525" s="36">
        <v>0</v>
      </c>
      <c r="K525" s="31">
        <v>0.72</v>
      </c>
    </row>
    <row r="526" spans="1:11">
      <c r="A526" s="34" t="s">
        <v>596</v>
      </c>
      <c r="B526" s="34" t="s">
        <v>8</v>
      </c>
      <c r="C526" s="34" t="s">
        <v>30</v>
      </c>
      <c r="D526" s="21">
        <f ca="1">RANDBETWEEN(DATE(2019,7,1),DATE(2019,9,30))</f>
        <v>43706</v>
      </c>
      <c r="E526" s="35">
        <v>797814</v>
      </c>
      <c r="F526" s="34">
        <v>7.56</v>
      </c>
      <c r="G526" s="34">
        <v>274</v>
      </c>
      <c r="H526" s="36">
        <v>488393</v>
      </c>
      <c r="I526" s="34">
        <v>0</v>
      </c>
      <c r="J526" s="36">
        <v>0</v>
      </c>
      <c r="K526" s="31">
        <v>0.71</v>
      </c>
    </row>
    <row r="527" spans="1:11">
      <c r="A527" s="34" t="s">
        <v>597</v>
      </c>
      <c r="B527" s="34" t="s">
        <v>8</v>
      </c>
      <c r="C527" s="34" t="s">
        <v>39</v>
      </c>
      <c r="D527" s="21">
        <f ca="1">RANDBETWEEN(DATE(2021,10,1),DATE(2021,12,31))</f>
        <v>44513</v>
      </c>
      <c r="E527" s="35">
        <v>2039737</v>
      </c>
      <c r="F527" s="34">
        <v>8.02</v>
      </c>
      <c r="G527" s="34">
        <v>150</v>
      </c>
      <c r="H527" s="36">
        <v>988299</v>
      </c>
      <c r="I527" s="34">
        <v>0</v>
      </c>
      <c r="J527" s="36">
        <v>0</v>
      </c>
      <c r="K527" s="31">
        <v>0.71</v>
      </c>
    </row>
    <row r="528" spans="1:11">
      <c r="A528" s="34" t="s">
        <v>598</v>
      </c>
      <c r="B528" s="34" t="s">
        <v>9</v>
      </c>
      <c r="C528" s="34" t="s">
        <v>47</v>
      </c>
      <c r="D528" s="21">
        <f ca="1">RANDBETWEEN(DATE(2023,10,1),DATE(2023,12,31))</f>
        <v>45221</v>
      </c>
      <c r="E528" s="35">
        <v>756162</v>
      </c>
      <c r="F528" s="37">
        <v>11.27</v>
      </c>
      <c r="G528" s="34">
        <v>27</v>
      </c>
      <c r="H528" s="36">
        <v>636006</v>
      </c>
      <c r="I528" s="34">
        <v>0</v>
      </c>
      <c r="J528" s="36">
        <v>0</v>
      </c>
      <c r="K528" s="32">
        <v>0.74</v>
      </c>
    </row>
    <row r="529" spans="1:11">
      <c r="A529" s="34" t="s">
        <v>599</v>
      </c>
      <c r="B529" s="19" t="s">
        <v>7</v>
      </c>
      <c r="C529" s="34" t="s">
        <v>31</v>
      </c>
      <c r="D529" s="21">
        <f ca="1">RANDBETWEEN(DATE(2019,10,1),DATE(2019,12,31))</f>
        <v>43786</v>
      </c>
      <c r="E529" s="35">
        <v>959984</v>
      </c>
      <c r="F529" s="34">
        <v>11.29</v>
      </c>
      <c r="G529" s="34">
        <v>12</v>
      </c>
      <c r="H529" s="36">
        <v>279110</v>
      </c>
      <c r="I529" s="34">
        <v>0</v>
      </c>
      <c r="J529" s="36">
        <v>0</v>
      </c>
      <c r="K529" s="31">
        <v>0.7</v>
      </c>
    </row>
    <row r="530" spans="1:11">
      <c r="A530" s="34" t="s">
        <v>600</v>
      </c>
      <c r="B530" s="34" t="s">
        <v>8</v>
      </c>
      <c r="C530" s="34" t="s">
        <v>30</v>
      </c>
      <c r="D530" s="21">
        <f ca="1">RANDBETWEEN(DATE(2019,7,1),DATE(2019,9,30))</f>
        <v>43717</v>
      </c>
      <c r="E530" s="35">
        <v>5244487</v>
      </c>
      <c r="F530" s="34">
        <v>8</v>
      </c>
      <c r="G530" s="34">
        <v>160</v>
      </c>
      <c r="H530" s="36">
        <v>5068162</v>
      </c>
      <c r="I530" s="34">
        <v>0</v>
      </c>
      <c r="J530" s="36">
        <v>0</v>
      </c>
      <c r="K530" s="31">
        <v>0.71</v>
      </c>
    </row>
    <row r="531" spans="1:11">
      <c r="A531" s="34" t="s">
        <v>601</v>
      </c>
      <c r="B531" s="19" t="s">
        <v>7</v>
      </c>
      <c r="C531" s="34" t="s">
        <v>36</v>
      </c>
      <c r="D531" s="21">
        <f ca="1">RANDBETWEEN(DATE(2021,1,1),DATE(2021,3,31))</f>
        <v>44214</v>
      </c>
      <c r="E531" s="35">
        <v>1311736</v>
      </c>
      <c r="F531" s="34">
        <v>12.49</v>
      </c>
      <c r="G531" s="34">
        <v>46</v>
      </c>
      <c r="H531" s="36">
        <v>268910</v>
      </c>
      <c r="I531" s="34">
        <v>1</v>
      </c>
      <c r="J531" s="36">
        <v>171212</v>
      </c>
      <c r="K531" s="30">
        <v>0.744</v>
      </c>
    </row>
    <row r="532" spans="1:11">
      <c r="A532" s="34" t="s">
        <v>602</v>
      </c>
      <c r="B532" s="34" t="s">
        <v>9</v>
      </c>
      <c r="C532" s="34" t="s">
        <v>33</v>
      </c>
      <c r="D532" s="21">
        <f ca="1">RANDBETWEEN(DATE(2020,4,1),DATE(2020,6,30))</f>
        <v>43933</v>
      </c>
      <c r="E532" s="35">
        <v>506359</v>
      </c>
      <c r="F532" s="37">
        <v>10.48</v>
      </c>
      <c r="G532" s="34">
        <v>7</v>
      </c>
      <c r="H532" s="36">
        <v>239385</v>
      </c>
      <c r="I532" s="34">
        <v>0</v>
      </c>
      <c r="J532" s="36">
        <v>0</v>
      </c>
      <c r="K532" s="31">
        <v>0.72</v>
      </c>
    </row>
    <row r="533" spans="1:11">
      <c r="A533" s="34" t="s">
        <v>603</v>
      </c>
      <c r="B533" s="34" t="s">
        <v>10</v>
      </c>
      <c r="C533" s="34" t="s">
        <v>31</v>
      </c>
      <c r="D533" s="21">
        <f ca="1">RANDBETWEEN(DATE(2019,10,1),DATE(2019,12,31))</f>
        <v>43768</v>
      </c>
      <c r="E533" s="35">
        <v>1480939</v>
      </c>
      <c r="F533" s="34">
        <v>11.14</v>
      </c>
      <c r="G533" s="34">
        <v>69</v>
      </c>
      <c r="H533" s="36">
        <v>482550</v>
      </c>
      <c r="I533" s="34">
        <v>0</v>
      </c>
      <c r="J533" s="36">
        <v>0</v>
      </c>
      <c r="K533" s="31">
        <v>0.7</v>
      </c>
    </row>
    <row r="534" spans="1:11">
      <c r="A534" s="34" t="s">
        <v>604</v>
      </c>
      <c r="B534" s="34" t="s">
        <v>10</v>
      </c>
      <c r="C534" s="34" t="s">
        <v>47</v>
      </c>
      <c r="D534" s="21">
        <f ca="1">RANDBETWEEN(DATE(2023,10,1),DATE(2023,12,31))</f>
        <v>45204</v>
      </c>
      <c r="E534" s="35">
        <v>4964882</v>
      </c>
      <c r="F534" s="34">
        <v>10.22</v>
      </c>
      <c r="G534" s="34">
        <v>49</v>
      </c>
      <c r="H534" s="36">
        <v>2234944</v>
      </c>
      <c r="I534" s="34">
        <v>0</v>
      </c>
      <c r="J534" s="36">
        <v>0</v>
      </c>
      <c r="K534" s="32">
        <v>0.74</v>
      </c>
    </row>
    <row r="535" spans="1:11">
      <c r="A535" s="34" t="s">
        <v>605</v>
      </c>
      <c r="B535" s="34" t="s">
        <v>8</v>
      </c>
      <c r="C535" s="34" t="s">
        <v>44</v>
      </c>
      <c r="D535" s="21">
        <f ca="1">RANDBETWEEN(DATE(2023,1,1),DATE(2023,3,31))</f>
        <v>44980</v>
      </c>
      <c r="E535" s="35">
        <v>2327771</v>
      </c>
      <c r="F535" s="34">
        <v>7.85</v>
      </c>
      <c r="G535" s="34">
        <v>279</v>
      </c>
      <c r="H535" s="36">
        <v>1575782</v>
      </c>
      <c r="I535" s="34">
        <v>0</v>
      </c>
      <c r="J535" s="36">
        <v>0</v>
      </c>
      <c r="K535" s="31">
        <v>0.73</v>
      </c>
    </row>
    <row r="536" spans="1:11">
      <c r="A536" s="34" t="s">
        <v>606</v>
      </c>
      <c r="B536" s="34" t="s">
        <v>6</v>
      </c>
      <c r="C536" s="34" t="s">
        <v>45</v>
      </c>
      <c r="D536" s="21">
        <f ca="1">RANDBETWEEN(DATE(2023,4,1),DATE(2023,6,30))</f>
        <v>45034</v>
      </c>
      <c r="E536" s="35">
        <v>66196</v>
      </c>
      <c r="F536" s="34">
        <v>7.79</v>
      </c>
      <c r="G536" s="34">
        <v>19</v>
      </c>
      <c r="H536" s="36">
        <v>4720</v>
      </c>
      <c r="I536" s="34">
        <v>0</v>
      </c>
      <c r="J536" s="36">
        <v>0</v>
      </c>
      <c r="K536" s="31">
        <v>0.73</v>
      </c>
    </row>
    <row r="537" spans="1:11">
      <c r="A537" s="34" t="s">
        <v>607</v>
      </c>
      <c r="B537" s="19" t="s">
        <v>7</v>
      </c>
      <c r="C537" s="34" t="s">
        <v>30</v>
      </c>
      <c r="D537" s="21">
        <f ca="1">RANDBETWEEN(DATE(2019,7,1),DATE(2019,9,30))</f>
        <v>43693</v>
      </c>
      <c r="E537" s="35">
        <v>596204</v>
      </c>
      <c r="F537" s="34">
        <v>11.78</v>
      </c>
      <c r="G537" s="34">
        <v>47</v>
      </c>
      <c r="H537" s="36">
        <v>136697</v>
      </c>
      <c r="I537" s="34">
        <v>0</v>
      </c>
      <c r="J537" s="36">
        <v>0</v>
      </c>
      <c r="K537" s="31">
        <v>0.71</v>
      </c>
    </row>
    <row r="538" spans="1:11">
      <c r="A538" s="34" t="s">
        <v>608</v>
      </c>
      <c r="B538" s="34" t="s">
        <v>10</v>
      </c>
      <c r="C538" s="34" t="s">
        <v>38</v>
      </c>
      <c r="D538" s="21">
        <f ca="1">RANDBETWEEN(DATE(2021,7,1),DATE(2021,9,30))</f>
        <v>44380</v>
      </c>
      <c r="E538" s="35">
        <v>3192037</v>
      </c>
      <c r="F538" s="34">
        <v>8.6</v>
      </c>
      <c r="G538" s="34">
        <v>7</v>
      </c>
      <c r="H538" s="36">
        <v>2474599</v>
      </c>
      <c r="I538" s="34">
        <v>0</v>
      </c>
      <c r="J538" s="36">
        <v>0</v>
      </c>
      <c r="K538" s="33">
        <v>0.68</v>
      </c>
    </row>
    <row r="539" spans="1:11">
      <c r="A539" s="34" t="s">
        <v>609</v>
      </c>
      <c r="B539" s="19" t="s">
        <v>7</v>
      </c>
      <c r="C539" s="34" t="s">
        <v>36</v>
      </c>
      <c r="D539" s="21">
        <f ca="1">RANDBETWEEN(DATE(2021,1,1),DATE(2021,3,31))</f>
        <v>44273</v>
      </c>
      <c r="E539" s="35">
        <v>580397</v>
      </c>
      <c r="F539" s="34">
        <v>11.37</v>
      </c>
      <c r="G539" s="34">
        <v>6</v>
      </c>
      <c r="H539" s="36">
        <v>240547</v>
      </c>
      <c r="I539" s="34">
        <v>0</v>
      </c>
      <c r="J539" s="36">
        <v>0</v>
      </c>
      <c r="K539" s="30">
        <v>0.744</v>
      </c>
    </row>
    <row r="540" spans="1:11">
      <c r="A540" s="34" t="s">
        <v>610</v>
      </c>
      <c r="B540" s="34" t="s">
        <v>8</v>
      </c>
      <c r="C540" s="34" t="s">
        <v>32</v>
      </c>
      <c r="D540" s="21">
        <f ca="1">RANDBETWEEN(DATE(2020,1,1),DATE(2020,3,31))</f>
        <v>43833</v>
      </c>
      <c r="E540" s="35">
        <v>3815439</v>
      </c>
      <c r="F540" s="34">
        <v>8.49</v>
      </c>
      <c r="G540" s="34">
        <v>288</v>
      </c>
      <c r="H540" s="36">
        <v>947550</v>
      </c>
      <c r="I540" s="34">
        <v>0</v>
      </c>
      <c r="J540" s="36">
        <v>0</v>
      </c>
      <c r="K540" s="31">
        <v>0.68</v>
      </c>
    </row>
    <row r="541" spans="1:11">
      <c r="A541" s="34" t="s">
        <v>611</v>
      </c>
      <c r="B541" s="34" t="s">
        <v>9</v>
      </c>
      <c r="C541" s="34" t="s">
        <v>33</v>
      </c>
      <c r="D541" s="21">
        <f ca="1">RANDBETWEEN(DATE(2020,4,1),DATE(2020,6,30))</f>
        <v>43953</v>
      </c>
      <c r="E541" s="35">
        <v>1458660</v>
      </c>
      <c r="F541" s="37">
        <v>11.65</v>
      </c>
      <c r="G541" s="34">
        <v>27</v>
      </c>
      <c r="H541" s="36">
        <v>530860</v>
      </c>
      <c r="I541" s="34">
        <v>0</v>
      </c>
      <c r="J541" s="36">
        <v>0</v>
      </c>
      <c r="K541" s="31">
        <v>0.72</v>
      </c>
    </row>
    <row r="542" spans="1:11">
      <c r="A542" s="34" t="s">
        <v>612</v>
      </c>
      <c r="B542" s="34" t="s">
        <v>6</v>
      </c>
      <c r="C542" s="34" t="s">
        <v>39</v>
      </c>
      <c r="D542" s="21">
        <f ca="1">RANDBETWEEN(DATE(2021,10,1),DATE(2021,12,31))</f>
        <v>44561</v>
      </c>
      <c r="E542" s="35">
        <v>809415</v>
      </c>
      <c r="F542" s="34">
        <v>7.36</v>
      </c>
      <c r="G542" s="34">
        <v>6</v>
      </c>
      <c r="H542" s="36">
        <v>420561</v>
      </c>
      <c r="I542" s="34">
        <v>1</v>
      </c>
      <c r="J542" s="36">
        <v>90559</v>
      </c>
      <c r="K542" s="31">
        <v>0.71</v>
      </c>
    </row>
    <row r="543" spans="1:11">
      <c r="A543" s="34" t="s">
        <v>613</v>
      </c>
      <c r="B543" s="34" t="s">
        <v>8</v>
      </c>
      <c r="C543" s="34" t="s">
        <v>46</v>
      </c>
      <c r="D543" s="21">
        <f ca="1">RANDBETWEEN(DATE(2023,7,1),DATE(2023,9,30))</f>
        <v>45162</v>
      </c>
      <c r="E543" s="35">
        <v>2320499</v>
      </c>
      <c r="F543" s="34">
        <v>7.99</v>
      </c>
      <c r="G543" s="34">
        <v>219</v>
      </c>
      <c r="H543" s="36">
        <v>890174</v>
      </c>
      <c r="I543" s="34">
        <v>0</v>
      </c>
      <c r="J543" s="36">
        <v>0</v>
      </c>
      <c r="K543" s="31">
        <v>0.76</v>
      </c>
    </row>
    <row r="544" spans="1:11">
      <c r="A544" s="34" t="s">
        <v>614</v>
      </c>
      <c r="B544" s="19" t="s">
        <v>7</v>
      </c>
      <c r="C544" s="34" t="s">
        <v>38</v>
      </c>
      <c r="D544" s="21">
        <f ca="1">RANDBETWEEN(DATE(2021,7,1),DATE(2021,9,30))</f>
        <v>44441</v>
      </c>
      <c r="E544" s="35">
        <v>730335</v>
      </c>
      <c r="F544" s="34">
        <v>12.53</v>
      </c>
      <c r="G544" s="34">
        <v>45</v>
      </c>
      <c r="H544" s="36">
        <v>371611</v>
      </c>
      <c r="I544" s="34">
        <v>1</v>
      </c>
      <c r="J544" s="36">
        <v>279432</v>
      </c>
      <c r="K544" s="33">
        <v>0.68</v>
      </c>
    </row>
    <row r="545" spans="1:11">
      <c r="A545" s="34" t="s">
        <v>615</v>
      </c>
      <c r="B545" s="34" t="s">
        <v>9</v>
      </c>
      <c r="C545" s="34" t="s">
        <v>47</v>
      </c>
      <c r="D545" s="21">
        <f ca="1">RANDBETWEEN(DATE(2023,10,1),DATE(2023,12,31))</f>
        <v>45202</v>
      </c>
      <c r="E545" s="35">
        <v>1831973</v>
      </c>
      <c r="F545" s="37">
        <v>10.51</v>
      </c>
      <c r="G545" s="34">
        <v>7</v>
      </c>
      <c r="H545" s="36">
        <v>1167453</v>
      </c>
      <c r="I545" s="34">
        <v>0</v>
      </c>
      <c r="J545" s="36">
        <v>0</v>
      </c>
      <c r="K545" s="32">
        <v>0.74</v>
      </c>
    </row>
    <row r="546" spans="1:11">
      <c r="A546" s="34" t="s">
        <v>616</v>
      </c>
      <c r="B546" s="34" t="s">
        <v>10</v>
      </c>
      <c r="C546" s="34" t="s">
        <v>37</v>
      </c>
      <c r="D546" s="21">
        <f ca="1">RANDBETWEEN(DATE(2021,4,1),DATE(2021,6,30))</f>
        <v>44306</v>
      </c>
      <c r="E546" s="35">
        <v>4804347</v>
      </c>
      <c r="F546" s="34">
        <v>8.77</v>
      </c>
      <c r="G546" s="34">
        <v>7</v>
      </c>
      <c r="H546" s="36">
        <v>2035366</v>
      </c>
      <c r="I546" s="34">
        <v>0</v>
      </c>
      <c r="J546" s="36">
        <v>0</v>
      </c>
      <c r="K546" s="31">
        <v>0.72</v>
      </c>
    </row>
    <row r="547" spans="1:11">
      <c r="A547" s="34" t="s">
        <v>617</v>
      </c>
      <c r="B547" s="34" t="s">
        <v>9</v>
      </c>
      <c r="C547" s="34" t="s">
        <v>33</v>
      </c>
      <c r="D547" s="21">
        <f ca="1">RANDBETWEEN(DATE(2020,4,1),DATE(2020,6,30))</f>
        <v>43974</v>
      </c>
      <c r="E547" s="35">
        <v>465869</v>
      </c>
      <c r="F547" s="37">
        <v>10.06</v>
      </c>
      <c r="G547" s="34">
        <v>7</v>
      </c>
      <c r="H547" s="36">
        <v>108995</v>
      </c>
      <c r="I547" s="34">
        <v>0</v>
      </c>
      <c r="J547" s="36">
        <v>0</v>
      </c>
      <c r="K547" s="31">
        <v>0.72</v>
      </c>
    </row>
    <row r="548" spans="1:11">
      <c r="A548" s="34" t="s">
        <v>618</v>
      </c>
      <c r="B548" s="34" t="s">
        <v>6</v>
      </c>
      <c r="C548" s="34" t="s">
        <v>32</v>
      </c>
      <c r="D548" s="21">
        <f ca="1">RANDBETWEEN(DATE(2020,1,1),DATE(2020,3,31))</f>
        <v>43913</v>
      </c>
      <c r="E548" s="35">
        <v>256464</v>
      </c>
      <c r="F548" s="34">
        <v>7.25</v>
      </c>
      <c r="G548" s="34">
        <v>10</v>
      </c>
      <c r="H548" s="36">
        <v>244285</v>
      </c>
      <c r="I548" s="34">
        <v>1</v>
      </c>
      <c r="J548" s="36">
        <v>123681</v>
      </c>
      <c r="K548" s="31">
        <v>0.68</v>
      </c>
    </row>
    <row r="549" spans="1:11">
      <c r="A549" s="34" t="s">
        <v>619</v>
      </c>
      <c r="B549" s="34" t="s">
        <v>10</v>
      </c>
      <c r="C549" s="34" t="s">
        <v>41</v>
      </c>
      <c r="D549" s="21">
        <f ca="1">RANDBETWEEN(DATE(2022,4,1),DATE(2022,6,30))</f>
        <v>44715</v>
      </c>
      <c r="E549" s="35">
        <v>2082688</v>
      </c>
      <c r="F549" s="34">
        <v>10.02</v>
      </c>
      <c r="G549" s="34">
        <v>75</v>
      </c>
      <c r="H549" s="36">
        <v>1564475</v>
      </c>
      <c r="I549" s="34">
        <v>0</v>
      </c>
      <c r="J549" s="36">
        <v>0</v>
      </c>
      <c r="K549" s="30">
        <v>0.727</v>
      </c>
    </row>
    <row r="550" spans="1:11">
      <c r="A550" s="34" t="s">
        <v>620</v>
      </c>
      <c r="B550" s="34" t="s">
        <v>10</v>
      </c>
      <c r="C550" s="34" t="s">
        <v>43</v>
      </c>
      <c r="D550" s="21">
        <f ca="1">RANDBETWEEN(DATE(2022,10,1),DATE(2022,12,31))</f>
        <v>44900</v>
      </c>
      <c r="E550" s="35">
        <v>2657211</v>
      </c>
      <c r="F550" s="34">
        <v>9.18</v>
      </c>
      <c r="G550" s="34">
        <v>7</v>
      </c>
      <c r="H550" s="36">
        <v>1657220</v>
      </c>
      <c r="I550" s="34">
        <v>0</v>
      </c>
      <c r="J550" s="36">
        <v>0</v>
      </c>
      <c r="K550" s="31">
        <v>0.71</v>
      </c>
    </row>
    <row r="551" spans="1:11">
      <c r="A551" s="34" t="s">
        <v>621</v>
      </c>
      <c r="B551" s="34" t="s">
        <v>6</v>
      </c>
      <c r="C551" s="34" t="s">
        <v>37</v>
      </c>
      <c r="D551" s="21">
        <f ca="1">RANDBETWEEN(DATE(2021,4,1),DATE(2021,6,30))</f>
        <v>44299</v>
      </c>
      <c r="E551" s="35">
        <v>832952</v>
      </c>
      <c r="F551" s="34">
        <v>7.83</v>
      </c>
      <c r="G551" s="34">
        <v>6</v>
      </c>
      <c r="H551" s="36">
        <v>92792</v>
      </c>
      <c r="I551" s="34">
        <v>0</v>
      </c>
      <c r="J551" s="36">
        <v>0</v>
      </c>
      <c r="K551" s="31">
        <v>0.72</v>
      </c>
    </row>
    <row r="552" spans="1:11">
      <c r="A552" s="34" t="s">
        <v>622</v>
      </c>
      <c r="B552" s="19" t="s">
        <v>7</v>
      </c>
      <c r="C552" s="34" t="s">
        <v>39</v>
      </c>
      <c r="D552" s="21">
        <f ca="1">RANDBETWEEN(DATE(2021,10,1),DATE(2021,12,31))</f>
        <v>44477</v>
      </c>
      <c r="E552" s="35">
        <v>1350430</v>
      </c>
      <c r="F552" s="34">
        <v>12.85</v>
      </c>
      <c r="G552" s="34">
        <v>50</v>
      </c>
      <c r="H552" s="36">
        <v>1317924</v>
      </c>
      <c r="I552" s="34">
        <v>0</v>
      </c>
      <c r="J552" s="36">
        <v>0</v>
      </c>
      <c r="K552" s="31">
        <v>0.71</v>
      </c>
    </row>
    <row r="553" spans="1:11">
      <c r="A553" s="34" t="s">
        <v>623</v>
      </c>
      <c r="B553" s="19" t="s">
        <v>7</v>
      </c>
      <c r="C553" s="34" t="s">
        <v>41</v>
      </c>
      <c r="D553" s="21">
        <f ca="1">RANDBETWEEN(DATE(2022,4,1),DATE(2022,6,30))</f>
        <v>44671</v>
      </c>
      <c r="E553" s="35">
        <v>1527435</v>
      </c>
      <c r="F553" s="34">
        <v>12.01</v>
      </c>
      <c r="G553" s="34">
        <v>27</v>
      </c>
      <c r="H553" s="36">
        <v>1284097</v>
      </c>
      <c r="I553" s="34">
        <v>0</v>
      </c>
      <c r="J553" s="36">
        <v>0</v>
      </c>
      <c r="K553" s="30">
        <v>0.727</v>
      </c>
    </row>
    <row r="554" spans="1:11">
      <c r="A554" s="34" t="s">
        <v>624</v>
      </c>
      <c r="B554" s="34" t="s">
        <v>9</v>
      </c>
      <c r="C554" s="34" t="s">
        <v>46</v>
      </c>
      <c r="D554" s="21">
        <f ca="1">RANDBETWEEN(DATE(2023,7,1),DATE(2023,9,30))</f>
        <v>45197</v>
      </c>
      <c r="E554" s="35">
        <v>647611</v>
      </c>
      <c r="F554" s="37">
        <v>11.12</v>
      </c>
      <c r="G554" s="34">
        <v>51</v>
      </c>
      <c r="H554" s="36">
        <v>244858</v>
      </c>
      <c r="I554" s="34">
        <v>0</v>
      </c>
      <c r="J554" s="36">
        <v>0</v>
      </c>
      <c r="K554" s="31">
        <v>0.76</v>
      </c>
    </row>
    <row r="555" spans="1:11">
      <c r="A555" s="34" t="s">
        <v>625</v>
      </c>
      <c r="B555" s="34" t="s">
        <v>10</v>
      </c>
      <c r="C555" s="34" t="s">
        <v>48</v>
      </c>
      <c r="D555" s="21">
        <f ca="1">RANDBETWEEN(DATE(2024,1,1),DATE(2024,3,31))</f>
        <v>45374</v>
      </c>
      <c r="E555" s="35">
        <v>3763152</v>
      </c>
      <c r="F555" s="34">
        <v>8.58</v>
      </c>
      <c r="G555" s="34">
        <v>8</v>
      </c>
      <c r="H555" s="36">
        <v>2502727</v>
      </c>
      <c r="I555" s="34">
        <v>1</v>
      </c>
      <c r="J555" s="36">
        <v>407291</v>
      </c>
      <c r="K555" s="31">
        <v>0.75</v>
      </c>
    </row>
    <row r="556" spans="1:11">
      <c r="A556" s="34" t="s">
        <v>626</v>
      </c>
      <c r="B556" s="34" t="s">
        <v>6</v>
      </c>
      <c r="C556" s="34" t="s">
        <v>29</v>
      </c>
      <c r="D556" s="21">
        <f ca="1">RANDBETWEEN(DATE(2019,4,1),DATE(2019,6,30))</f>
        <v>43569</v>
      </c>
      <c r="E556" s="35">
        <v>721154</v>
      </c>
      <c r="F556" s="34">
        <v>8.42</v>
      </c>
      <c r="G556" s="34">
        <v>31</v>
      </c>
      <c r="H556" s="36">
        <v>548690</v>
      </c>
      <c r="I556" s="34">
        <v>0</v>
      </c>
      <c r="J556" s="36">
        <v>0</v>
      </c>
      <c r="K556" s="31">
        <v>0.71</v>
      </c>
    </row>
    <row r="557" spans="1:11">
      <c r="A557" s="34" t="s">
        <v>627</v>
      </c>
      <c r="B557" s="34" t="s">
        <v>6</v>
      </c>
      <c r="C557" s="34" t="s">
        <v>37</v>
      </c>
      <c r="D557" s="21">
        <f ca="1">RANDBETWEEN(DATE(2021,4,1),DATE(2021,6,30))</f>
        <v>44366</v>
      </c>
      <c r="E557" s="35">
        <v>494015</v>
      </c>
      <c r="F557" s="34">
        <v>7.72</v>
      </c>
      <c r="G557" s="34">
        <v>32</v>
      </c>
      <c r="H557" s="36">
        <v>306211</v>
      </c>
      <c r="I557" s="34">
        <v>0</v>
      </c>
      <c r="J557" s="36">
        <v>0</v>
      </c>
      <c r="K557" s="31">
        <v>0.72</v>
      </c>
    </row>
    <row r="558" spans="1:11">
      <c r="A558" s="34" t="s">
        <v>628</v>
      </c>
      <c r="B558" s="34" t="s">
        <v>10</v>
      </c>
      <c r="C558" s="34" t="s">
        <v>31</v>
      </c>
      <c r="D558" s="21">
        <f ca="1">RANDBETWEEN(DATE(2019,10,1),DATE(2019,12,31))</f>
        <v>43805</v>
      </c>
      <c r="E558" s="35">
        <v>2651989</v>
      </c>
      <c r="F558" s="34">
        <v>9.83</v>
      </c>
      <c r="G558" s="34">
        <v>16</v>
      </c>
      <c r="H558" s="36">
        <v>1254190</v>
      </c>
      <c r="I558" s="34">
        <v>1</v>
      </c>
      <c r="J558" s="36">
        <v>730093</v>
      </c>
      <c r="K558" s="31">
        <v>0.7</v>
      </c>
    </row>
    <row r="559" spans="1:11">
      <c r="A559" s="34" t="s">
        <v>629</v>
      </c>
      <c r="B559" s="34" t="s">
        <v>8</v>
      </c>
      <c r="C559" s="34" t="s">
        <v>48</v>
      </c>
      <c r="D559" s="21">
        <f ca="1">RANDBETWEEN(DATE(2024,1,1),DATE(2024,3,31))</f>
        <v>45362</v>
      </c>
      <c r="E559" s="35">
        <v>2889518</v>
      </c>
      <c r="F559" s="34">
        <v>8.38</v>
      </c>
      <c r="G559" s="34">
        <v>184</v>
      </c>
      <c r="H559" s="36">
        <v>2190691</v>
      </c>
      <c r="I559" s="34">
        <v>0</v>
      </c>
      <c r="J559" s="36">
        <v>0</v>
      </c>
      <c r="K559" s="31">
        <v>0.75</v>
      </c>
    </row>
    <row r="560" spans="1:11">
      <c r="A560" s="34" t="s">
        <v>630</v>
      </c>
      <c r="B560" s="34" t="s">
        <v>6</v>
      </c>
      <c r="C560" s="34" t="s">
        <v>42</v>
      </c>
      <c r="D560" s="21">
        <f ca="1">RANDBETWEEN(DATE(2022,7,1),DATE(2022,9,30))</f>
        <v>44800</v>
      </c>
      <c r="E560" s="35">
        <v>534663</v>
      </c>
      <c r="F560" s="34">
        <v>8.41</v>
      </c>
      <c r="G560" s="34">
        <v>33</v>
      </c>
      <c r="H560" s="36">
        <v>454430</v>
      </c>
      <c r="I560" s="34">
        <v>0</v>
      </c>
      <c r="J560" s="36">
        <v>0</v>
      </c>
      <c r="K560" s="31">
        <v>0.73</v>
      </c>
    </row>
    <row r="561" spans="1:11">
      <c r="A561" s="34" t="s">
        <v>631</v>
      </c>
      <c r="B561" s="34" t="s">
        <v>6</v>
      </c>
      <c r="C561" s="34" t="s">
        <v>33</v>
      </c>
      <c r="D561" s="21">
        <f ca="1">RANDBETWEEN(DATE(2020,4,1),DATE(2020,6,30))</f>
        <v>43997</v>
      </c>
      <c r="E561" s="35">
        <v>396863</v>
      </c>
      <c r="F561" s="34">
        <v>8.44</v>
      </c>
      <c r="G561" s="34">
        <v>21</v>
      </c>
      <c r="H561" s="36">
        <v>396859</v>
      </c>
      <c r="I561" s="34">
        <v>0</v>
      </c>
      <c r="J561" s="36">
        <v>0</v>
      </c>
      <c r="K561" s="31">
        <v>0.72</v>
      </c>
    </row>
    <row r="562" spans="1:11">
      <c r="A562" s="34" t="s">
        <v>632</v>
      </c>
      <c r="B562" s="34" t="s">
        <v>10</v>
      </c>
      <c r="C562" s="34" t="s">
        <v>34</v>
      </c>
      <c r="D562" s="21">
        <f ca="1">RANDBETWEEN(DATE(2020,7,1),DATE(2020,9,30))</f>
        <v>44102</v>
      </c>
      <c r="E562" s="35">
        <v>4241581</v>
      </c>
      <c r="F562" s="34">
        <v>9.27</v>
      </c>
      <c r="G562" s="34">
        <v>7</v>
      </c>
      <c r="H562" s="36">
        <v>258482</v>
      </c>
      <c r="I562" s="34">
        <v>1</v>
      </c>
      <c r="J562" s="36">
        <v>121099</v>
      </c>
      <c r="K562" s="31">
        <v>0.68</v>
      </c>
    </row>
    <row r="563" spans="1:11">
      <c r="A563" s="34" t="s">
        <v>633</v>
      </c>
      <c r="B563" s="34" t="s">
        <v>10</v>
      </c>
      <c r="C563" s="34" t="s">
        <v>46</v>
      </c>
      <c r="D563" s="21">
        <f ca="1">RANDBETWEEN(DATE(2023,7,1),DATE(2023,9,30))</f>
        <v>45196</v>
      </c>
      <c r="E563" s="35">
        <v>1511322</v>
      </c>
      <c r="F563" s="34">
        <v>8.73</v>
      </c>
      <c r="G563" s="34">
        <v>12</v>
      </c>
      <c r="H563" s="36">
        <v>397988</v>
      </c>
      <c r="I563" s="34">
        <v>1</v>
      </c>
      <c r="J563" s="36">
        <v>244154</v>
      </c>
      <c r="K563" s="31">
        <v>0.76</v>
      </c>
    </row>
    <row r="564" spans="1:11">
      <c r="A564" s="34" t="s">
        <v>634</v>
      </c>
      <c r="B564" s="19" t="s">
        <v>7</v>
      </c>
      <c r="C564" s="34" t="s">
        <v>45</v>
      </c>
      <c r="D564" s="21">
        <f ca="1">RANDBETWEEN(DATE(2023,4,1),DATE(2023,6,30))</f>
        <v>45062</v>
      </c>
      <c r="E564" s="35">
        <v>1216068</v>
      </c>
      <c r="F564" s="34">
        <v>11.37</v>
      </c>
      <c r="G564" s="34">
        <v>10</v>
      </c>
      <c r="H564" s="36">
        <v>821774</v>
      </c>
      <c r="I564" s="34">
        <v>0</v>
      </c>
      <c r="J564" s="36">
        <v>0</v>
      </c>
      <c r="K564" s="31">
        <v>0.73</v>
      </c>
    </row>
    <row r="565" spans="1:11">
      <c r="A565" s="34" t="s">
        <v>635</v>
      </c>
      <c r="B565" s="19" t="s">
        <v>7</v>
      </c>
      <c r="C565" s="34" t="s">
        <v>36</v>
      </c>
      <c r="D565" s="21">
        <f ca="1">RANDBETWEEN(DATE(2021,1,1),DATE(2021,3,31))</f>
        <v>44204</v>
      </c>
      <c r="E565" s="35">
        <v>124077</v>
      </c>
      <c r="F565" s="34">
        <v>12.97</v>
      </c>
      <c r="G565" s="34">
        <v>17</v>
      </c>
      <c r="H565" s="36">
        <v>55252</v>
      </c>
      <c r="I565" s="34">
        <v>1</v>
      </c>
      <c r="J565" s="36">
        <v>7603</v>
      </c>
      <c r="K565" s="30">
        <v>0.744</v>
      </c>
    </row>
    <row r="566" spans="1:11">
      <c r="A566" s="34" t="s">
        <v>636</v>
      </c>
      <c r="B566" s="34" t="s">
        <v>8</v>
      </c>
      <c r="C566" s="34" t="s">
        <v>38</v>
      </c>
      <c r="D566" s="21">
        <f ca="1">RANDBETWEEN(DATE(2021,7,1),DATE(2021,9,30))</f>
        <v>44386</v>
      </c>
      <c r="E566" s="35">
        <v>5184156</v>
      </c>
      <c r="F566" s="34">
        <v>8.13</v>
      </c>
      <c r="G566" s="34">
        <v>95</v>
      </c>
      <c r="H566" s="36">
        <v>4736769</v>
      </c>
      <c r="I566" s="34">
        <v>0</v>
      </c>
      <c r="J566" s="36">
        <v>0</v>
      </c>
      <c r="K566" s="33">
        <v>0.68</v>
      </c>
    </row>
    <row r="567" spans="1:11">
      <c r="A567" s="34" t="s">
        <v>637</v>
      </c>
      <c r="B567" s="34" t="s">
        <v>8</v>
      </c>
      <c r="C567" s="34" t="s">
        <v>39</v>
      </c>
      <c r="D567" s="21">
        <f ca="1">RANDBETWEEN(DATE(2021,10,1),DATE(2021,12,31))</f>
        <v>44546</v>
      </c>
      <c r="E567" s="35">
        <v>9154663</v>
      </c>
      <c r="F567" s="34">
        <v>8.01</v>
      </c>
      <c r="G567" s="34">
        <v>213</v>
      </c>
      <c r="H567" s="36">
        <v>8935748</v>
      </c>
      <c r="I567" s="34">
        <v>0</v>
      </c>
      <c r="J567" s="36">
        <v>0</v>
      </c>
      <c r="K567" s="31">
        <v>0.71</v>
      </c>
    </row>
    <row r="568" spans="1:11">
      <c r="A568" s="34" t="s">
        <v>638</v>
      </c>
      <c r="B568" s="19" t="s">
        <v>7</v>
      </c>
      <c r="C568" s="34" t="s">
        <v>30</v>
      </c>
      <c r="D568" s="21">
        <f ca="1">RANDBETWEEN(DATE(2019,7,1),DATE(2019,9,30))</f>
        <v>43733</v>
      </c>
      <c r="E568" s="35">
        <v>905770</v>
      </c>
      <c r="F568" s="34">
        <v>12.77</v>
      </c>
      <c r="G568" s="34">
        <v>47</v>
      </c>
      <c r="H568" s="36">
        <v>325890</v>
      </c>
      <c r="I568" s="34">
        <v>0</v>
      </c>
      <c r="J568" s="36">
        <v>0</v>
      </c>
      <c r="K568" s="31">
        <v>0.71</v>
      </c>
    </row>
    <row r="569" spans="1:11">
      <c r="A569" s="34" t="s">
        <v>639</v>
      </c>
      <c r="B569" s="34" t="s">
        <v>6</v>
      </c>
      <c r="C569" s="34" t="s">
        <v>35</v>
      </c>
      <c r="D569" s="21">
        <f ca="1">RANDBETWEEN(DATE(2020,10,1),DATE(2020,12,31))</f>
        <v>44157</v>
      </c>
      <c r="E569" s="35">
        <v>798491</v>
      </c>
      <c r="F569" s="34">
        <v>8.25</v>
      </c>
      <c r="G569" s="34">
        <v>35</v>
      </c>
      <c r="H569" s="36">
        <v>658507</v>
      </c>
      <c r="I569" s="34">
        <v>1</v>
      </c>
      <c r="J569" s="36">
        <v>266667</v>
      </c>
      <c r="K569" s="31">
        <v>0.68</v>
      </c>
    </row>
    <row r="570" spans="1:11">
      <c r="A570" s="34" t="s">
        <v>640</v>
      </c>
      <c r="B570" s="34" t="s">
        <v>10</v>
      </c>
      <c r="C570" s="34" t="s">
        <v>34</v>
      </c>
      <c r="D570" s="21">
        <f ca="1">RANDBETWEEN(DATE(2020,7,1),DATE(2020,9,30))</f>
        <v>44084</v>
      </c>
      <c r="E570" s="35">
        <v>839906</v>
      </c>
      <c r="F570" s="34">
        <v>9.4</v>
      </c>
      <c r="G570" s="34">
        <v>7</v>
      </c>
      <c r="H570" s="36">
        <v>554050</v>
      </c>
      <c r="I570" s="34">
        <v>1</v>
      </c>
      <c r="J570" s="36">
        <v>238710</v>
      </c>
      <c r="K570" s="31">
        <v>0.68</v>
      </c>
    </row>
    <row r="571" spans="1:11">
      <c r="A571" s="34" t="s">
        <v>641</v>
      </c>
      <c r="B571" s="34" t="s">
        <v>8</v>
      </c>
      <c r="C571" s="34" t="s">
        <v>48</v>
      </c>
      <c r="D571" s="21">
        <f ca="1">RANDBETWEEN(DATE(2024,1,1),DATE(2024,3,31))</f>
        <v>45296</v>
      </c>
      <c r="E571" s="35">
        <v>7725285</v>
      </c>
      <c r="F571" s="34">
        <v>7.77</v>
      </c>
      <c r="G571" s="34">
        <v>181</v>
      </c>
      <c r="H571" s="36">
        <v>4868976</v>
      </c>
      <c r="I571" s="34">
        <v>1</v>
      </c>
      <c r="J571" s="36">
        <v>2779313</v>
      </c>
      <c r="K571" s="31">
        <v>0.75</v>
      </c>
    </row>
    <row r="572" spans="1:11">
      <c r="A572" s="34" t="s">
        <v>642</v>
      </c>
      <c r="B572" s="34" t="s">
        <v>10</v>
      </c>
      <c r="C572" s="34" t="s">
        <v>35</v>
      </c>
      <c r="D572" s="21">
        <f ca="1">RANDBETWEEN(DATE(2020,10,1),DATE(2020,12,31))</f>
        <v>44196</v>
      </c>
      <c r="E572" s="35">
        <v>3134677</v>
      </c>
      <c r="F572" s="34">
        <v>9.34</v>
      </c>
      <c r="G572" s="34">
        <v>11</v>
      </c>
      <c r="H572" s="36">
        <v>2476931</v>
      </c>
      <c r="I572" s="34">
        <v>1</v>
      </c>
      <c r="J572" s="36">
        <v>1865471</v>
      </c>
      <c r="K572" s="31">
        <v>0.68</v>
      </c>
    </row>
    <row r="573" spans="1:11">
      <c r="A573" s="34" t="s">
        <v>643</v>
      </c>
      <c r="B573" s="34" t="s">
        <v>6</v>
      </c>
      <c r="C573" s="34" t="s">
        <v>48</v>
      </c>
      <c r="D573" s="21">
        <f ca="1">RANDBETWEEN(DATE(2024,1,1),DATE(2024,3,31))</f>
        <v>45369</v>
      </c>
      <c r="E573" s="35">
        <v>98101</v>
      </c>
      <c r="F573" s="34">
        <v>7.38</v>
      </c>
      <c r="G573" s="34">
        <v>9</v>
      </c>
      <c r="H573" s="36">
        <v>33609</v>
      </c>
      <c r="I573" s="34">
        <v>1</v>
      </c>
      <c r="J573" s="36">
        <v>14479</v>
      </c>
      <c r="K573" s="31">
        <v>0.75</v>
      </c>
    </row>
    <row r="574" spans="1:11">
      <c r="A574" s="34" t="s">
        <v>644</v>
      </c>
      <c r="B574" s="34" t="s">
        <v>8</v>
      </c>
      <c r="C574" s="34" t="s">
        <v>42</v>
      </c>
      <c r="D574" s="21">
        <f ca="1">RANDBETWEEN(DATE(2022,7,1),DATE(2022,9,30))</f>
        <v>44796</v>
      </c>
      <c r="E574" s="35">
        <v>1753004</v>
      </c>
      <c r="F574" s="34">
        <v>8.45</v>
      </c>
      <c r="G574" s="34">
        <v>114</v>
      </c>
      <c r="H574" s="36">
        <v>964522</v>
      </c>
      <c r="I574" s="34">
        <v>0</v>
      </c>
      <c r="J574" s="36">
        <v>0</v>
      </c>
      <c r="K574" s="31">
        <v>0.73</v>
      </c>
    </row>
    <row r="575" spans="1:11">
      <c r="A575" s="34" t="s">
        <v>645</v>
      </c>
      <c r="B575" s="34" t="s">
        <v>6</v>
      </c>
      <c r="C575" s="34" t="s">
        <v>32</v>
      </c>
      <c r="D575" s="21">
        <f ca="1">RANDBETWEEN(DATE(2020,1,1),DATE(2020,3,31))</f>
        <v>43885</v>
      </c>
      <c r="E575" s="35">
        <v>797654</v>
      </c>
      <c r="F575" s="34">
        <v>7.05</v>
      </c>
      <c r="G575" s="34">
        <v>8</v>
      </c>
      <c r="H575" s="36">
        <v>262133</v>
      </c>
      <c r="I575" s="34">
        <v>0</v>
      </c>
      <c r="J575" s="36">
        <v>0</v>
      </c>
      <c r="K575" s="31">
        <v>0.68</v>
      </c>
    </row>
    <row r="576" spans="1:11">
      <c r="A576" s="34" t="s">
        <v>646</v>
      </c>
      <c r="B576" s="34" t="s">
        <v>10</v>
      </c>
      <c r="C576" s="34" t="s">
        <v>38</v>
      </c>
      <c r="D576" s="21">
        <f ca="1">RANDBETWEEN(DATE(2021,7,1),DATE(2021,9,30))</f>
        <v>44451</v>
      </c>
      <c r="E576" s="35">
        <v>3433368</v>
      </c>
      <c r="F576" s="34">
        <v>9.83</v>
      </c>
      <c r="G576" s="34">
        <v>33</v>
      </c>
      <c r="H576" s="36">
        <v>2939699</v>
      </c>
      <c r="I576" s="34">
        <v>0</v>
      </c>
      <c r="J576" s="36">
        <v>0</v>
      </c>
      <c r="K576" s="33">
        <v>0.68</v>
      </c>
    </row>
    <row r="577" spans="1:11">
      <c r="A577" s="34" t="s">
        <v>647</v>
      </c>
      <c r="B577" s="19" t="s">
        <v>7</v>
      </c>
      <c r="C577" s="34" t="s">
        <v>44</v>
      </c>
      <c r="D577" s="21">
        <f ca="1">RANDBETWEEN(DATE(2023,1,1),DATE(2023,3,31))</f>
        <v>44969</v>
      </c>
      <c r="E577" s="35">
        <v>237484</v>
      </c>
      <c r="F577" s="34">
        <v>10.71</v>
      </c>
      <c r="G577" s="34">
        <v>6</v>
      </c>
      <c r="H577" s="36">
        <v>155487</v>
      </c>
      <c r="I577" s="34">
        <v>1</v>
      </c>
      <c r="J577" s="36">
        <v>27926</v>
      </c>
      <c r="K577" s="31">
        <v>0.73</v>
      </c>
    </row>
    <row r="578" spans="1:11">
      <c r="A578" s="34" t="s">
        <v>648</v>
      </c>
      <c r="B578" s="19" t="s">
        <v>7</v>
      </c>
      <c r="C578" s="34" t="s">
        <v>36</v>
      </c>
      <c r="D578" s="21">
        <f ca="1">RANDBETWEEN(DATE(2021,1,1),DATE(2021,3,31))</f>
        <v>44236</v>
      </c>
      <c r="E578" s="35">
        <v>575869</v>
      </c>
      <c r="F578" s="34">
        <v>10.58</v>
      </c>
      <c r="G578" s="34">
        <v>8</v>
      </c>
      <c r="H578" s="36">
        <v>542652</v>
      </c>
      <c r="I578" s="34">
        <v>0</v>
      </c>
      <c r="J578" s="36">
        <v>0</v>
      </c>
      <c r="K578" s="30">
        <v>0.744</v>
      </c>
    </row>
    <row r="579" spans="1:11">
      <c r="A579" s="34" t="s">
        <v>649</v>
      </c>
      <c r="B579" s="34" t="s">
        <v>6</v>
      </c>
      <c r="C579" s="34" t="s">
        <v>35</v>
      </c>
      <c r="D579" s="21">
        <f ca="1">RANDBETWEEN(DATE(2020,10,1),DATE(2020,12,31))</f>
        <v>44181</v>
      </c>
      <c r="E579" s="35">
        <v>61353</v>
      </c>
      <c r="F579" s="34">
        <v>7.97</v>
      </c>
      <c r="G579" s="34">
        <v>21</v>
      </c>
      <c r="H579" s="36">
        <v>7300</v>
      </c>
      <c r="I579" s="34">
        <v>0</v>
      </c>
      <c r="J579" s="36">
        <v>0</v>
      </c>
      <c r="K579" s="31">
        <v>0.68</v>
      </c>
    </row>
    <row r="580" spans="1:11">
      <c r="A580" s="34" t="s">
        <v>650</v>
      </c>
      <c r="B580" s="34" t="s">
        <v>9</v>
      </c>
      <c r="C580" s="34" t="s">
        <v>33</v>
      </c>
      <c r="D580" s="21">
        <f ca="1">RANDBETWEEN(DATE(2020,4,1),DATE(2020,6,30))</f>
        <v>43991</v>
      </c>
      <c r="E580" s="35">
        <v>1389957</v>
      </c>
      <c r="F580" s="37">
        <v>10.15</v>
      </c>
      <c r="G580" s="34">
        <v>18</v>
      </c>
      <c r="H580" s="36">
        <v>872854</v>
      </c>
      <c r="I580" s="34">
        <v>1</v>
      </c>
      <c r="J580" s="36">
        <v>330468</v>
      </c>
      <c r="K580" s="31">
        <v>0.72</v>
      </c>
    </row>
    <row r="581" spans="1:11">
      <c r="A581" s="34" t="s">
        <v>651</v>
      </c>
      <c r="B581" s="34" t="s">
        <v>10</v>
      </c>
      <c r="C581" s="34" t="s">
        <v>37</v>
      </c>
      <c r="D581" s="21">
        <f ca="1">RANDBETWEEN(DATE(2021,4,1),DATE(2021,6,30))</f>
        <v>44314</v>
      </c>
      <c r="E581" s="35">
        <v>969468</v>
      </c>
      <c r="F581" s="34">
        <v>10.32</v>
      </c>
      <c r="G581" s="34">
        <v>111</v>
      </c>
      <c r="H581" s="36">
        <v>619313</v>
      </c>
      <c r="I581" s="34">
        <v>0</v>
      </c>
      <c r="J581" s="36">
        <v>0</v>
      </c>
      <c r="K581" s="31">
        <v>0.72</v>
      </c>
    </row>
    <row r="582" spans="1:11">
      <c r="A582" s="34" t="s">
        <v>652</v>
      </c>
      <c r="B582" s="34" t="s">
        <v>10</v>
      </c>
      <c r="C582" s="34" t="s">
        <v>47</v>
      </c>
      <c r="D582" s="21">
        <f ca="1">RANDBETWEEN(DATE(2023,10,1),DATE(2023,12,31))</f>
        <v>45268</v>
      </c>
      <c r="E582" s="35">
        <v>558917</v>
      </c>
      <c r="F582" s="34">
        <v>9.1</v>
      </c>
      <c r="G582" s="34">
        <v>10</v>
      </c>
      <c r="H582" s="36">
        <v>502526</v>
      </c>
      <c r="I582" s="34">
        <v>1</v>
      </c>
      <c r="J582" s="36">
        <v>207138</v>
      </c>
      <c r="K582" s="32">
        <v>0.74</v>
      </c>
    </row>
    <row r="583" spans="1:11">
      <c r="A583" s="34" t="s">
        <v>653</v>
      </c>
      <c r="B583" s="34" t="s">
        <v>10</v>
      </c>
      <c r="C583" s="34" t="s">
        <v>45</v>
      </c>
      <c r="D583" s="21">
        <f ca="1">RANDBETWEEN(DATE(2023,4,1),DATE(2023,6,30))</f>
        <v>45083</v>
      </c>
      <c r="E583" s="35">
        <v>3913856</v>
      </c>
      <c r="F583" s="34">
        <v>10</v>
      </c>
      <c r="G583" s="34">
        <v>99</v>
      </c>
      <c r="H583" s="36">
        <v>770268</v>
      </c>
      <c r="I583" s="34">
        <v>1</v>
      </c>
      <c r="J583" s="36">
        <v>219691</v>
      </c>
      <c r="K583" s="31">
        <v>0.73</v>
      </c>
    </row>
    <row r="584" spans="1:11">
      <c r="A584" s="34" t="s">
        <v>654</v>
      </c>
      <c r="B584" s="34" t="s">
        <v>10</v>
      </c>
      <c r="C584" s="34" t="s">
        <v>42</v>
      </c>
      <c r="D584" s="21">
        <f ca="1">RANDBETWEEN(DATE(2022,7,1),DATE(2022,9,30))</f>
        <v>44829</v>
      </c>
      <c r="E584" s="35">
        <v>2802010</v>
      </c>
      <c r="F584" s="34">
        <v>10.16</v>
      </c>
      <c r="G584" s="34">
        <v>53</v>
      </c>
      <c r="H584" s="36">
        <v>1082473</v>
      </c>
      <c r="I584" s="34">
        <v>1</v>
      </c>
      <c r="J584" s="36">
        <v>767683</v>
      </c>
      <c r="K584" s="31">
        <v>0.73</v>
      </c>
    </row>
    <row r="585" spans="1:11">
      <c r="A585" s="34" t="s">
        <v>655</v>
      </c>
      <c r="B585" s="34" t="s">
        <v>6</v>
      </c>
      <c r="C585" s="34" t="s">
        <v>42</v>
      </c>
      <c r="D585" s="21">
        <f ca="1">RANDBETWEEN(DATE(2022,7,1),DATE(2022,9,30))</f>
        <v>44824</v>
      </c>
      <c r="E585" s="35">
        <v>753247</v>
      </c>
      <c r="F585" s="34">
        <v>7.86</v>
      </c>
      <c r="G585" s="34">
        <v>42</v>
      </c>
      <c r="H585" s="36">
        <v>696182</v>
      </c>
      <c r="I585" s="34">
        <v>0</v>
      </c>
      <c r="J585" s="36">
        <v>0</v>
      </c>
      <c r="K585" s="31">
        <v>0.73</v>
      </c>
    </row>
    <row r="586" spans="1:11">
      <c r="A586" s="34" t="s">
        <v>656</v>
      </c>
      <c r="B586" s="34" t="s">
        <v>6</v>
      </c>
      <c r="C586" s="34" t="s">
        <v>44</v>
      </c>
      <c r="D586" s="21">
        <f ca="1">RANDBETWEEN(DATE(2023,1,1),DATE(2023,3,31))</f>
        <v>44956</v>
      </c>
      <c r="E586" s="35">
        <v>760803</v>
      </c>
      <c r="F586" s="34">
        <v>8.44</v>
      </c>
      <c r="G586" s="34">
        <v>26</v>
      </c>
      <c r="H586" s="36">
        <v>491759</v>
      </c>
      <c r="I586" s="34">
        <v>0</v>
      </c>
      <c r="J586" s="36">
        <v>0</v>
      </c>
      <c r="K586" s="31">
        <v>0.73</v>
      </c>
    </row>
    <row r="587" spans="1:11">
      <c r="A587" s="34" t="s">
        <v>657</v>
      </c>
      <c r="B587" s="34" t="s">
        <v>8</v>
      </c>
      <c r="C587" s="34" t="s">
        <v>39</v>
      </c>
      <c r="D587" s="21">
        <f ca="1">RANDBETWEEN(DATE(2021,10,1),DATE(2021,12,31))</f>
        <v>44509</v>
      </c>
      <c r="E587" s="35">
        <v>3498414</v>
      </c>
      <c r="F587" s="34">
        <v>8.04</v>
      </c>
      <c r="G587" s="34">
        <v>194</v>
      </c>
      <c r="H587" s="36">
        <v>2274372</v>
      </c>
      <c r="I587" s="34">
        <v>0</v>
      </c>
      <c r="J587" s="36">
        <v>0</v>
      </c>
      <c r="K587" s="31">
        <v>0.71</v>
      </c>
    </row>
    <row r="588" spans="1:11">
      <c r="A588" s="34" t="s">
        <v>658</v>
      </c>
      <c r="B588" s="34" t="s">
        <v>10</v>
      </c>
      <c r="C588" s="34" t="s">
        <v>44</v>
      </c>
      <c r="D588" s="21">
        <f ca="1">RANDBETWEEN(DATE(2023,1,1),DATE(2023,3,31))</f>
        <v>44943</v>
      </c>
      <c r="E588" s="35">
        <v>4247927</v>
      </c>
      <c r="F588" s="34">
        <v>11.38</v>
      </c>
      <c r="G588" s="34">
        <v>79</v>
      </c>
      <c r="H588" s="36">
        <v>474221</v>
      </c>
      <c r="I588" s="34">
        <v>0</v>
      </c>
      <c r="J588" s="36">
        <v>0</v>
      </c>
      <c r="K588" s="31">
        <v>0.73</v>
      </c>
    </row>
    <row r="589" spans="1:11">
      <c r="A589" s="34" t="s">
        <v>659</v>
      </c>
      <c r="B589" s="34" t="s">
        <v>8</v>
      </c>
      <c r="C589" s="34" t="s">
        <v>46</v>
      </c>
      <c r="D589" s="21">
        <f ca="1">RANDBETWEEN(DATE(2023,7,1),DATE(2023,9,30))</f>
        <v>45163</v>
      </c>
      <c r="E589" s="35">
        <v>8161368</v>
      </c>
      <c r="F589" s="34">
        <v>8.06</v>
      </c>
      <c r="G589" s="34">
        <v>258</v>
      </c>
      <c r="H589" s="36">
        <v>855828</v>
      </c>
      <c r="I589" s="34">
        <v>0</v>
      </c>
      <c r="J589" s="36">
        <v>0</v>
      </c>
      <c r="K589" s="31">
        <v>0.76</v>
      </c>
    </row>
    <row r="590" spans="1:11">
      <c r="A590" s="34" t="s">
        <v>660</v>
      </c>
      <c r="B590" s="34" t="s">
        <v>10</v>
      </c>
      <c r="C590" s="34" t="s">
        <v>46</v>
      </c>
      <c r="D590" s="21">
        <f ca="1">RANDBETWEEN(DATE(2023,7,1),DATE(2023,9,30))</f>
        <v>45111</v>
      </c>
      <c r="E590" s="35">
        <v>4309968</v>
      </c>
      <c r="F590" s="34">
        <v>10.28</v>
      </c>
      <c r="G590" s="34">
        <v>43</v>
      </c>
      <c r="H590" s="36">
        <v>2562950</v>
      </c>
      <c r="I590" s="34">
        <v>1</v>
      </c>
      <c r="J590" s="36">
        <v>1456118</v>
      </c>
      <c r="K590" s="31">
        <v>0.76</v>
      </c>
    </row>
    <row r="591" spans="1:11">
      <c r="A591" s="34" t="s">
        <v>661</v>
      </c>
      <c r="B591" s="34" t="s">
        <v>8</v>
      </c>
      <c r="C591" s="34" t="s">
        <v>48</v>
      </c>
      <c r="D591" s="21">
        <f ca="1">RANDBETWEEN(DATE(2024,1,1),DATE(2024,3,31))</f>
        <v>45342</v>
      </c>
      <c r="E591" s="35">
        <v>5897656</v>
      </c>
      <c r="F591" s="34">
        <v>7.77</v>
      </c>
      <c r="G591" s="34">
        <v>170</v>
      </c>
      <c r="H591" s="36">
        <v>1957966</v>
      </c>
      <c r="I591" s="34">
        <v>1</v>
      </c>
      <c r="J591" s="36">
        <v>851779</v>
      </c>
      <c r="K591" s="31">
        <v>0.75</v>
      </c>
    </row>
    <row r="592" spans="1:11">
      <c r="A592" s="34" t="s">
        <v>662</v>
      </c>
      <c r="B592" s="34" t="s">
        <v>6</v>
      </c>
      <c r="C592" s="34" t="s">
        <v>36</v>
      </c>
      <c r="D592" s="21">
        <f ca="1">RANDBETWEEN(DATE(2021,1,1),DATE(2021,3,31))</f>
        <v>44262</v>
      </c>
      <c r="E592" s="35">
        <v>780047</v>
      </c>
      <c r="F592" s="34">
        <v>7.84</v>
      </c>
      <c r="G592" s="34">
        <v>10</v>
      </c>
      <c r="H592" s="36">
        <v>726440</v>
      </c>
      <c r="I592" s="34">
        <v>0</v>
      </c>
      <c r="J592" s="36">
        <v>0</v>
      </c>
      <c r="K592" s="30">
        <v>0.744</v>
      </c>
    </row>
    <row r="593" spans="1:11">
      <c r="A593" s="34" t="s">
        <v>663</v>
      </c>
      <c r="B593" s="34" t="s">
        <v>10</v>
      </c>
      <c r="C593" s="34" t="s">
        <v>38</v>
      </c>
      <c r="D593" s="21">
        <f ca="1">RANDBETWEEN(DATE(2021,7,1),DATE(2021,9,30))</f>
        <v>44440</v>
      </c>
      <c r="E593" s="35">
        <v>3160219</v>
      </c>
      <c r="F593" s="34">
        <v>11.07</v>
      </c>
      <c r="G593" s="34">
        <v>78</v>
      </c>
      <c r="H593" s="36">
        <v>1386327</v>
      </c>
      <c r="I593" s="34">
        <v>1</v>
      </c>
      <c r="J593" s="36">
        <v>594451</v>
      </c>
      <c r="K593" s="33">
        <v>0.68</v>
      </c>
    </row>
    <row r="594" spans="1:11">
      <c r="A594" s="34" t="s">
        <v>664</v>
      </c>
      <c r="B594" s="34" t="s">
        <v>8</v>
      </c>
      <c r="C594" s="34" t="s">
        <v>29</v>
      </c>
      <c r="D594" s="21">
        <f ca="1">RANDBETWEEN(DATE(2019,4,1),DATE(2019,6,30))</f>
        <v>43590</v>
      </c>
      <c r="E594" s="35">
        <v>4691924</v>
      </c>
      <c r="F594" s="34">
        <v>8.42</v>
      </c>
      <c r="G594" s="34">
        <v>91</v>
      </c>
      <c r="H594" s="36">
        <v>3742094</v>
      </c>
      <c r="I594" s="34">
        <v>0</v>
      </c>
      <c r="J594" s="36">
        <v>0</v>
      </c>
      <c r="K594" s="31">
        <v>0.71</v>
      </c>
    </row>
    <row r="595" spans="1:11">
      <c r="A595" s="34" t="s">
        <v>665</v>
      </c>
      <c r="B595" s="34" t="s">
        <v>8</v>
      </c>
      <c r="C595" s="34" t="s">
        <v>40</v>
      </c>
      <c r="D595" s="21">
        <f ca="1">RANDBETWEEN(DATE(2022,1,1),DATE(2022,3,31))</f>
        <v>44598</v>
      </c>
      <c r="E595" s="35">
        <v>1083419</v>
      </c>
      <c r="F595" s="34">
        <v>7.57</v>
      </c>
      <c r="G595" s="34">
        <v>124</v>
      </c>
      <c r="H595" s="36">
        <v>483564</v>
      </c>
      <c r="I595" s="34">
        <v>0</v>
      </c>
      <c r="J595" s="36">
        <v>0</v>
      </c>
      <c r="K595" s="31">
        <v>0.71</v>
      </c>
    </row>
    <row r="596" spans="1:11">
      <c r="A596" s="34" t="s">
        <v>666</v>
      </c>
      <c r="B596" s="34" t="s">
        <v>8</v>
      </c>
      <c r="C596" s="34" t="s">
        <v>30</v>
      </c>
      <c r="D596" s="21">
        <f ca="1">RANDBETWEEN(DATE(2019,7,1),DATE(2019,9,30))</f>
        <v>43722</v>
      </c>
      <c r="E596" s="35">
        <v>3514106</v>
      </c>
      <c r="F596" s="34">
        <v>8.49</v>
      </c>
      <c r="G596" s="34">
        <v>81</v>
      </c>
      <c r="H596" s="36">
        <v>1952786</v>
      </c>
      <c r="I596" s="34">
        <v>0</v>
      </c>
      <c r="J596" s="36">
        <v>0</v>
      </c>
      <c r="K596" s="31">
        <v>0.71</v>
      </c>
    </row>
    <row r="597" spans="1:11">
      <c r="A597" s="34" t="s">
        <v>667</v>
      </c>
      <c r="B597" s="34" t="s">
        <v>9</v>
      </c>
      <c r="C597" s="34" t="s">
        <v>48</v>
      </c>
      <c r="D597" s="21">
        <f ca="1">RANDBETWEEN(DATE(2024,1,1),DATE(2024,3,31))</f>
        <v>45371</v>
      </c>
      <c r="E597" s="35">
        <v>1244004</v>
      </c>
      <c r="F597" s="37">
        <v>10.33</v>
      </c>
      <c r="G597" s="34">
        <v>13</v>
      </c>
      <c r="H597" s="36">
        <v>1163740</v>
      </c>
      <c r="I597" s="34">
        <v>1</v>
      </c>
      <c r="J597" s="36">
        <v>434203</v>
      </c>
      <c r="K597" s="31">
        <v>0.75</v>
      </c>
    </row>
    <row r="598" spans="1:11">
      <c r="A598" s="34" t="s">
        <v>668</v>
      </c>
      <c r="B598" s="19" t="s">
        <v>7</v>
      </c>
      <c r="C598" s="34" t="s">
        <v>33</v>
      </c>
      <c r="D598" s="21">
        <f ca="1">RANDBETWEEN(DATE(2020,4,1),DATE(2020,6,30))</f>
        <v>43923</v>
      </c>
      <c r="E598" s="35">
        <v>1127403</v>
      </c>
      <c r="F598" s="34">
        <v>11.22</v>
      </c>
      <c r="G598" s="34">
        <v>11</v>
      </c>
      <c r="H598" s="36">
        <v>961097</v>
      </c>
      <c r="I598" s="34">
        <v>0</v>
      </c>
      <c r="J598" s="36">
        <v>0</v>
      </c>
      <c r="K598" s="31">
        <v>0.72</v>
      </c>
    </row>
    <row r="599" spans="1:11">
      <c r="A599" s="34" t="s">
        <v>669</v>
      </c>
      <c r="B599" s="34" t="s">
        <v>8</v>
      </c>
      <c r="C599" s="34" t="s">
        <v>29</v>
      </c>
      <c r="D599" s="21">
        <f ca="1">RANDBETWEEN(DATE(2019,4,1),DATE(2019,6,30))</f>
        <v>43624</v>
      </c>
      <c r="E599" s="35">
        <v>562658</v>
      </c>
      <c r="F599" s="34">
        <v>7.65</v>
      </c>
      <c r="G599" s="34">
        <v>67</v>
      </c>
      <c r="H599" s="36">
        <v>301622</v>
      </c>
      <c r="I599" s="34">
        <v>0</v>
      </c>
      <c r="J599" s="36">
        <v>0</v>
      </c>
      <c r="K599" s="31">
        <v>0.71</v>
      </c>
    </row>
    <row r="600" spans="1:11">
      <c r="A600" s="34" t="s">
        <v>670</v>
      </c>
      <c r="B600" s="34" t="s">
        <v>10</v>
      </c>
      <c r="C600" s="34" t="s">
        <v>37</v>
      </c>
      <c r="D600" s="21">
        <f ca="1">RANDBETWEEN(DATE(2021,4,1),DATE(2021,6,30))</f>
        <v>44335</v>
      </c>
      <c r="E600" s="35">
        <v>2018023</v>
      </c>
      <c r="F600" s="34">
        <v>11.05</v>
      </c>
      <c r="G600" s="34">
        <v>113</v>
      </c>
      <c r="H600" s="36">
        <v>527377</v>
      </c>
      <c r="I600" s="34">
        <v>1</v>
      </c>
      <c r="J600" s="36">
        <v>239701</v>
      </c>
      <c r="K600" s="31">
        <v>0.72</v>
      </c>
    </row>
    <row r="601" spans="1:11">
      <c r="A601" s="34" t="s">
        <v>671</v>
      </c>
      <c r="B601" s="34" t="s">
        <v>6</v>
      </c>
      <c r="C601" s="34" t="s">
        <v>38</v>
      </c>
      <c r="D601" s="21">
        <f ca="1">RANDBETWEEN(DATE(2021,7,1),DATE(2021,9,30))</f>
        <v>44445</v>
      </c>
      <c r="E601" s="35">
        <v>968224</v>
      </c>
      <c r="F601" s="34">
        <v>8.38</v>
      </c>
      <c r="G601" s="34">
        <v>33</v>
      </c>
      <c r="H601" s="36">
        <v>182300</v>
      </c>
      <c r="I601" s="34">
        <v>1</v>
      </c>
      <c r="J601" s="36">
        <v>91190</v>
      </c>
      <c r="K601" s="33">
        <v>0.68</v>
      </c>
    </row>
    <row r="602" spans="1:11">
      <c r="A602" s="34" t="s">
        <v>672</v>
      </c>
      <c r="B602" s="34" t="s">
        <v>6</v>
      </c>
      <c r="C602" s="34" t="s">
        <v>30</v>
      </c>
      <c r="D602" s="21">
        <f ca="1">RANDBETWEEN(DATE(2019,7,1),DATE(2019,9,30))</f>
        <v>43681</v>
      </c>
      <c r="E602" s="35">
        <v>986368</v>
      </c>
      <c r="F602" s="34">
        <v>7.98</v>
      </c>
      <c r="G602" s="34">
        <v>41</v>
      </c>
      <c r="H602" s="36">
        <v>294882</v>
      </c>
      <c r="I602" s="34">
        <v>0</v>
      </c>
      <c r="J602" s="36">
        <v>0</v>
      </c>
      <c r="K602" s="31">
        <v>0.71</v>
      </c>
    </row>
    <row r="603" spans="1:11">
      <c r="A603" s="34" t="s">
        <v>673</v>
      </c>
      <c r="B603" s="34" t="s">
        <v>9</v>
      </c>
      <c r="C603" s="34" t="s">
        <v>34</v>
      </c>
      <c r="D603" s="21">
        <f ca="1">RANDBETWEEN(DATE(2020,7,1),DATE(2020,9,30))</f>
        <v>44097</v>
      </c>
      <c r="E603" s="35">
        <v>793865</v>
      </c>
      <c r="F603" s="37">
        <v>10.62</v>
      </c>
      <c r="G603" s="34">
        <v>12</v>
      </c>
      <c r="H603" s="36">
        <v>420055</v>
      </c>
      <c r="I603" s="34">
        <v>0</v>
      </c>
      <c r="J603" s="36">
        <v>0</v>
      </c>
      <c r="K603" s="31">
        <v>0.68</v>
      </c>
    </row>
    <row r="604" spans="1:11">
      <c r="A604" s="34" t="s">
        <v>674</v>
      </c>
      <c r="B604" s="19" t="s">
        <v>7</v>
      </c>
      <c r="C604" s="34" t="s">
        <v>31</v>
      </c>
      <c r="D604" s="21">
        <f ca="1">RANDBETWEEN(DATE(2019,10,1),DATE(2019,12,31))</f>
        <v>43805</v>
      </c>
      <c r="E604" s="35">
        <v>715107</v>
      </c>
      <c r="F604" s="34">
        <v>10.81</v>
      </c>
      <c r="G604" s="34">
        <v>11</v>
      </c>
      <c r="H604" s="36">
        <v>259858</v>
      </c>
      <c r="I604" s="34">
        <v>0</v>
      </c>
      <c r="J604" s="36">
        <v>0</v>
      </c>
      <c r="K604" s="31">
        <v>0.7</v>
      </c>
    </row>
    <row r="605" spans="1:11">
      <c r="A605" s="34" t="s">
        <v>675</v>
      </c>
      <c r="B605" s="34" t="s">
        <v>6</v>
      </c>
      <c r="C605" s="34" t="s">
        <v>36</v>
      </c>
      <c r="D605" s="21">
        <f ca="1">RANDBETWEEN(DATE(2021,1,1),DATE(2021,3,31))</f>
        <v>44274</v>
      </c>
      <c r="E605" s="35">
        <v>218272</v>
      </c>
      <c r="F605" s="34">
        <v>7.13</v>
      </c>
      <c r="G605" s="34">
        <v>8</v>
      </c>
      <c r="H605" s="36">
        <v>157249</v>
      </c>
      <c r="I605" s="34">
        <v>0</v>
      </c>
      <c r="J605" s="36">
        <v>0</v>
      </c>
      <c r="K605" s="30">
        <v>0.744</v>
      </c>
    </row>
    <row r="606" spans="1:11">
      <c r="A606" s="34" t="s">
        <v>676</v>
      </c>
      <c r="B606" s="34" t="s">
        <v>10</v>
      </c>
      <c r="C606" s="34" t="s">
        <v>29</v>
      </c>
      <c r="D606" s="21">
        <f ca="1">RANDBETWEEN(DATE(2019,4,1),DATE(2019,6,30))</f>
        <v>43591</v>
      </c>
      <c r="E606" s="35">
        <v>2836237</v>
      </c>
      <c r="F606" s="34">
        <v>9.64</v>
      </c>
      <c r="G606" s="34">
        <v>43</v>
      </c>
      <c r="H606" s="36">
        <v>1180653</v>
      </c>
      <c r="I606" s="34">
        <v>0</v>
      </c>
      <c r="J606" s="36">
        <v>0</v>
      </c>
      <c r="K606" s="31">
        <v>0.71</v>
      </c>
    </row>
    <row r="607" spans="1:11">
      <c r="A607" s="34" t="s">
        <v>677</v>
      </c>
      <c r="B607" s="34" t="s">
        <v>6</v>
      </c>
      <c r="C607" s="34" t="s">
        <v>36</v>
      </c>
      <c r="D607" s="21">
        <f ca="1">RANDBETWEEN(DATE(2021,1,1),DATE(2021,3,31))</f>
        <v>44249</v>
      </c>
      <c r="E607" s="35">
        <v>854672</v>
      </c>
      <c r="F607" s="34">
        <v>7.83</v>
      </c>
      <c r="G607" s="34">
        <v>11</v>
      </c>
      <c r="H607" s="36">
        <v>716472</v>
      </c>
      <c r="I607" s="34">
        <v>0</v>
      </c>
      <c r="J607" s="36">
        <v>0</v>
      </c>
      <c r="K607" s="30">
        <v>0.744</v>
      </c>
    </row>
    <row r="608" spans="1:11">
      <c r="A608" s="34" t="s">
        <v>678</v>
      </c>
      <c r="B608" s="34" t="s">
        <v>10</v>
      </c>
      <c r="C608" s="34" t="s">
        <v>34</v>
      </c>
      <c r="D608" s="21">
        <f ca="1">RANDBETWEEN(DATE(2020,7,1),DATE(2020,9,30))</f>
        <v>44022</v>
      </c>
      <c r="E608" s="35">
        <v>688079</v>
      </c>
      <c r="F608" s="34">
        <v>8.61</v>
      </c>
      <c r="G608" s="34">
        <v>6</v>
      </c>
      <c r="H608" s="36">
        <v>458121</v>
      </c>
      <c r="I608" s="34">
        <v>1</v>
      </c>
      <c r="J608" s="36">
        <v>308257</v>
      </c>
      <c r="K608" s="31">
        <v>0.68</v>
      </c>
    </row>
    <row r="609" spans="1:11">
      <c r="A609" s="34" t="s">
        <v>679</v>
      </c>
      <c r="B609" s="34" t="s">
        <v>8</v>
      </c>
      <c r="C609" s="34" t="s">
        <v>41</v>
      </c>
      <c r="D609" s="21">
        <f ca="1">RANDBETWEEN(DATE(2022,4,1),DATE(2022,6,30))</f>
        <v>44670</v>
      </c>
      <c r="E609" s="35">
        <v>434899</v>
      </c>
      <c r="F609" s="34">
        <v>8.48</v>
      </c>
      <c r="G609" s="34">
        <v>218</v>
      </c>
      <c r="H609" s="36">
        <v>105227</v>
      </c>
      <c r="I609" s="34">
        <v>0</v>
      </c>
      <c r="J609" s="36">
        <v>0</v>
      </c>
      <c r="K609" s="30">
        <v>0.727</v>
      </c>
    </row>
    <row r="610" spans="1:11">
      <c r="A610" s="34" t="s">
        <v>680</v>
      </c>
      <c r="B610" s="34" t="s">
        <v>8</v>
      </c>
      <c r="C610" s="34" t="s">
        <v>45</v>
      </c>
      <c r="D610" s="21">
        <f ca="1">RANDBETWEEN(DATE(2023,4,1),DATE(2023,6,30))</f>
        <v>45020</v>
      </c>
      <c r="E610" s="35">
        <v>6074059</v>
      </c>
      <c r="F610" s="34">
        <v>8.15</v>
      </c>
      <c r="G610" s="34">
        <v>126</v>
      </c>
      <c r="H610" s="36">
        <v>5192967</v>
      </c>
      <c r="I610" s="34">
        <v>0</v>
      </c>
      <c r="J610" s="36">
        <v>0</v>
      </c>
      <c r="K610" s="31">
        <v>0.73</v>
      </c>
    </row>
    <row r="611" spans="1:11">
      <c r="A611" s="34" t="s">
        <v>681</v>
      </c>
      <c r="B611" s="34" t="s">
        <v>10</v>
      </c>
      <c r="C611" s="34" t="s">
        <v>42</v>
      </c>
      <c r="D611" s="21">
        <f ca="1">RANDBETWEEN(DATE(2022,7,1),DATE(2022,9,30))</f>
        <v>44783</v>
      </c>
      <c r="E611" s="35">
        <v>670409</v>
      </c>
      <c r="F611" s="34">
        <v>10.89</v>
      </c>
      <c r="G611" s="34">
        <v>106</v>
      </c>
      <c r="H611" s="36">
        <v>252057</v>
      </c>
      <c r="I611" s="34">
        <v>0</v>
      </c>
      <c r="J611" s="36">
        <v>0</v>
      </c>
      <c r="K611" s="31">
        <v>0.73</v>
      </c>
    </row>
    <row r="612" spans="1:11">
      <c r="A612" s="34" t="s">
        <v>682</v>
      </c>
      <c r="B612" s="34" t="s">
        <v>10</v>
      </c>
      <c r="C612" s="34" t="s">
        <v>46</v>
      </c>
      <c r="D612" s="21">
        <f ca="1">RANDBETWEEN(DATE(2023,7,1),DATE(2023,9,30))</f>
        <v>45174</v>
      </c>
      <c r="E612" s="35">
        <v>1487950</v>
      </c>
      <c r="F612" s="34">
        <v>10.54</v>
      </c>
      <c r="G612" s="34">
        <v>86</v>
      </c>
      <c r="H612" s="36">
        <v>723045</v>
      </c>
      <c r="I612" s="34">
        <v>0</v>
      </c>
      <c r="J612" s="36">
        <v>0</v>
      </c>
      <c r="K612" s="31">
        <v>0.76</v>
      </c>
    </row>
    <row r="613" spans="1:11">
      <c r="A613" s="34" t="s">
        <v>683</v>
      </c>
      <c r="B613" s="34" t="s">
        <v>10</v>
      </c>
      <c r="C613" s="34" t="s">
        <v>43</v>
      </c>
      <c r="D613" s="21">
        <f ca="1">RANDBETWEEN(DATE(2022,10,1),DATE(2022,12,31))</f>
        <v>44848</v>
      </c>
      <c r="E613" s="35">
        <v>2073221</v>
      </c>
      <c r="F613" s="34">
        <v>11.19</v>
      </c>
      <c r="G613" s="34">
        <v>88</v>
      </c>
      <c r="H613" s="36">
        <v>1105458</v>
      </c>
      <c r="I613" s="34">
        <v>0</v>
      </c>
      <c r="J613" s="36">
        <v>0</v>
      </c>
      <c r="K613" s="31">
        <v>0.71</v>
      </c>
    </row>
    <row r="614" spans="1:11">
      <c r="A614" s="34" t="s">
        <v>684</v>
      </c>
      <c r="B614" s="34" t="s">
        <v>9</v>
      </c>
      <c r="C614" s="34" t="s">
        <v>44</v>
      </c>
      <c r="D614" s="21">
        <f ca="1">RANDBETWEEN(DATE(2023,1,1),DATE(2023,3,31))</f>
        <v>44930</v>
      </c>
      <c r="E614" s="35">
        <v>217148</v>
      </c>
      <c r="F614" s="37">
        <v>10.72</v>
      </c>
      <c r="G614" s="34">
        <v>15</v>
      </c>
      <c r="H614" s="36">
        <v>110362</v>
      </c>
      <c r="I614" s="34">
        <v>0</v>
      </c>
      <c r="J614" s="36">
        <v>0</v>
      </c>
      <c r="K614" s="31">
        <v>0.73</v>
      </c>
    </row>
    <row r="615" spans="1:11">
      <c r="A615" s="34" t="s">
        <v>685</v>
      </c>
      <c r="B615" s="34" t="s">
        <v>8</v>
      </c>
      <c r="C615" s="34" t="s">
        <v>34</v>
      </c>
      <c r="D615" s="21">
        <f ca="1">RANDBETWEEN(DATE(2020,7,1),DATE(2020,9,30))</f>
        <v>44062</v>
      </c>
      <c r="E615" s="35">
        <v>4584385</v>
      </c>
      <c r="F615" s="34">
        <v>7.85</v>
      </c>
      <c r="G615" s="34">
        <v>83</v>
      </c>
      <c r="H615" s="36">
        <v>3528378</v>
      </c>
      <c r="I615" s="34">
        <v>0</v>
      </c>
      <c r="J615" s="36">
        <v>0</v>
      </c>
      <c r="K615" s="31">
        <v>0.68</v>
      </c>
    </row>
    <row r="616" spans="1:11">
      <c r="A616" s="34" t="s">
        <v>686</v>
      </c>
      <c r="B616" s="34" t="s">
        <v>10</v>
      </c>
      <c r="C616" s="34" t="s">
        <v>39</v>
      </c>
      <c r="D616" s="21">
        <f ca="1">RANDBETWEEN(DATE(2021,10,1),DATE(2021,12,31))</f>
        <v>44483</v>
      </c>
      <c r="E616" s="35">
        <v>1318912</v>
      </c>
      <c r="F616" s="34">
        <v>11.44</v>
      </c>
      <c r="G616" s="34">
        <v>69</v>
      </c>
      <c r="H616" s="36">
        <v>134750</v>
      </c>
      <c r="I616" s="34">
        <v>0</v>
      </c>
      <c r="J616" s="36">
        <v>0</v>
      </c>
      <c r="K616" s="31">
        <v>0.71</v>
      </c>
    </row>
    <row r="617" spans="1:11">
      <c r="A617" s="34" t="s">
        <v>687</v>
      </c>
      <c r="B617" s="34" t="s">
        <v>6</v>
      </c>
      <c r="C617" s="34" t="s">
        <v>35</v>
      </c>
      <c r="D617" s="21">
        <f ca="1">RANDBETWEEN(DATE(2020,10,1),DATE(2020,12,31))</f>
        <v>44172</v>
      </c>
      <c r="E617" s="35">
        <v>95400</v>
      </c>
      <c r="F617" s="34">
        <v>7.03</v>
      </c>
      <c r="G617" s="34">
        <v>11</v>
      </c>
      <c r="H617" s="36">
        <v>65666</v>
      </c>
      <c r="I617" s="34">
        <v>1</v>
      </c>
      <c r="J617" s="36">
        <v>12743</v>
      </c>
      <c r="K617" s="31">
        <v>0.68</v>
      </c>
    </row>
    <row r="618" spans="1:11">
      <c r="A618" s="34" t="s">
        <v>688</v>
      </c>
      <c r="B618" s="34" t="s">
        <v>10</v>
      </c>
      <c r="C618" s="34" t="s">
        <v>43</v>
      </c>
      <c r="D618" s="21">
        <f ca="1">RANDBETWEEN(DATE(2022,10,1),DATE(2022,12,31))</f>
        <v>44895</v>
      </c>
      <c r="E618" s="35">
        <v>1679770</v>
      </c>
      <c r="F618" s="34">
        <v>8.73</v>
      </c>
      <c r="G618" s="34">
        <v>7</v>
      </c>
      <c r="H618" s="36">
        <v>1041695</v>
      </c>
      <c r="I618" s="34">
        <v>0</v>
      </c>
      <c r="J618" s="36">
        <v>0</v>
      </c>
      <c r="K618" s="31">
        <v>0.71</v>
      </c>
    </row>
    <row r="619" spans="1:11">
      <c r="A619" s="34" t="s">
        <v>689</v>
      </c>
      <c r="B619" s="34" t="s">
        <v>10</v>
      </c>
      <c r="C619" s="34" t="s">
        <v>42</v>
      </c>
      <c r="D619" s="21">
        <f ca="1">RANDBETWEEN(DATE(2022,7,1),DATE(2022,9,30))</f>
        <v>44764</v>
      </c>
      <c r="E619" s="35">
        <v>4074420</v>
      </c>
      <c r="F619" s="34">
        <v>10.43</v>
      </c>
      <c r="G619" s="34">
        <v>113</v>
      </c>
      <c r="H619" s="36">
        <v>3680973</v>
      </c>
      <c r="I619" s="34">
        <v>1</v>
      </c>
      <c r="J619" s="36">
        <v>2270110</v>
      </c>
      <c r="K619" s="31">
        <v>0.73</v>
      </c>
    </row>
    <row r="620" spans="1:11">
      <c r="A620" s="34" t="s">
        <v>690</v>
      </c>
      <c r="B620" s="34" t="s">
        <v>9</v>
      </c>
      <c r="C620" s="34" t="s">
        <v>45</v>
      </c>
      <c r="D620" s="21">
        <f ca="1">RANDBETWEEN(DATE(2023,4,1),DATE(2023,6,30))</f>
        <v>45066</v>
      </c>
      <c r="E620" s="35">
        <v>1405772</v>
      </c>
      <c r="F620" s="37">
        <v>10.99</v>
      </c>
      <c r="G620" s="34">
        <v>44</v>
      </c>
      <c r="H620" s="36">
        <v>913890</v>
      </c>
      <c r="I620" s="34">
        <v>0</v>
      </c>
      <c r="J620" s="36">
        <v>0</v>
      </c>
      <c r="K620" s="31">
        <v>0.73</v>
      </c>
    </row>
    <row r="621" spans="1:11">
      <c r="A621" s="34" t="s">
        <v>691</v>
      </c>
      <c r="B621" s="34" t="s">
        <v>9</v>
      </c>
      <c r="C621" s="34" t="s">
        <v>36</v>
      </c>
      <c r="D621" s="21">
        <f ca="1">RANDBETWEEN(DATE(2021,1,1),DATE(2021,3,31))</f>
        <v>44231</v>
      </c>
      <c r="E621" s="35">
        <v>1380492</v>
      </c>
      <c r="F621" s="37">
        <v>11.41</v>
      </c>
      <c r="G621" s="34">
        <v>17</v>
      </c>
      <c r="H621" s="36">
        <v>624090</v>
      </c>
      <c r="I621" s="34">
        <v>0</v>
      </c>
      <c r="J621" s="36">
        <v>0</v>
      </c>
      <c r="K621" s="30">
        <v>0.744</v>
      </c>
    </row>
    <row r="622" spans="1:11">
      <c r="A622" s="34" t="s">
        <v>692</v>
      </c>
      <c r="B622" s="34" t="s">
        <v>9</v>
      </c>
      <c r="C622" s="34" t="s">
        <v>43</v>
      </c>
      <c r="D622" s="21">
        <f ca="1">RANDBETWEEN(DATE(2022,10,1),DATE(2022,12,31))</f>
        <v>44900</v>
      </c>
      <c r="E622" s="35">
        <v>1564771</v>
      </c>
      <c r="F622" s="37">
        <v>11.59</v>
      </c>
      <c r="G622" s="34">
        <v>22</v>
      </c>
      <c r="H622" s="36">
        <v>1164893</v>
      </c>
      <c r="I622" s="34">
        <v>0</v>
      </c>
      <c r="J622" s="36">
        <v>0</v>
      </c>
      <c r="K622" s="31">
        <v>0.71</v>
      </c>
    </row>
    <row r="623" spans="1:11">
      <c r="A623" s="34" t="s">
        <v>693</v>
      </c>
      <c r="B623" s="34" t="s">
        <v>9</v>
      </c>
      <c r="C623" s="34" t="s">
        <v>41</v>
      </c>
      <c r="D623" s="21">
        <f ca="1">RANDBETWEEN(DATE(2022,4,1),DATE(2022,6,30))</f>
        <v>44658</v>
      </c>
      <c r="E623" s="35">
        <v>29801</v>
      </c>
      <c r="F623" s="37">
        <v>10.24</v>
      </c>
      <c r="G623" s="34">
        <v>26</v>
      </c>
      <c r="H623" s="36">
        <v>9705</v>
      </c>
      <c r="I623" s="34">
        <v>0</v>
      </c>
      <c r="J623" s="36">
        <v>0</v>
      </c>
      <c r="K623" s="30">
        <v>0.727</v>
      </c>
    </row>
    <row r="624" spans="1:11">
      <c r="A624" s="34" t="s">
        <v>694</v>
      </c>
      <c r="B624" s="34" t="s">
        <v>6</v>
      </c>
      <c r="C624" s="34" t="s">
        <v>35</v>
      </c>
      <c r="D624" s="21">
        <f ca="1">RANDBETWEEN(DATE(2020,10,1),DATE(2020,12,31))</f>
        <v>44157</v>
      </c>
      <c r="E624" s="35">
        <v>706307</v>
      </c>
      <c r="F624" s="34">
        <v>7.14</v>
      </c>
      <c r="G624" s="34">
        <v>10</v>
      </c>
      <c r="H624" s="36">
        <v>646163</v>
      </c>
      <c r="I624" s="34">
        <v>0</v>
      </c>
      <c r="J624" s="36">
        <v>0</v>
      </c>
      <c r="K624" s="31">
        <v>0.68</v>
      </c>
    </row>
    <row r="625" spans="1:11">
      <c r="A625" s="34" t="s">
        <v>695</v>
      </c>
      <c r="B625" s="34" t="s">
        <v>8</v>
      </c>
      <c r="C625" s="34" t="s">
        <v>29</v>
      </c>
      <c r="D625" s="21">
        <f ca="1">RANDBETWEEN(DATE(2019,4,1),DATE(2019,6,30))</f>
        <v>43573</v>
      </c>
      <c r="E625" s="35">
        <v>4231791</v>
      </c>
      <c r="F625" s="34">
        <v>8.05</v>
      </c>
      <c r="G625" s="34">
        <v>71</v>
      </c>
      <c r="H625" s="36">
        <v>4212012</v>
      </c>
      <c r="I625" s="34">
        <v>0</v>
      </c>
      <c r="J625" s="36">
        <v>0</v>
      </c>
      <c r="K625" s="31">
        <v>0.71</v>
      </c>
    </row>
    <row r="626" spans="1:11">
      <c r="A626" s="34" t="s">
        <v>696</v>
      </c>
      <c r="B626" s="19" t="s">
        <v>7</v>
      </c>
      <c r="C626" s="34" t="s">
        <v>46</v>
      </c>
      <c r="D626" s="21">
        <f ca="1">RANDBETWEEN(DATE(2023,7,1),DATE(2023,9,30))</f>
        <v>45110</v>
      </c>
      <c r="E626" s="35">
        <v>62049</v>
      </c>
      <c r="F626" s="34">
        <v>11.13</v>
      </c>
      <c r="G626" s="34">
        <v>9</v>
      </c>
      <c r="H626" s="36">
        <v>12022</v>
      </c>
      <c r="I626" s="34">
        <v>0</v>
      </c>
      <c r="J626" s="36">
        <v>0</v>
      </c>
      <c r="K626" s="31">
        <v>0.76</v>
      </c>
    </row>
    <row r="627" spans="1:11">
      <c r="A627" s="34" t="s">
        <v>697</v>
      </c>
      <c r="B627" s="34" t="s">
        <v>8</v>
      </c>
      <c r="C627" s="34" t="s">
        <v>34</v>
      </c>
      <c r="D627" s="21">
        <f ca="1">RANDBETWEEN(DATE(2020,7,1),DATE(2020,9,30))</f>
        <v>44039</v>
      </c>
      <c r="E627" s="35">
        <v>8549405</v>
      </c>
      <c r="F627" s="34">
        <v>7.81</v>
      </c>
      <c r="G627" s="34">
        <v>246</v>
      </c>
      <c r="H627" s="36">
        <v>2940385</v>
      </c>
      <c r="I627" s="34">
        <v>0</v>
      </c>
      <c r="J627" s="36">
        <v>0</v>
      </c>
      <c r="K627" s="31">
        <v>0.68</v>
      </c>
    </row>
    <row r="628" spans="1:11">
      <c r="A628" s="34" t="s">
        <v>698</v>
      </c>
      <c r="B628" s="19" t="s">
        <v>7</v>
      </c>
      <c r="C628" s="34" t="s">
        <v>41</v>
      </c>
      <c r="D628" s="21">
        <f ca="1">RANDBETWEEN(DATE(2022,4,1),DATE(2022,6,30))</f>
        <v>44709</v>
      </c>
      <c r="E628" s="35">
        <v>183253</v>
      </c>
      <c r="F628" s="34">
        <v>12.87</v>
      </c>
      <c r="G628" s="34">
        <v>16</v>
      </c>
      <c r="H628" s="36">
        <v>178368</v>
      </c>
      <c r="I628" s="34">
        <v>0</v>
      </c>
      <c r="J628" s="36">
        <v>0</v>
      </c>
      <c r="K628" s="30">
        <v>0.727</v>
      </c>
    </row>
    <row r="629" spans="1:11">
      <c r="A629" s="34" t="s">
        <v>699</v>
      </c>
      <c r="B629" s="34" t="s">
        <v>8</v>
      </c>
      <c r="C629" s="34" t="s">
        <v>31</v>
      </c>
      <c r="D629" s="21">
        <f ca="1">RANDBETWEEN(DATE(2019,10,1),DATE(2019,12,31))</f>
        <v>43740</v>
      </c>
      <c r="E629" s="35">
        <v>328604</v>
      </c>
      <c r="F629" s="34">
        <v>8.05</v>
      </c>
      <c r="G629" s="34">
        <v>261</v>
      </c>
      <c r="H629" s="36">
        <v>95105</v>
      </c>
      <c r="I629" s="34">
        <v>0</v>
      </c>
      <c r="J629" s="36">
        <v>0</v>
      </c>
      <c r="K629" s="31">
        <v>0.7</v>
      </c>
    </row>
    <row r="630" spans="1:11">
      <c r="A630" s="34" t="s">
        <v>700</v>
      </c>
      <c r="B630" s="34" t="s">
        <v>10</v>
      </c>
      <c r="C630" s="34" t="s">
        <v>33</v>
      </c>
      <c r="D630" s="21">
        <f ca="1">RANDBETWEEN(DATE(2020,4,1),DATE(2020,6,30))</f>
        <v>43943</v>
      </c>
      <c r="E630" s="35">
        <v>3645065</v>
      </c>
      <c r="F630" s="34">
        <v>10.45</v>
      </c>
      <c r="G630" s="34">
        <v>74</v>
      </c>
      <c r="H630" s="36">
        <v>1874772</v>
      </c>
      <c r="I630" s="34">
        <v>1</v>
      </c>
      <c r="J630" s="36">
        <v>868395</v>
      </c>
      <c r="K630" s="31">
        <v>0.72</v>
      </c>
    </row>
    <row r="631" spans="1:11">
      <c r="A631" s="34" t="s">
        <v>701</v>
      </c>
      <c r="B631" s="34" t="s">
        <v>6</v>
      </c>
      <c r="C631" s="34" t="s">
        <v>39</v>
      </c>
      <c r="D631" s="21">
        <f ca="1">RANDBETWEEN(DATE(2021,10,1),DATE(2021,12,31))</f>
        <v>44536</v>
      </c>
      <c r="E631" s="35">
        <v>861123</v>
      </c>
      <c r="F631" s="34">
        <v>7.84</v>
      </c>
      <c r="G631" s="34">
        <v>8</v>
      </c>
      <c r="H631" s="36">
        <v>670331</v>
      </c>
      <c r="I631" s="34">
        <v>0</v>
      </c>
      <c r="J631" s="36">
        <v>0</v>
      </c>
      <c r="K631" s="31">
        <v>0.71</v>
      </c>
    </row>
    <row r="632" spans="1:11">
      <c r="A632" s="34" t="s">
        <v>702</v>
      </c>
      <c r="B632" s="34" t="s">
        <v>10</v>
      </c>
      <c r="C632" s="34" t="s">
        <v>36</v>
      </c>
      <c r="D632" s="21">
        <f ca="1">RANDBETWEEN(DATE(2021,1,1),DATE(2021,3,31))</f>
        <v>44202</v>
      </c>
      <c r="E632" s="35">
        <v>1178475</v>
      </c>
      <c r="F632" s="34">
        <v>10.43</v>
      </c>
      <c r="G632" s="34">
        <v>89</v>
      </c>
      <c r="H632" s="36">
        <v>605596</v>
      </c>
      <c r="I632" s="34">
        <v>0</v>
      </c>
      <c r="J632" s="36">
        <v>0</v>
      </c>
      <c r="K632" s="30">
        <v>0.744</v>
      </c>
    </row>
    <row r="633" spans="1:11">
      <c r="A633" s="34" t="s">
        <v>703</v>
      </c>
      <c r="B633" s="34" t="s">
        <v>9</v>
      </c>
      <c r="C633" s="34" t="s">
        <v>40</v>
      </c>
      <c r="D633" s="21">
        <f ca="1">RANDBETWEEN(DATE(2022,1,1),DATE(2022,3,31))</f>
        <v>44651</v>
      </c>
      <c r="E633" s="35">
        <v>1750016</v>
      </c>
      <c r="F633" s="37">
        <v>9.07</v>
      </c>
      <c r="G633" s="34">
        <v>11</v>
      </c>
      <c r="H633" s="36">
        <v>277240</v>
      </c>
      <c r="I633" s="34">
        <v>1</v>
      </c>
      <c r="J633" s="36">
        <v>45509</v>
      </c>
      <c r="K633" s="31">
        <v>0.71</v>
      </c>
    </row>
    <row r="634" spans="1:11">
      <c r="A634" s="34" t="s">
        <v>704</v>
      </c>
      <c r="B634" s="34" t="s">
        <v>8</v>
      </c>
      <c r="C634" s="34" t="s">
        <v>38</v>
      </c>
      <c r="D634" s="21">
        <f ca="1">RANDBETWEEN(DATE(2021,7,1),DATE(2021,9,30))</f>
        <v>44457</v>
      </c>
      <c r="E634" s="35">
        <v>3437821</v>
      </c>
      <c r="F634" s="34">
        <v>7.87</v>
      </c>
      <c r="G634" s="34">
        <v>259</v>
      </c>
      <c r="H634" s="36">
        <v>3402289</v>
      </c>
      <c r="I634" s="34">
        <v>0</v>
      </c>
      <c r="J634" s="36">
        <v>0</v>
      </c>
      <c r="K634" s="33">
        <v>0.68</v>
      </c>
    </row>
    <row r="635" spans="1:11">
      <c r="A635" s="34" t="s">
        <v>705</v>
      </c>
      <c r="B635" s="34" t="s">
        <v>8</v>
      </c>
      <c r="C635" s="34" t="s">
        <v>31</v>
      </c>
      <c r="D635" s="21">
        <f ca="1">RANDBETWEEN(DATE(2019,10,1),DATE(2019,12,31))</f>
        <v>43767</v>
      </c>
      <c r="E635" s="35">
        <v>5578559</v>
      </c>
      <c r="F635" s="34">
        <v>7.89</v>
      </c>
      <c r="G635" s="34">
        <v>111</v>
      </c>
      <c r="H635" s="36">
        <v>4526632</v>
      </c>
      <c r="I635" s="34">
        <v>0</v>
      </c>
      <c r="J635" s="36">
        <v>0</v>
      </c>
      <c r="K635" s="31">
        <v>0.7</v>
      </c>
    </row>
    <row r="636" spans="1:11">
      <c r="A636" s="34" t="s">
        <v>706</v>
      </c>
      <c r="B636" s="34" t="s">
        <v>9</v>
      </c>
      <c r="C636" s="34" t="s">
        <v>46</v>
      </c>
      <c r="D636" s="21">
        <f ca="1">RANDBETWEEN(DATE(2023,7,1),DATE(2023,9,30))</f>
        <v>45120</v>
      </c>
      <c r="E636" s="35">
        <v>1921292</v>
      </c>
      <c r="F636" s="37">
        <v>11.24</v>
      </c>
      <c r="G636" s="34">
        <v>22</v>
      </c>
      <c r="H636" s="36">
        <v>1533290</v>
      </c>
      <c r="I636" s="34">
        <v>0</v>
      </c>
      <c r="J636" s="36">
        <v>0</v>
      </c>
      <c r="K636" s="31">
        <v>0.76</v>
      </c>
    </row>
    <row r="637" spans="1:11">
      <c r="A637" s="34" t="s">
        <v>707</v>
      </c>
      <c r="B637" s="19" t="s">
        <v>7</v>
      </c>
      <c r="C637" s="34" t="s">
        <v>34</v>
      </c>
      <c r="D637" s="21">
        <f ca="1">RANDBETWEEN(DATE(2020,7,1),DATE(2020,9,30))</f>
        <v>44078</v>
      </c>
      <c r="E637" s="35">
        <v>911157</v>
      </c>
      <c r="F637" s="34">
        <v>12.87</v>
      </c>
      <c r="G637" s="34">
        <v>43</v>
      </c>
      <c r="H637" s="36">
        <v>603231</v>
      </c>
      <c r="I637" s="34">
        <v>1</v>
      </c>
      <c r="J637" s="36">
        <v>250480</v>
      </c>
      <c r="K637" s="31">
        <v>0.68</v>
      </c>
    </row>
    <row r="638" spans="1:11">
      <c r="A638" s="34" t="s">
        <v>708</v>
      </c>
      <c r="B638" s="34" t="s">
        <v>6</v>
      </c>
      <c r="C638" s="34" t="s">
        <v>46</v>
      </c>
      <c r="D638" s="21">
        <f ca="1">RANDBETWEEN(DATE(2023,7,1),DATE(2023,9,30))</f>
        <v>45183</v>
      </c>
      <c r="E638" s="35">
        <v>985795</v>
      </c>
      <c r="F638" s="34">
        <v>8.4</v>
      </c>
      <c r="G638" s="34">
        <v>26</v>
      </c>
      <c r="H638" s="36">
        <v>641313</v>
      </c>
      <c r="I638" s="34">
        <v>0</v>
      </c>
      <c r="J638" s="36">
        <v>0</v>
      </c>
      <c r="K638" s="31">
        <v>0.76</v>
      </c>
    </row>
    <row r="639" spans="1:11">
      <c r="A639" s="34" t="s">
        <v>709</v>
      </c>
      <c r="B639" s="34" t="s">
        <v>9</v>
      </c>
      <c r="C639" s="34" t="s">
        <v>30</v>
      </c>
      <c r="D639" s="21">
        <f ca="1">RANDBETWEEN(DATE(2019,7,1),DATE(2019,9,30))</f>
        <v>43649</v>
      </c>
      <c r="E639" s="35">
        <v>228861</v>
      </c>
      <c r="F639" s="37">
        <v>11.01</v>
      </c>
      <c r="G639" s="34">
        <v>47</v>
      </c>
      <c r="H639" s="36">
        <v>14669</v>
      </c>
      <c r="I639" s="34">
        <v>1</v>
      </c>
      <c r="J639" s="36">
        <v>8481</v>
      </c>
      <c r="K639" s="31">
        <v>0.71</v>
      </c>
    </row>
    <row r="640" spans="1:11">
      <c r="A640" s="34" t="s">
        <v>710</v>
      </c>
      <c r="B640" s="34" t="s">
        <v>6</v>
      </c>
      <c r="C640" s="34" t="s">
        <v>37</v>
      </c>
      <c r="D640" s="21">
        <f ca="1">RANDBETWEEN(DATE(2021,4,1),DATE(2021,6,30))</f>
        <v>44377</v>
      </c>
      <c r="E640" s="35">
        <v>264408</v>
      </c>
      <c r="F640" s="34">
        <v>7.13</v>
      </c>
      <c r="G640" s="34">
        <v>9</v>
      </c>
      <c r="H640" s="36">
        <v>260411</v>
      </c>
      <c r="I640" s="34">
        <v>1</v>
      </c>
      <c r="J640" s="36">
        <v>87849</v>
      </c>
      <c r="K640" s="31">
        <v>0.72</v>
      </c>
    </row>
    <row r="641" spans="1:11">
      <c r="A641" s="34" t="s">
        <v>711</v>
      </c>
      <c r="B641" s="19" t="s">
        <v>7</v>
      </c>
      <c r="C641" s="34" t="s">
        <v>45</v>
      </c>
      <c r="D641" s="21">
        <f ca="1">RANDBETWEEN(DATE(2023,4,1),DATE(2023,6,30))</f>
        <v>45075</v>
      </c>
      <c r="E641" s="35">
        <v>1886031</v>
      </c>
      <c r="F641" s="34">
        <v>12.72</v>
      </c>
      <c r="G641" s="34">
        <v>42</v>
      </c>
      <c r="H641" s="36">
        <v>1229610</v>
      </c>
      <c r="I641" s="34">
        <v>1</v>
      </c>
      <c r="J641" s="36">
        <v>813173</v>
      </c>
      <c r="K641" s="31">
        <v>0.73</v>
      </c>
    </row>
    <row r="642" spans="1:11">
      <c r="A642" s="34" t="s">
        <v>712</v>
      </c>
      <c r="B642" s="34" t="s">
        <v>9</v>
      </c>
      <c r="C642" s="34" t="s">
        <v>33</v>
      </c>
      <c r="D642" s="21">
        <f ca="1">RANDBETWEEN(DATE(2020,4,1),DATE(2020,6,30))</f>
        <v>43969</v>
      </c>
      <c r="E642" s="35">
        <v>1013257</v>
      </c>
      <c r="F642" s="37">
        <v>9.13</v>
      </c>
      <c r="G642" s="34">
        <v>8</v>
      </c>
      <c r="H642" s="36">
        <v>623535</v>
      </c>
      <c r="I642" s="34">
        <v>0</v>
      </c>
      <c r="J642" s="36">
        <v>0</v>
      </c>
      <c r="K642" s="31">
        <v>0.72</v>
      </c>
    </row>
    <row r="643" spans="1:11">
      <c r="A643" s="34" t="s">
        <v>713</v>
      </c>
      <c r="B643" s="34" t="s">
        <v>9</v>
      </c>
      <c r="C643" s="34" t="s">
        <v>36</v>
      </c>
      <c r="D643" s="21">
        <f ca="1">RANDBETWEEN(DATE(2021,1,1),DATE(2021,3,31))</f>
        <v>44244</v>
      </c>
      <c r="E643" s="35">
        <v>571331</v>
      </c>
      <c r="F643" s="37">
        <v>11.3</v>
      </c>
      <c r="G643" s="34">
        <v>41</v>
      </c>
      <c r="H643" s="36">
        <v>206815</v>
      </c>
      <c r="I643" s="34">
        <v>0</v>
      </c>
      <c r="J643" s="36">
        <v>0</v>
      </c>
      <c r="K643" s="30">
        <v>0.744</v>
      </c>
    </row>
    <row r="644" spans="1:11">
      <c r="A644" s="34" t="s">
        <v>714</v>
      </c>
      <c r="B644" s="34" t="s">
        <v>10</v>
      </c>
      <c r="C644" s="34" t="s">
        <v>43</v>
      </c>
      <c r="D644" s="21">
        <f ca="1">RANDBETWEEN(DATE(2022,10,1),DATE(2022,12,31))</f>
        <v>44835</v>
      </c>
      <c r="E644" s="35">
        <v>1115094</v>
      </c>
      <c r="F644" s="34">
        <v>11.43</v>
      </c>
      <c r="G644" s="34">
        <v>95</v>
      </c>
      <c r="H644" s="36">
        <v>146203</v>
      </c>
      <c r="I644" s="34">
        <v>0</v>
      </c>
      <c r="J644" s="36">
        <v>0</v>
      </c>
      <c r="K644" s="31">
        <v>0.71</v>
      </c>
    </row>
    <row r="645" spans="1:11">
      <c r="A645" s="34" t="s">
        <v>715</v>
      </c>
      <c r="B645" s="34" t="s">
        <v>10</v>
      </c>
      <c r="C645" s="34" t="s">
        <v>39</v>
      </c>
      <c r="D645" s="21">
        <f ca="1">RANDBETWEEN(DATE(2021,10,1),DATE(2021,12,31))</f>
        <v>44471</v>
      </c>
      <c r="E645" s="35">
        <v>4637880</v>
      </c>
      <c r="F645" s="34">
        <v>11.05</v>
      </c>
      <c r="G645" s="34">
        <v>75</v>
      </c>
      <c r="H645" s="36">
        <v>933133</v>
      </c>
      <c r="I645" s="34">
        <v>0</v>
      </c>
      <c r="J645" s="36">
        <v>0</v>
      </c>
      <c r="K645" s="31">
        <v>0.71</v>
      </c>
    </row>
    <row r="646" spans="1:11">
      <c r="A646" s="34" t="s">
        <v>716</v>
      </c>
      <c r="B646" s="34" t="s">
        <v>9</v>
      </c>
      <c r="C646" s="34" t="s">
        <v>35</v>
      </c>
      <c r="D646" s="21">
        <f ca="1">RANDBETWEEN(DATE(2020,10,1),DATE(2020,12,31))</f>
        <v>44177</v>
      </c>
      <c r="E646" s="35">
        <v>1754695</v>
      </c>
      <c r="F646" s="37">
        <v>10.76</v>
      </c>
      <c r="G646" s="34">
        <v>37</v>
      </c>
      <c r="H646" s="36">
        <v>850581</v>
      </c>
      <c r="I646" s="34">
        <v>1</v>
      </c>
      <c r="J646" s="36">
        <v>146500</v>
      </c>
      <c r="K646" s="31">
        <v>0.68</v>
      </c>
    </row>
    <row r="647" spans="1:11">
      <c r="A647" s="34" t="s">
        <v>717</v>
      </c>
      <c r="B647" s="34" t="s">
        <v>10</v>
      </c>
      <c r="C647" s="34" t="s">
        <v>48</v>
      </c>
      <c r="D647" s="21">
        <f ca="1">RANDBETWEEN(DATE(2024,1,1),DATE(2024,3,31))</f>
        <v>45362</v>
      </c>
      <c r="E647" s="35">
        <v>467922</v>
      </c>
      <c r="F647" s="34">
        <v>9.05</v>
      </c>
      <c r="G647" s="34">
        <v>9</v>
      </c>
      <c r="H647" s="36">
        <v>37318</v>
      </c>
      <c r="I647" s="34">
        <v>1</v>
      </c>
      <c r="J647" s="36">
        <v>13717</v>
      </c>
      <c r="K647" s="31">
        <v>0.75</v>
      </c>
    </row>
    <row r="648" spans="1:11">
      <c r="A648" s="34" t="s">
        <v>718</v>
      </c>
      <c r="B648" s="19" t="s">
        <v>7</v>
      </c>
      <c r="C648" s="34" t="s">
        <v>38</v>
      </c>
      <c r="D648" s="21">
        <f ca="1">RANDBETWEEN(DATE(2021,7,1),DATE(2021,9,30))</f>
        <v>44427</v>
      </c>
      <c r="E648" s="35">
        <v>1077860</v>
      </c>
      <c r="F648" s="34">
        <v>12.89</v>
      </c>
      <c r="G648" s="34">
        <v>23</v>
      </c>
      <c r="H648" s="36">
        <v>711948</v>
      </c>
      <c r="I648" s="34">
        <v>0</v>
      </c>
      <c r="J648" s="36">
        <v>0</v>
      </c>
      <c r="K648" s="33">
        <v>0.68</v>
      </c>
    </row>
    <row r="649" spans="1:11">
      <c r="A649" s="34" t="s">
        <v>719</v>
      </c>
      <c r="B649" s="34" t="s">
        <v>8</v>
      </c>
      <c r="C649" s="34" t="s">
        <v>37</v>
      </c>
      <c r="D649" s="21">
        <f ca="1">RANDBETWEEN(DATE(2021,4,1),DATE(2021,6,30))</f>
        <v>44349</v>
      </c>
      <c r="E649" s="35">
        <v>6797069</v>
      </c>
      <c r="F649" s="34">
        <v>7.54</v>
      </c>
      <c r="G649" s="34">
        <v>294</v>
      </c>
      <c r="H649" s="36">
        <v>4622169</v>
      </c>
      <c r="I649" s="34">
        <v>0</v>
      </c>
      <c r="J649" s="36">
        <v>0</v>
      </c>
      <c r="K649" s="31">
        <v>0.72</v>
      </c>
    </row>
    <row r="650" spans="1:11">
      <c r="A650" s="34" t="s">
        <v>720</v>
      </c>
      <c r="B650" s="34" t="s">
        <v>8</v>
      </c>
      <c r="C650" s="34" t="s">
        <v>33</v>
      </c>
      <c r="D650" s="21">
        <f ca="1">RANDBETWEEN(DATE(2020,4,1),DATE(2020,6,30))</f>
        <v>43962</v>
      </c>
      <c r="E650" s="35">
        <v>4431845</v>
      </c>
      <c r="F650" s="34">
        <v>8.45</v>
      </c>
      <c r="G650" s="34">
        <v>282</v>
      </c>
      <c r="H650" s="36">
        <v>1230051</v>
      </c>
      <c r="I650" s="34">
        <v>1</v>
      </c>
      <c r="J650" s="36">
        <v>258059</v>
      </c>
      <c r="K650" s="31">
        <v>0.72</v>
      </c>
    </row>
    <row r="651" spans="1:11">
      <c r="A651" s="34" t="s">
        <v>721</v>
      </c>
      <c r="B651" s="34" t="s">
        <v>8</v>
      </c>
      <c r="C651" s="34" t="s">
        <v>30</v>
      </c>
      <c r="D651" s="21">
        <f ca="1">RANDBETWEEN(DATE(2019,7,1),DATE(2019,9,30))</f>
        <v>43738</v>
      </c>
      <c r="E651" s="35">
        <v>5564189</v>
      </c>
      <c r="F651" s="34">
        <v>7.74</v>
      </c>
      <c r="G651" s="34">
        <v>237</v>
      </c>
      <c r="H651" s="36">
        <v>4521993</v>
      </c>
      <c r="I651" s="34">
        <v>0</v>
      </c>
      <c r="J651" s="36">
        <v>0</v>
      </c>
      <c r="K651" s="31">
        <v>0.71</v>
      </c>
    </row>
    <row r="652" spans="1:11">
      <c r="A652" s="34" t="s">
        <v>722</v>
      </c>
      <c r="B652" s="19" t="s">
        <v>7</v>
      </c>
      <c r="C652" s="34" t="s">
        <v>40</v>
      </c>
      <c r="D652" s="21">
        <f ca="1">RANDBETWEEN(DATE(2022,1,1),DATE(2022,3,31))</f>
        <v>44577</v>
      </c>
      <c r="E652" s="35">
        <v>549936</v>
      </c>
      <c r="F652" s="34">
        <v>12.14</v>
      </c>
      <c r="G652" s="34">
        <v>34</v>
      </c>
      <c r="H652" s="36">
        <v>294281</v>
      </c>
      <c r="I652" s="34">
        <v>0</v>
      </c>
      <c r="J652" s="36">
        <v>0</v>
      </c>
      <c r="K652" s="31">
        <v>0.71</v>
      </c>
    </row>
    <row r="653" spans="1:11">
      <c r="A653" s="34" t="s">
        <v>723</v>
      </c>
      <c r="B653" s="34" t="s">
        <v>9</v>
      </c>
      <c r="C653" s="34" t="s">
        <v>48</v>
      </c>
      <c r="D653" s="21">
        <f ca="1">RANDBETWEEN(DATE(2024,1,1),DATE(2024,3,31))</f>
        <v>45303</v>
      </c>
      <c r="E653" s="35">
        <v>1370933</v>
      </c>
      <c r="F653" s="37">
        <v>10.98</v>
      </c>
      <c r="G653" s="34">
        <v>22</v>
      </c>
      <c r="H653" s="36">
        <v>406101</v>
      </c>
      <c r="I653" s="34">
        <v>1</v>
      </c>
      <c r="J653" s="36">
        <v>261192</v>
      </c>
      <c r="K653" s="31">
        <v>0.75</v>
      </c>
    </row>
    <row r="654" spans="1:11">
      <c r="A654" s="34" t="s">
        <v>724</v>
      </c>
      <c r="B654" s="34" t="s">
        <v>9</v>
      </c>
      <c r="C654" s="34" t="s">
        <v>33</v>
      </c>
      <c r="D654" s="21">
        <f ca="1">RANDBETWEEN(DATE(2020,4,1),DATE(2020,6,30))</f>
        <v>43944</v>
      </c>
      <c r="E654" s="35">
        <v>104673</v>
      </c>
      <c r="F654" s="37">
        <v>10.57</v>
      </c>
      <c r="G654" s="34">
        <v>55</v>
      </c>
      <c r="H654" s="36">
        <v>12192</v>
      </c>
      <c r="I654" s="34">
        <v>1</v>
      </c>
      <c r="J654" s="36">
        <v>5843</v>
      </c>
      <c r="K654" s="31">
        <v>0.72</v>
      </c>
    </row>
    <row r="655" spans="1:11">
      <c r="A655" s="34" t="s">
        <v>725</v>
      </c>
      <c r="B655" s="34" t="s">
        <v>9</v>
      </c>
      <c r="C655" s="34" t="s">
        <v>46</v>
      </c>
      <c r="D655" s="21">
        <f ca="1">RANDBETWEEN(DATE(2023,7,1),DATE(2023,9,30))</f>
        <v>45180</v>
      </c>
      <c r="E655" s="35">
        <v>234845</v>
      </c>
      <c r="F655" s="37">
        <v>11.48</v>
      </c>
      <c r="G655" s="34">
        <v>23</v>
      </c>
      <c r="H655" s="36">
        <v>140735</v>
      </c>
      <c r="I655" s="34">
        <v>1</v>
      </c>
      <c r="J655" s="36">
        <v>41849</v>
      </c>
      <c r="K655" s="31">
        <v>0.76</v>
      </c>
    </row>
    <row r="656" spans="1:11">
      <c r="A656" s="34" t="s">
        <v>726</v>
      </c>
      <c r="B656" s="34" t="s">
        <v>6</v>
      </c>
      <c r="C656" s="34" t="s">
        <v>33</v>
      </c>
      <c r="D656" s="21">
        <f ca="1">RANDBETWEEN(DATE(2020,4,1),DATE(2020,6,30))</f>
        <v>44012</v>
      </c>
      <c r="E656" s="35">
        <v>414140</v>
      </c>
      <c r="F656" s="34">
        <v>7.45</v>
      </c>
      <c r="G656" s="34">
        <v>10</v>
      </c>
      <c r="H656" s="36">
        <v>32332</v>
      </c>
      <c r="I656" s="34">
        <v>0</v>
      </c>
      <c r="J656" s="36">
        <v>0</v>
      </c>
      <c r="K656" s="31">
        <v>0.72</v>
      </c>
    </row>
    <row r="657" spans="1:11">
      <c r="A657" s="34" t="s">
        <v>727</v>
      </c>
      <c r="B657" s="34" t="s">
        <v>10</v>
      </c>
      <c r="C657" s="34" t="s">
        <v>41</v>
      </c>
      <c r="D657" s="21">
        <f ca="1">RANDBETWEEN(DATE(2022,4,1),DATE(2022,6,30))</f>
        <v>44655</v>
      </c>
      <c r="E657" s="35">
        <v>1529293</v>
      </c>
      <c r="F657" s="34">
        <v>10.23</v>
      </c>
      <c r="G657" s="34">
        <v>15</v>
      </c>
      <c r="H657" s="36">
        <v>821241</v>
      </c>
      <c r="I657" s="34">
        <v>1</v>
      </c>
      <c r="J657" s="36">
        <v>86675</v>
      </c>
      <c r="K657" s="30">
        <v>0.727</v>
      </c>
    </row>
    <row r="658" spans="1:11">
      <c r="A658" s="34" t="s">
        <v>728</v>
      </c>
      <c r="B658" s="34" t="s">
        <v>10</v>
      </c>
      <c r="C658" s="34" t="s">
        <v>48</v>
      </c>
      <c r="D658" s="21">
        <f ca="1">RANDBETWEEN(DATE(2024,1,1),DATE(2024,3,31))</f>
        <v>45295</v>
      </c>
      <c r="E658" s="35">
        <v>999532</v>
      </c>
      <c r="F658" s="34">
        <v>10.49</v>
      </c>
      <c r="G658" s="34">
        <v>83</v>
      </c>
      <c r="H658" s="36">
        <v>253595</v>
      </c>
      <c r="I658" s="34">
        <v>0</v>
      </c>
      <c r="J658" s="36">
        <v>0</v>
      </c>
      <c r="K658" s="31">
        <v>0.75</v>
      </c>
    </row>
    <row r="659" spans="1:11">
      <c r="A659" s="34" t="s">
        <v>729</v>
      </c>
      <c r="B659" s="34" t="s">
        <v>8</v>
      </c>
      <c r="C659" s="34" t="s">
        <v>44</v>
      </c>
      <c r="D659" s="21">
        <f ca="1">RANDBETWEEN(DATE(2023,1,1),DATE(2023,3,31))</f>
        <v>44939</v>
      </c>
      <c r="E659" s="35">
        <v>1915650</v>
      </c>
      <c r="F659" s="34">
        <v>7.77</v>
      </c>
      <c r="G659" s="34">
        <v>111</v>
      </c>
      <c r="H659" s="36">
        <v>115817</v>
      </c>
      <c r="I659" s="34">
        <v>0</v>
      </c>
      <c r="J659" s="36">
        <v>0</v>
      </c>
      <c r="K659" s="31">
        <v>0.73</v>
      </c>
    </row>
    <row r="660" spans="1:11">
      <c r="A660" s="34" t="s">
        <v>730</v>
      </c>
      <c r="B660" s="34" t="s">
        <v>8</v>
      </c>
      <c r="C660" s="34" t="s">
        <v>38</v>
      </c>
      <c r="D660" s="21">
        <f ca="1">RANDBETWEEN(DATE(2021,7,1),DATE(2021,9,30))</f>
        <v>44439</v>
      </c>
      <c r="E660" s="35">
        <v>3595188</v>
      </c>
      <c r="F660" s="34">
        <v>7.61</v>
      </c>
      <c r="G660" s="34">
        <v>85</v>
      </c>
      <c r="H660" s="36">
        <v>3362653</v>
      </c>
      <c r="I660" s="34">
        <v>0</v>
      </c>
      <c r="J660" s="36">
        <v>0</v>
      </c>
      <c r="K660" s="33">
        <v>0.68</v>
      </c>
    </row>
    <row r="661" spans="1:11">
      <c r="A661" s="34" t="s">
        <v>731</v>
      </c>
      <c r="B661" s="34" t="s">
        <v>10</v>
      </c>
      <c r="C661" s="34" t="s">
        <v>41</v>
      </c>
      <c r="D661" s="21">
        <f ca="1">RANDBETWEEN(DATE(2022,4,1),DATE(2022,6,30))</f>
        <v>44658</v>
      </c>
      <c r="E661" s="35">
        <v>3342794</v>
      </c>
      <c r="F661" s="34">
        <v>9.72</v>
      </c>
      <c r="G661" s="34">
        <v>47</v>
      </c>
      <c r="H661" s="36">
        <v>1312089</v>
      </c>
      <c r="I661" s="34">
        <v>0</v>
      </c>
      <c r="J661" s="36">
        <v>0</v>
      </c>
      <c r="K661" s="30">
        <v>0.727</v>
      </c>
    </row>
    <row r="662" spans="1:11">
      <c r="A662" s="34" t="s">
        <v>732</v>
      </c>
      <c r="B662" s="34" t="s">
        <v>6</v>
      </c>
      <c r="C662" s="34" t="s">
        <v>33</v>
      </c>
      <c r="D662" s="21">
        <f ca="1">RANDBETWEEN(DATE(2020,4,1),DATE(2020,6,30))</f>
        <v>43971</v>
      </c>
      <c r="E662" s="35">
        <v>459929</v>
      </c>
      <c r="F662" s="34">
        <v>7.82</v>
      </c>
      <c r="G662" s="34">
        <v>45</v>
      </c>
      <c r="H662" s="36">
        <v>441545</v>
      </c>
      <c r="I662" s="34">
        <v>0</v>
      </c>
      <c r="J662" s="36">
        <v>0</v>
      </c>
      <c r="K662" s="31">
        <v>0.72</v>
      </c>
    </row>
    <row r="663" spans="1:11">
      <c r="A663" s="34" t="s">
        <v>733</v>
      </c>
      <c r="B663" s="34" t="s">
        <v>9</v>
      </c>
      <c r="C663" s="34" t="s">
        <v>42</v>
      </c>
      <c r="D663" s="21">
        <f ca="1">RANDBETWEEN(DATE(2022,7,1),DATE(2022,9,30))</f>
        <v>44780</v>
      </c>
      <c r="E663" s="35">
        <v>449971</v>
      </c>
      <c r="F663" s="37">
        <v>10.41</v>
      </c>
      <c r="G663" s="34">
        <v>9</v>
      </c>
      <c r="H663" s="36">
        <v>218217</v>
      </c>
      <c r="I663" s="34">
        <v>0</v>
      </c>
      <c r="J663" s="36">
        <v>0</v>
      </c>
      <c r="K663" s="31">
        <v>0.73</v>
      </c>
    </row>
    <row r="664" spans="1:11">
      <c r="A664" s="34" t="s">
        <v>734</v>
      </c>
      <c r="B664" s="34" t="s">
        <v>8</v>
      </c>
      <c r="C664" s="34" t="s">
        <v>46</v>
      </c>
      <c r="D664" s="21">
        <f ca="1">RANDBETWEEN(DATE(2023,7,1),DATE(2023,9,30))</f>
        <v>45116</v>
      </c>
      <c r="E664" s="35">
        <v>2341624</v>
      </c>
      <c r="F664" s="34">
        <v>7.56</v>
      </c>
      <c r="G664" s="34">
        <v>279</v>
      </c>
      <c r="H664" s="36">
        <v>1526117</v>
      </c>
      <c r="I664" s="34">
        <v>0</v>
      </c>
      <c r="J664" s="36">
        <v>0</v>
      </c>
      <c r="K664" s="31">
        <v>0.76</v>
      </c>
    </row>
    <row r="665" spans="1:11">
      <c r="A665" s="34" t="s">
        <v>735</v>
      </c>
      <c r="B665" s="19" t="s">
        <v>7</v>
      </c>
      <c r="C665" s="34" t="s">
        <v>44</v>
      </c>
      <c r="D665" s="21">
        <f ca="1">RANDBETWEEN(DATE(2023,1,1),DATE(2023,3,31))</f>
        <v>44937</v>
      </c>
      <c r="E665" s="35">
        <v>1691454</v>
      </c>
      <c r="F665" s="34">
        <v>10.64</v>
      </c>
      <c r="G665" s="34">
        <v>10</v>
      </c>
      <c r="H665" s="36">
        <v>173295</v>
      </c>
      <c r="I665" s="34">
        <v>0</v>
      </c>
      <c r="J665" s="36">
        <v>0</v>
      </c>
      <c r="K665" s="31">
        <v>0.73</v>
      </c>
    </row>
    <row r="666" spans="1:11">
      <c r="A666" s="34" t="s">
        <v>736</v>
      </c>
      <c r="B666" s="34" t="s">
        <v>9</v>
      </c>
      <c r="C666" s="34" t="s">
        <v>34</v>
      </c>
      <c r="D666" s="21">
        <f ca="1">RANDBETWEEN(DATE(2020,7,1),DATE(2020,9,30))</f>
        <v>44051</v>
      </c>
      <c r="E666" s="35">
        <v>1108724</v>
      </c>
      <c r="F666" s="37">
        <v>10.73</v>
      </c>
      <c r="G666" s="34">
        <v>51</v>
      </c>
      <c r="H666" s="36">
        <v>996337</v>
      </c>
      <c r="I666" s="34">
        <v>1</v>
      </c>
      <c r="J666" s="36">
        <v>502078</v>
      </c>
      <c r="K666" s="31">
        <v>0.68</v>
      </c>
    </row>
    <row r="667" spans="1:11">
      <c r="A667" s="34" t="s">
        <v>737</v>
      </c>
      <c r="B667" s="34" t="s">
        <v>10</v>
      </c>
      <c r="C667" s="34" t="s">
        <v>47</v>
      </c>
      <c r="D667" s="21">
        <f ca="1">RANDBETWEEN(DATE(2023,10,1),DATE(2023,12,31))</f>
        <v>45242</v>
      </c>
      <c r="E667" s="35">
        <v>3262567</v>
      </c>
      <c r="F667" s="34">
        <v>10.05</v>
      </c>
      <c r="G667" s="34">
        <v>33</v>
      </c>
      <c r="H667" s="36">
        <v>616025</v>
      </c>
      <c r="I667" s="34">
        <v>1</v>
      </c>
      <c r="J667" s="36">
        <v>452476</v>
      </c>
      <c r="K667" s="32">
        <v>0.74</v>
      </c>
    </row>
    <row r="668" spans="1:11">
      <c r="A668" s="34" t="s">
        <v>738</v>
      </c>
      <c r="B668" s="34" t="s">
        <v>10</v>
      </c>
      <c r="C668" s="34" t="s">
        <v>48</v>
      </c>
      <c r="D668" s="21">
        <f ca="1">RANDBETWEEN(DATE(2024,1,1),DATE(2024,3,31))</f>
        <v>45367</v>
      </c>
      <c r="E668" s="35">
        <v>3025868</v>
      </c>
      <c r="F668" s="34">
        <v>10.98</v>
      </c>
      <c r="G668" s="34">
        <v>103</v>
      </c>
      <c r="H668" s="36">
        <v>2485341</v>
      </c>
      <c r="I668" s="34">
        <v>0</v>
      </c>
      <c r="J668" s="36">
        <v>0</v>
      </c>
      <c r="K668" s="31">
        <v>0.75</v>
      </c>
    </row>
    <row r="669" spans="1:11">
      <c r="A669" s="34" t="s">
        <v>739</v>
      </c>
      <c r="B669" s="34" t="s">
        <v>6</v>
      </c>
      <c r="C669" s="34" t="s">
        <v>40</v>
      </c>
      <c r="D669" s="21">
        <f ca="1">RANDBETWEEN(DATE(2022,1,1),DATE(2022,3,31))</f>
        <v>44625</v>
      </c>
      <c r="E669" s="35">
        <v>186219</v>
      </c>
      <c r="F669" s="34">
        <v>7.99</v>
      </c>
      <c r="G669" s="34">
        <v>15</v>
      </c>
      <c r="H669" s="36">
        <v>124150</v>
      </c>
      <c r="I669" s="34">
        <v>0</v>
      </c>
      <c r="J669" s="36">
        <v>0</v>
      </c>
      <c r="K669" s="31">
        <v>0.71</v>
      </c>
    </row>
    <row r="670" spans="1:11">
      <c r="A670" s="34" t="s">
        <v>740</v>
      </c>
      <c r="B670" s="34" t="s">
        <v>8</v>
      </c>
      <c r="C670" s="34" t="s">
        <v>29</v>
      </c>
      <c r="D670" s="21">
        <f ca="1">RANDBETWEEN(DATE(2019,4,1),DATE(2019,6,30))</f>
        <v>43572</v>
      </c>
      <c r="E670" s="35">
        <v>7831399</v>
      </c>
      <c r="F670" s="34">
        <v>7.61</v>
      </c>
      <c r="G670" s="34">
        <v>79</v>
      </c>
      <c r="H670" s="36">
        <v>3791075</v>
      </c>
      <c r="I670" s="34">
        <v>0</v>
      </c>
      <c r="J670" s="36">
        <v>0</v>
      </c>
      <c r="K670" s="31">
        <v>0.71</v>
      </c>
    </row>
    <row r="671" spans="1:11">
      <c r="A671" s="34" t="s">
        <v>741</v>
      </c>
      <c r="B671" s="34" t="s">
        <v>8</v>
      </c>
      <c r="C671" s="34" t="s">
        <v>46</v>
      </c>
      <c r="D671" s="21">
        <f ca="1">RANDBETWEEN(DATE(2023,7,1),DATE(2023,9,30))</f>
        <v>45172</v>
      </c>
      <c r="E671" s="35">
        <v>8248403</v>
      </c>
      <c r="F671" s="34">
        <v>8.3</v>
      </c>
      <c r="G671" s="34">
        <v>133</v>
      </c>
      <c r="H671" s="36">
        <v>996935</v>
      </c>
      <c r="I671" s="34">
        <v>0</v>
      </c>
      <c r="J671" s="36">
        <v>0</v>
      </c>
      <c r="K671" s="31">
        <v>0.76</v>
      </c>
    </row>
    <row r="672" spans="1:11">
      <c r="A672" s="34" t="s">
        <v>742</v>
      </c>
      <c r="B672" s="34" t="s">
        <v>8</v>
      </c>
      <c r="C672" s="34" t="s">
        <v>45</v>
      </c>
      <c r="D672" s="21">
        <f ca="1">RANDBETWEEN(DATE(2023,4,1),DATE(2023,6,30))</f>
        <v>45060</v>
      </c>
      <c r="E672" s="35">
        <v>7542068</v>
      </c>
      <c r="F672" s="34">
        <v>7.64</v>
      </c>
      <c r="G672" s="34">
        <v>95</v>
      </c>
      <c r="H672" s="36">
        <v>2456954</v>
      </c>
      <c r="I672" s="34">
        <v>0</v>
      </c>
      <c r="J672" s="36">
        <v>0</v>
      </c>
      <c r="K672" s="31">
        <v>0.73</v>
      </c>
    </row>
    <row r="673" spans="1:11">
      <c r="A673" s="34" t="s">
        <v>743</v>
      </c>
      <c r="B673" s="34" t="s">
        <v>9</v>
      </c>
      <c r="C673" s="34" t="s">
        <v>33</v>
      </c>
      <c r="D673" s="21">
        <f ca="1">RANDBETWEEN(DATE(2020,4,1),DATE(2020,6,30))</f>
        <v>43929</v>
      </c>
      <c r="E673" s="35">
        <v>327597</v>
      </c>
      <c r="F673" s="37">
        <v>11.66</v>
      </c>
      <c r="G673" s="34">
        <v>46</v>
      </c>
      <c r="H673" s="36">
        <v>271185</v>
      </c>
      <c r="I673" s="34">
        <v>0</v>
      </c>
      <c r="J673" s="36">
        <v>0</v>
      </c>
      <c r="K673" s="31">
        <v>0.72</v>
      </c>
    </row>
    <row r="674" spans="1:11">
      <c r="A674" s="34" t="s">
        <v>744</v>
      </c>
      <c r="B674" s="34" t="s">
        <v>10</v>
      </c>
      <c r="C674" s="34" t="s">
        <v>47</v>
      </c>
      <c r="D674" s="21">
        <f ca="1">RANDBETWEEN(DATE(2023,10,1),DATE(2023,12,31))</f>
        <v>45272</v>
      </c>
      <c r="E674" s="35">
        <v>842883</v>
      </c>
      <c r="F674" s="34">
        <v>9.29</v>
      </c>
      <c r="G674" s="34">
        <v>11</v>
      </c>
      <c r="H674" s="36">
        <v>516225</v>
      </c>
      <c r="I674" s="34">
        <v>1</v>
      </c>
      <c r="J674" s="36">
        <v>390618</v>
      </c>
      <c r="K674" s="32">
        <v>0.74</v>
      </c>
    </row>
    <row r="675" spans="1:11">
      <c r="A675" s="34" t="s">
        <v>745</v>
      </c>
      <c r="B675" s="34" t="s">
        <v>6</v>
      </c>
      <c r="C675" s="34" t="s">
        <v>38</v>
      </c>
      <c r="D675" s="21">
        <f ca="1">RANDBETWEEN(DATE(2021,7,1),DATE(2021,9,30))</f>
        <v>44434</v>
      </c>
      <c r="E675" s="35">
        <v>95710</v>
      </c>
      <c r="F675" s="34">
        <v>7.27</v>
      </c>
      <c r="G675" s="34">
        <v>10</v>
      </c>
      <c r="H675" s="36">
        <v>24358</v>
      </c>
      <c r="I675" s="34">
        <v>0</v>
      </c>
      <c r="J675" s="36">
        <v>0</v>
      </c>
      <c r="K675" s="33">
        <v>0.68</v>
      </c>
    </row>
    <row r="676" spans="1:11">
      <c r="A676" s="34" t="s">
        <v>746</v>
      </c>
      <c r="B676" s="19" t="s">
        <v>7</v>
      </c>
      <c r="C676" s="34" t="s">
        <v>36</v>
      </c>
      <c r="D676" s="21">
        <f ca="1">RANDBETWEEN(DATE(2021,1,1),DATE(2021,3,31))</f>
        <v>44268</v>
      </c>
      <c r="E676" s="35">
        <v>1807416</v>
      </c>
      <c r="F676" s="34">
        <v>11.05</v>
      </c>
      <c r="G676" s="34">
        <v>9</v>
      </c>
      <c r="H676" s="36">
        <v>1043872</v>
      </c>
      <c r="I676" s="34">
        <v>0</v>
      </c>
      <c r="J676" s="36">
        <v>0</v>
      </c>
      <c r="K676" s="30">
        <v>0.744</v>
      </c>
    </row>
    <row r="677" spans="1:11">
      <c r="A677" s="34" t="s">
        <v>747</v>
      </c>
      <c r="B677" s="34" t="s">
        <v>6</v>
      </c>
      <c r="C677" s="34" t="s">
        <v>40</v>
      </c>
      <c r="D677" s="21">
        <f ca="1">RANDBETWEEN(DATE(2022,1,1),DATE(2022,3,31))</f>
        <v>44611</v>
      </c>
      <c r="E677" s="35">
        <v>858412</v>
      </c>
      <c r="F677" s="34">
        <v>7.35</v>
      </c>
      <c r="G677" s="34">
        <v>8</v>
      </c>
      <c r="H677" s="36">
        <v>751205</v>
      </c>
      <c r="I677" s="34">
        <v>0</v>
      </c>
      <c r="J677" s="36">
        <v>0</v>
      </c>
      <c r="K677" s="31">
        <v>0.71</v>
      </c>
    </row>
    <row r="678" spans="1:11">
      <c r="A678" s="34" t="s">
        <v>748</v>
      </c>
      <c r="B678" s="34" t="s">
        <v>8</v>
      </c>
      <c r="C678" s="34" t="s">
        <v>38</v>
      </c>
      <c r="D678" s="21">
        <f ca="1">RANDBETWEEN(DATE(2021,7,1),DATE(2021,9,30))</f>
        <v>44428</v>
      </c>
      <c r="E678" s="35">
        <v>5930544</v>
      </c>
      <c r="F678" s="34">
        <v>8.25</v>
      </c>
      <c r="G678" s="34">
        <v>282</v>
      </c>
      <c r="H678" s="36">
        <v>1998512</v>
      </c>
      <c r="I678" s="34">
        <v>0</v>
      </c>
      <c r="J678" s="36">
        <v>0</v>
      </c>
      <c r="K678" s="33">
        <v>0.68</v>
      </c>
    </row>
    <row r="679" spans="1:11">
      <c r="A679" s="34" t="s">
        <v>749</v>
      </c>
      <c r="B679" s="34" t="s">
        <v>6</v>
      </c>
      <c r="C679" s="34" t="s">
        <v>40</v>
      </c>
      <c r="D679" s="21">
        <f ca="1">RANDBETWEEN(DATE(2022,1,1),DATE(2022,3,31))</f>
        <v>44594</v>
      </c>
      <c r="E679" s="35">
        <v>259709</v>
      </c>
      <c r="F679" s="34">
        <v>8.33</v>
      </c>
      <c r="G679" s="34">
        <v>42</v>
      </c>
      <c r="H679" s="36">
        <v>192130</v>
      </c>
      <c r="I679" s="34">
        <v>0</v>
      </c>
      <c r="J679" s="36">
        <v>0</v>
      </c>
      <c r="K679" s="31">
        <v>0.71</v>
      </c>
    </row>
    <row r="680" spans="1:11">
      <c r="A680" s="34" t="s">
        <v>750</v>
      </c>
      <c r="B680" s="34" t="s">
        <v>9</v>
      </c>
      <c r="C680" s="34" t="s">
        <v>29</v>
      </c>
      <c r="D680" s="21">
        <f ca="1">RANDBETWEEN(DATE(2019,4,1),DATE(2019,6,30))</f>
        <v>43597</v>
      </c>
      <c r="E680" s="35">
        <v>1474733</v>
      </c>
      <c r="F680" s="37">
        <v>10.26</v>
      </c>
      <c r="G680" s="34">
        <v>12</v>
      </c>
      <c r="H680" s="36">
        <v>1393322</v>
      </c>
      <c r="I680" s="34">
        <v>0</v>
      </c>
      <c r="J680" s="36">
        <v>0</v>
      </c>
      <c r="K680" s="31">
        <v>0.71</v>
      </c>
    </row>
    <row r="681" spans="1:11">
      <c r="A681" s="34" t="s">
        <v>751</v>
      </c>
      <c r="B681" s="34" t="s">
        <v>9</v>
      </c>
      <c r="C681" s="34" t="s">
        <v>40</v>
      </c>
      <c r="D681" s="21">
        <f ca="1">RANDBETWEEN(DATE(2022,1,1),DATE(2022,3,31))</f>
        <v>44568</v>
      </c>
      <c r="E681" s="35">
        <v>1362913</v>
      </c>
      <c r="F681" s="37">
        <v>11.9</v>
      </c>
      <c r="G681" s="34">
        <v>54</v>
      </c>
      <c r="H681" s="36">
        <v>175065</v>
      </c>
      <c r="I681" s="34">
        <v>0</v>
      </c>
      <c r="J681" s="36">
        <v>0</v>
      </c>
      <c r="K681" s="31">
        <v>0.71</v>
      </c>
    </row>
    <row r="682" spans="1:11">
      <c r="A682" s="34" t="s">
        <v>752</v>
      </c>
      <c r="B682" s="34" t="s">
        <v>6</v>
      </c>
      <c r="C682" s="34" t="s">
        <v>37</v>
      </c>
      <c r="D682" s="21">
        <f ca="1">RANDBETWEEN(DATE(2021,4,1),DATE(2021,6,30))</f>
        <v>44372</v>
      </c>
      <c r="E682" s="35">
        <v>912043</v>
      </c>
      <c r="F682" s="34">
        <v>7.8</v>
      </c>
      <c r="G682" s="34">
        <v>6</v>
      </c>
      <c r="H682" s="36">
        <v>864701</v>
      </c>
      <c r="I682" s="34">
        <v>0</v>
      </c>
      <c r="J682" s="36">
        <v>0</v>
      </c>
      <c r="K682" s="31">
        <v>0.72</v>
      </c>
    </row>
    <row r="683" spans="1:11">
      <c r="A683" s="34" t="s">
        <v>753</v>
      </c>
      <c r="B683" s="34" t="s">
        <v>8</v>
      </c>
      <c r="C683" s="34" t="s">
        <v>29</v>
      </c>
      <c r="D683" s="21">
        <f ca="1">RANDBETWEEN(DATE(2019,4,1),DATE(2019,6,30))</f>
        <v>43623</v>
      </c>
      <c r="E683" s="35">
        <v>9507987</v>
      </c>
      <c r="F683" s="34">
        <v>8.08</v>
      </c>
      <c r="G683" s="34">
        <v>290</v>
      </c>
      <c r="H683" s="36">
        <v>634639</v>
      </c>
      <c r="I683" s="34">
        <v>0</v>
      </c>
      <c r="J683" s="36">
        <v>0</v>
      </c>
      <c r="K683" s="31">
        <v>0.71</v>
      </c>
    </row>
    <row r="684" spans="1:11">
      <c r="A684" s="34" t="s">
        <v>754</v>
      </c>
      <c r="B684" s="34" t="s">
        <v>8</v>
      </c>
      <c r="C684" s="34" t="s">
        <v>39</v>
      </c>
      <c r="D684" s="21">
        <f ca="1">RANDBETWEEN(DATE(2021,10,1),DATE(2021,12,31))</f>
        <v>44498</v>
      </c>
      <c r="E684" s="35">
        <v>9816019</v>
      </c>
      <c r="F684" s="34">
        <v>8.03</v>
      </c>
      <c r="G684" s="34">
        <v>161</v>
      </c>
      <c r="H684" s="36">
        <v>8893986</v>
      </c>
      <c r="I684" s="34">
        <v>0</v>
      </c>
      <c r="J684" s="36">
        <v>0</v>
      </c>
      <c r="K684" s="31">
        <v>0.71</v>
      </c>
    </row>
    <row r="685" spans="1:11">
      <c r="A685" s="34" t="s">
        <v>755</v>
      </c>
      <c r="B685" s="19" t="s">
        <v>7</v>
      </c>
      <c r="C685" s="34" t="s">
        <v>45</v>
      </c>
      <c r="D685" s="21">
        <f ca="1">RANDBETWEEN(DATE(2023,4,1),DATE(2023,6,30))</f>
        <v>45055</v>
      </c>
      <c r="E685" s="35">
        <v>653872</v>
      </c>
      <c r="F685" s="34">
        <v>12.11</v>
      </c>
      <c r="G685" s="34">
        <v>48</v>
      </c>
      <c r="H685" s="36">
        <v>277812</v>
      </c>
      <c r="I685" s="34">
        <v>0</v>
      </c>
      <c r="J685" s="36">
        <v>0</v>
      </c>
      <c r="K685" s="31">
        <v>0.73</v>
      </c>
    </row>
    <row r="686" spans="1:11">
      <c r="A686" s="34" t="s">
        <v>756</v>
      </c>
      <c r="B686" s="34" t="s">
        <v>8</v>
      </c>
      <c r="C686" s="34" t="s">
        <v>29</v>
      </c>
      <c r="D686" s="21">
        <f ca="1">RANDBETWEEN(DATE(2019,4,1),DATE(2019,6,30))</f>
        <v>43568</v>
      </c>
      <c r="E686" s="35">
        <v>2093987</v>
      </c>
      <c r="F686" s="34">
        <v>7.74</v>
      </c>
      <c r="G686" s="34">
        <v>104</v>
      </c>
      <c r="H686" s="36">
        <v>1853561</v>
      </c>
      <c r="I686" s="34">
        <v>1</v>
      </c>
      <c r="J686" s="36">
        <v>346890</v>
      </c>
      <c r="K686" s="31">
        <v>0.71</v>
      </c>
    </row>
    <row r="687" spans="1:11">
      <c r="A687" s="34" t="s">
        <v>757</v>
      </c>
      <c r="B687" s="34" t="s">
        <v>6</v>
      </c>
      <c r="C687" s="34" t="s">
        <v>37</v>
      </c>
      <c r="D687" s="21">
        <f ca="1">RANDBETWEEN(DATE(2021,4,1),DATE(2021,6,30))</f>
        <v>44320</v>
      </c>
      <c r="E687" s="35">
        <v>81919</v>
      </c>
      <c r="F687" s="34">
        <v>7.91</v>
      </c>
      <c r="G687" s="34">
        <v>16</v>
      </c>
      <c r="H687" s="36">
        <v>26024</v>
      </c>
      <c r="I687" s="34">
        <v>1</v>
      </c>
      <c r="J687" s="36">
        <v>14475</v>
      </c>
      <c r="K687" s="31">
        <v>0.72</v>
      </c>
    </row>
    <row r="688" spans="1:11">
      <c r="A688" s="34" t="s">
        <v>758</v>
      </c>
      <c r="B688" s="34" t="s">
        <v>8</v>
      </c>
      <c r="C688" s="34" t="s">
        <v>45</v>
      </c>
      <c r="D688" s="21">
        <f ca="1">RANDBETWEEN(DATE(2023,4,1),DATE(2023,6,30))</f>
        <v>45080</v>
      </c>
      <c r="E688" s="35">
        <v>7055156</v>
      </c>
      <c r="F688" s="34">
        <v>8.06</v>
      </c>
      <c r="G688" s="34">
        <v>240</v>
      </c>
      <c r="H688" s="36">
        <v>795634</v>
      </c>
      <c r="I688" s="34">
        <v>0</v>
      </c>
      <c r="J688" s="36">
        <v>0</v>
      </c>
      <c r="K688" s="31">
        <v>0.73</v>
      </c>
    </row>
    <row r="689" spans="1:11">
      <c r="A689" s="34" t="s">
        <v>759</v>
      </c>
      <c r="B689" s="34" t="s">
        <v>8</v>
      </c>
      <c r="C689" s="34" t="s">
        <v>34</v>
      </c>
      <c r="D689" s="21">
        <f ca="1">RANDBETWEEN(DATE(2020,7,1),DATE(2020,9,30))</f>
        <v>44076</v>
      </c>
      <c r="E689" s="35">
        <v>1472939</v>
      </c>
      <c r="F689" s="34">
        <v>7.67</v>
      </c>
      <c r="G689" s="34">
        <v>146</v>
      </c>
      <c r="H689" s="36">
        <v>146858</v>
      </c>
      <c r="I689" s="34">
        <v>0</v>
      </c>
      <c r="J689" s="36">
        <v>0</v>
      </c>
      <c r="K689" s="31">
        <v>0.68</v>
      </c>
    </row>
    <row r="690" spans="1:11">
      <c r="A690" s="34" t="s">
        <v>760</v>
      </c>
      <c r="B690" s="34" t="s">
        <v>9</v>
      </c>
      <c r="C690" s="34" t="s">
        <v>30</v>
      </c>
      <c r="D690" s="21">
        <f ca="1">RANDBETWEEN(DATE(2019,7,1),DATE(2019,9,30))</f>
        <v>43698</v>
      </c>
      <c r="E690" s="35">
        <v>251599</v>
      </c>
      <c r="F690" s="37">
        <v>10.63</v>
      </c>
      <c r="G690" s="34">
        <v>19</v>
      </c>
      <c r="H690" s="36">
        <v>132421</v>
      </c>
      <c r="I690" s="34">
        <v>0</v>
      </c>
      <c r="J690" s="36">
        <v>0</v>
      </c>
      <c r="K690" s="31">
        <v>0.71</v>
      </c>
    </row>
    <row r="691" spans="1:11">
      <c r="A691" s="34" t="s">
        <v>761</v>
      </c>
      <c r="B691" s="34" t="s">
        <v>9</v>
      </c>
      <c r="C691" s="34" t="s">
        <v>34</v>
      </c>
      <c r="D691" s="21">
        <f ca="1">RANDBETWEEN(DATE(2020,7,1),DATE(2020,9,30))</f>
        <v>44052</v>
      </c>
      <c r="E691" s="35">
        <v>500924</v>
      </c>
      <c r="F691" s="37">
        <v>10.03</v>
      </c>
      <c r="G691" s="34">
        <v>47</v>
      </c>
      <c r="H691" s="36">
        <v>372336</v>
      </c>
      <c r="I691" s="34">
        <v>0</v>
      </c>
      <c r="J691" s="36">
        <v>0</v>
      </c>
      <c r="K691" s="31">
        <v>0.68</v>
      </c>
    </row>
    <row r="692" spans="1:11">
      <c r="A692" s="34" t="s">
        <v>762</v>
      </c>
      <c r="B692" s="34" t="s">
        <v>9</v>
      </c>
      <c r="C692" s="34" t="s">
        <v>39</v>
      </c>
      <c r="D692" s="21">
        <f ca="1">RANDBETWEEN(DATE(2021,10,1),DATE(2021,12,31))</f>
        <v>44520</v>
      </c>
      <c r="E692" s="35">
        <v>100571</v>
      </c>
      <c r="F692" s="37">
        <v>10.47</v>
      </c>
      <c r="G692" s="34">
        <v>38</v>
      </c>
      <c r="H692" s="36">
        <v>79168</v>
      </c>
      <c r="I692" s="34">
        <v>0</v>
      </c>
      <c r="J692" s="36">
        <v>0</v>
      </c>
      <c r="K692" s="31">
        <v>0.71</v>
      </c>
    </row>
    <row r="693" spans="1:11">
      <c r="A693" s="34" t="s">
        <v>763</v>
      </c>
      <c r="B693" s="34" t="s">
        <v>8</v>
      </c>
      <c r="C693" s="34" t="s">
        <v>40</v>
      </c>
      <c r="D693" s="21">
        <f ca="1">RANDBETWEEN(DATE(2022,1,1),DATE(2022,3,31))</f>
        <v>44643</v>
      </c>
      <c r="E693" s="35">
        <v>921979</v>
      </c>
      <c r="F693" s="34">
        <v>8.08</v>
      </c>
      <c r="G693" s="34">
        <v>297</v>
      </c>
      <c r="H693" s="36">
        <v>821491</v>
      </c>
      <c r="I693" s="34">
        <v>0</v>
      </c>
      <c r="J693" s="36">
        <v>0</v>
      </c>
      <c r="K693" s="31">
        <v>0.71</v>
      </c>
    </row>
    <row r="694" spans="1:11">
      <c r="A694" s="34" t="s">
        <v>764</v>
      </c>
      <c r="B694" s="34" t="s">
        <v>6</v>
      </c>
      <c r="C694" s="34" t="s">
        <v>40</v>
      </c>
      <c r="D694" s="21">
        <f ca="1">RANDBETWEEN(DATE(2022,1,1),DATE(2022,3,31))</f>
        <v>44613</v>
      </c>
      <c r="E694" s="35">
        <v>364294</v>
      </c>
      <c r="F694" s="34">
        <v>7.27</v>
      </c>
      <c r="G694" s="34">
        <v>10</v>
      </c>
      <c r="H694" s="36">
        <v>155572</v>
      </c>
      <c r="I694" s="34">
        <v>0</v>
      </c>
      <c r="J694" s="36">
        <v>0</v>
      </c>
      <c r="K694" s="31">
        <v>0.71</v>
      </c>
    </row>
    <row r="695" spans="1:11">
      <c r="A695" s="34" t="s">
        <v>765</v>
      </c>
      <c r="B695" s="34" t="s">
        <v>6</v>
      </c>
      <c r="C695" s="34" t="s">
        <v>31</v>
      </c>
      <c r="D695" s="21">
        <f ca="1">RANDBETWEEN(DATE(2019,10,1),DATE(2019,12,31))</f>
        <v>43796</v>
      </c>
      <c r="E695" s="35">
        <v>314285</v>
      </c>
      <c r="F695" s="34">
        <v>7.64</v>
      </c>
      <c r="G695" s="34">
        <v>12</v>
      </c>
      <c r="H695" s="36">
        <v>227530</v>
      </c>
      <c r="I695" s="34">
        <v>0</v>
      </c>
      <c r="J695" s="36">
        <v>0</v>
      </c>
      <c r="K695" s="31">
        <v>0.7</v>
      </c>
    </row>
    <row r="696" spans="1:11">
      <c r="A696" s="34" t="s">
        <v>766</v>
      </c>
      <c r="B696" s="34" t="s">
        <v>9</v>
      </c>
      <c r="C696" s="34" t="s">
        <v>35</v>
      </c>
      <c r="D696" s="21">
        <f ca="1">RANDBETWEEN(DATE(2020,10,1),DATE(2020,12,31))</f>
        <v>44138</v>
      </c>
      <c r="E696" s="35">
        <v>118563</v>
      </c>
      <c r="F696" s="37">
        <v>10.23</v>
      </c>
      <c r="G696" s="34">
        <v>32</v>
      </c>
      <c r="H696" s="36">
        <v>89184</v>
      </c>
      <c r="I696" s="34">
        <v>0</v>
      </c>
      <c r="J696" s="36">
        <v>0</v>
      </c>
      <c r="K696" s="31">
        <v>0.68</v>
      </c>
    </row>
    <row r="697" spans="1:11">
      <c r="A697" s="34" t="s">
        <v>767</v>
      </c>
      <c r="B697" s="34" t="s">
        <v>10</v>
      </c>
      <c r="C697" s="34" t="s">
        <v>29</v>
      </c>
      <c r="D697" s="21">
        <f ca="1">RANDBETWEEN(DATE(2019,4,1),DATE(2019,6,30))</f>
        <v>43577</v>
      </c>
      <c r="E697" s="35">
        <v>4219853</v>
      </c>
      <c r="F697" s="34">
        <v>8.81</v>
      </c>
      <c r="G697" s="34">
        <v>9</v>
      </c>
      <c r="H697" s="36">
        <v>980934</v>
      </c>
      <c r="I697" s="34">
        <v>0</v>
      </c>
      <c r="J697" s="36">
        <v>0</v>
      </c>
      <c r="K697" s="31">
        <v>0.71</v>
      </c>
    </row>
    <row r="698" spans="1:11">
      <c r="A698" s="34" t="s">
        <v>768</v>
      </c>
      <c r="B698" s="34" t="s">
        <v>6</v>
      </c>
      <c r="C698" s="34" t="s">
        <v>29</v>
      </c>
      <c r="D698" s="21">
        <f ca="1">RANDBETWEEN(DATE(2019,4,1),DATE(2019,6,30))</f>
        <v>43629</v>
      </c>
      <c r="E698" s="35">
        <v>84297</v>
      </c>
      <c r="F698" s="34">
        <v>8.22</v>
      </c>
      <c r="G698" s="34">
        <v>23</v>
      </c>
      <c r="H698" s="36">
        <v>23560</v>
      </c>
      <c r="I698" s="34">
        <v>0</v>
      </c>
      <c r="J698" s="36">
        <v>0</v>
      </c>
      <c r="K698" s="31">
        <v>0.71</v>
      </c>
    </row>
    <row r="699" spans="1:11">
      <c r="A699" s="34" t="s">
        <v>769</v>
      </c>
      <c r="B699" s="19" t="s">
        <v>7</v>
      </c>
      <c r="C699" s="34" t="s">
        <v>29</v>
      </c>
      <c r="D699" s="21">
        <f ca="1">RANDBETWEEN(DATE(2019,4,1),DATE(2019,6,30))</f>
        <v>43577</v>
      </c>
      <c r="E699" s="35">
        <v>89665</v>
      </c>
      <c r="F699" s="34">
        <v>12.38</v>
      </c>
      <c r="G699" s="34">
        <v>35</v>
      </c>
      <c r="H699" s="36">
        <v>41652</v>
      </c>
      <c r="I699" s="34">
        <v>0</v>
      </c>
      <c r="J699" s="36">
        <v>0</v>
      </c>
      <c r="K699" s="31">
        <v>0.71</v>
      </c>
    </row>
    <row r="700" spans="1:11">
      <c r="A700" s="34" t="s">
        <v>770</v>
      </c>
      <c r="B700" s="34" t="s">
        <v>10</v>
      </c>
      <c r="C700" s="34" t="s">
        <v>35</v>
      </c>
      <c r="D700" s="21">
        <f ca="1">RANDBETWEEN(DATE(2020,10,1),DATE(2020,12,31))</f>
        <v>44142</v>
      </c>
      <c r="E700" s="35">
        <v>3449228</v>
      </c>
      <c r="F700" s="34">
        <v>10.41</v>
      </c>
      <c r="G700" s="34">
        <v>52</v>
      </c>
      <c r="H700" s="36">
        <v>1436149</v>
      </c>
      <c r="I700" s="34">
        <v>1</v>
      </c>
      <c r="J700" s="36">
        <v>1025807</v>
      </c>
      <c r="K700" s="31">
        <v>0.68</v>
      </c>
    </row>
    <row r="701" spans="1:11">
      <c r="A701" s="34" t="s">
        <v>771</v>
      </c>
      <c r="B701" s="34" t="s">
        <v>8</v>
      </c>
      <c r="C701" s="34" t="s">
        <v>34</v>
      </c>
      <c r="D701" s="21">
        <f ca="1">RANDBETWEEN(DATE(2020,7,1),DATE(2020,9,30))</f>
        <v>44076</v>
      </c>
      <c r="E701" s="35">
        <v>7630896</v>
      </c>
      <c r="F701" s="34">
        <v>7.8</v>
      </c>
      <c r="G701" s="34">
        <v>258</v>
      </c>
      <c r="H701" s="36">
        <v>2798977</v>
      </c>
      <c r="I701" s="34">
        <v>0</v>
      </c>
      <c r="J701" s="36">
        <v>0</v>
      </c>
      <c r="K701" s="31">
        <v>0.68</v>
      </c>
    </row>
    <row r="702" spans="1:11">
      <c r="A702" s="34" t="s">
        <v>772</v>
      </c>
      <c r="B702" s="34" t="s">
        <v>10</v>
      </c>
      <c r="C702" s="34" t="s">
        <v>35</v>
      </c>
      <c r="D702" s="21">
        <f ca="1">RANDBETWEEN(DATE(2020,10,1),DATE(2020,12,31))</f>
        <v>44143</v>
      </c>
      <c r="E702" s="35">
        <v>1778562</v>
      </c>
      <c r="F702" s="34">
        <v>9.18</v>
      </c>
      <c r="G702" s="34">
        <v>11</v>
      </c>
      <c r="H702" s="36">
        <v>321920</v>
      </c>
      <c r="I702" s="34">
        <v>1</v>
      </c>
      <c r="J702" s="36">
        <v>99916</v>
      </c>
      <c r="K702" s="31">
        <v>0.68</v>
      </c>
    </row>
    <row r="703" spans="1:11">
      <c r="A703" s="34" t="s">
        <v>773</v>
      </c>
      <c r="B703" s="34" t="s">
        <v>6</v>
      </c>
      <c r="C703" s="34" t="s">
        <v>46</v>
      </c>
      <c r="D703" s="21">
        <f ca="1">RANDBETWEEN(DATE(2023,7,1),DATE(2023,9,30))</f>
        <v>45164</v>
      </c>
      <c r="E703" s="35">
        <v>282859</v>
      </c>
      <c r="F703" s="34">
        <v>7.73</v>
      </c>
      <c r="G703" s="34">
        <v>6</v>
      </c>
      <c r="H703" s="36">
        <v>50446</v>
      </c>
      <c r="I703" s="34">
        <v>0</v>
      </c>
      <c r="J703" s="36">
        <v>0</v>
      </c>
      <c r="K703" s="31">
        <v>0.76</v>
      </c>
    </row>
    <row r="704" spans="1:11">
      <c r="A704" s="34" t="s">
        <v>774</v>
      </c>
      <c r="B704" s="34" t="s">
        <v>9</v>
      </c>
      <c r="C704" s="34" t="s">
        <v>44</v>
      </c>
      <c r="D704" s="21">
        <f ca="1">RANDBETWEEN(DATE(2023,1,1),DATE(2023,3,31))</f>
        <v>44983</v>
      </c>
      <c r="E704" s="35">
        <v>458358</v>
      </c>
      <c r="F704" s="37">
        <v>10.27</v>
      </c>
      <c r="G704" s="34">
        <v>36</v>
      </c>
      <c r="H704" s="36">
        <v>391629</v>
      </c>
      <c r="I704" s="34">
        <v>0</v>
      </c>
      <c r="J704" s="36">
        <v>0</v>
      </c>
      <c r="K704" s="31">
        <v>0.73</v>
      </c>
    </row>
    <row r="705" spans="1:11">
      <c r="A705" s="34" t="s">
        <v>775</v>
      </c>
      <c r="B705" s="34" t="s">
        <v>6</v>
      </c>
      <c r="C705" s="34" t="s">
        <v>33</v>
      </c>
      <c r="D705" s="21">
        <f ca="1">RANDBETWEEN(DATE(2020,4,1),DATE(2020,6,30))</f>
        <v>43979</v>
      </c>
      <c r="E705" s="35">
        <v>531702</v>
      </c>
      <c r="F705" s="34">
        <v>7.92</v>
      </c>
      <c r="G705" s="34">
        <v>10</v>
      </c>
      <c r="H705" s="36">
        <v>319828</v>
      </c>
      <c r="I705" s="34">
        <v>1</v>
      </c>
      <c r="J705" s="36">
        <v>224720</v>
      </c>
      <c r="K705" s="31">
        <v>0.72</v>
      </c>
    </row>
    <row r="706" spans="1:11">
      <c r="A706" s="34" t="s">
        <v>776</v>
      </c>
      <c r="B706" s="34" t="s">
        <v>9</v>
      </c>
      <c r="C706" s="34" t="s">
        <v>35</v>
      </c>
      <c r="D706" s="21">
        <f ca="1">RANDBETWEEN(DATE(2020,10,1),DATE(2020,12,31))</f>
        <v>44176</v>
      </c>
      <c r="E706" s="35">
        <v>168863</v>
      </c>
      <c r="F706" s="37">
        <v>10.66</v>
      </c>
      <c r="G706" s="34">
        <v>21</v>
      </c>
      <c r="H706" s="36">
        <v>9569</v>
      </c>
      <c r="I706" s="34">
        <v>1</v>
      </c>
      <c r="J706" s="36">
        <v>2760</v>
      </c>
      <c r="K706" s="31">
        <v>0.68</v>
      </c>
    </row>
    <row r="707" spans="1:11">
      <c r="A707" s="34" t="s">
        <v>777</v>
      </c>
      <c r="B707" s="34" t="s">
        <v>6</v>
      </c>
      <c r="C707" s="34" t="s">
        <v>45</v>
      </c>
      <c r="D707" s="21">
        <f ca="1">RANDBETWEEN(DATE(2023,4,1),DATE(2023,6,30))</f>
        <v>45095</v>
      </c>
      <c r="E707" s="35">
        <v>157921</v>
      </c>
      <c r="F707" s="34">
        <v>7.46</v>
      </c>
      <c r="G707" s="34">
        <v>8</v>
      </c>
      <c r="H707" s="36">
        <v>105805</v>
      </c>
      <c r="I707" s="34">
        <v>0</v>
      </c>
      <c r="J707" s="36">
        <v>0</v>
      </c>
      <c r="K707" s="31">
        <v>0.73</v>
      </c>
    </row>
    <row r="708" spans="1:11">
      <c r="A708" s="34" t="s">
        <v>778</v>
      </c>
      <c r="B708" s="34" t="s">
        <v>10</v>
      </c>
      <c r="C708" s="34" t="s">
        <v>32</v>
      </c>
      <c r="D708" s="21">
        <f ca="1">RANDBETWEEN(DATE(2020,1,1),DATE(2020,3,31))</f>
        <v>43911</v>
      </c>
      <c r="E708" s="35">
        <v>2673617</v>
      </c>
      <c r="F708" s="34">
        <v>10.49</v>
      </c>
      <c r="G708" s="34">
        <v>38</v>
      </c>
      <c r="H708" s="36">
        <v>346151</v>
      </c>
      <c r="I708" s="34">
        <v>0</v>
      </c>
      <c r="J708" s="36">
        <v>0</v>
      </c>
      <c r="K708" s="31">
        <v>0.68</v>
      </c>
    </row>
    <row r="709" spans="1:11">
      <c r="A709" s="34" t="s">
        <v>779</v>
      </c>
      <c r="B709" s="34" t="s">
        <v>10</v>
      </c>
      <c r="C709" s="34" t="s">
        <v>46</v>
      </c>
      <c r="D709" s="21">
        <f ca="1">RANDBETWEEN(DATE(2023,7,1),DATE(2023,9,30))</f>
        <v>45145</v>
      </c>
      <c r="E709" s="35">
        <v>896207</v>
      </c>
      <c r="F709" s="34">
        <v>9.44</v>
      </c>
      <c r="G709" s="34">
        <v>11</v>
      </c>
      <c r="H709" s="36">
        <v>736995</v>
      </c>
      <c r="I709" s="34">
        <v>1</v>
      </c>
      <c r="J709" s="36">
        <v>117009</v>
      </c>
      <c r="K709" s="31">
        <v>0.76</v>
      </c>
    </row>
    <row r="710" spans="1:11">
      <c r="A710" s="34" t="s">
        <v>780</v>
      </c>
      <c r="B710" s="34" t="s">
        <v>8</v>
      </c>
      <c r="C710" s="34" t="s">
        <v>44</v>
      </c>
      <c r="D710" s="21">
        <f ca="1">RANDBETWEEN(DATE(2023,1,1),DATE(2023,3,31))</f>
        <v>44995</v>
      </c>
      <c r="E710" s="35">
        <v>7609812</v>
      </c>
      <c r="F710" s="34">
        <v>8.42</v>
      </c>
      <c r="G710" s="34">
        <v>163</v>
      </c>
      <c r="H710" s="36">
        <v>2427056</v>
      </c>
      <c r="I710" s="34">
        <v>0</v>
      </c>
      <c r="J710" s="36">
        <v>0</v>
      </c>
      <c r="K710" s="31">
        <v>0.73</v>
      </c>
    </row>
    <row r="711" spans="1:11">
      <c r="A711" s="34" t="s">
        <v>781</v>
      </c>
      <c r="B711" s="34" t="s">
        <v>10</v>
      </c>
      <c r="C711" s="34" t="s">
        <v>36</v>
      </c>
      <c r="D711" s="21">
        <f ca="1">RANDBETWEEN(DATE(2021,1,1),DATE(2021,3,31))</f>
        <v>44225</v>
      </c>
      <c r="E711" s="35">
        <v>378379</v>
      </c>
      <c r="F711" s="34">
        <v>11.19</v>
      </c>
      <c r="G711" s="34">
        <v>64</v>
      </c>
      <c r="H711" s="36">
        <v>120224</v>
      </c>
      <c r="I711" s="34">
        <v>1</v>
      </c>
      <c r="J711" s="36">
        <v>94670</v>
      </c>
      <c r="K711" s="30">
        <v>0.744</v>
      </c>
    </row>
    <row r="712" spans="1:11">
      <c r="A712" s="34" t="s">
        <v>782</v>
      </c>
      <c r="B712" s="34" t="s">
        <v>10</v>
      </c>
      <c r="C712" s="34" t="s">
        <v>45</v>
      </c>
      <c r="D712" s="21">
        <f ca="1">RANDBETWEEN(DATE(2023,4,1),DATE(2023,6,30))</f>
        <v>45096</v>
      </c>
      <c r="E712" s="35">
        <v>2128180</v>
      </c>
      <c r="F712" s="34">
        <v>11.44</v>
      </c>
      <c r="G712" s="34">
        <v>119</v>
      </c>
      <c r="H712" s="36">
        <v>1530562</v>
      </c>
      <c r="I712" s="34">
        <v>0</v>
      </c>
      <c r="J712" s="36">
        <v>0</v>
      </c>
      <c r="K712" s="31">
        <v>0.73</v>
      </c>
    </row>
    <row r="713" spans="1:11">
      <c r="A713" s="34" t="s">
        <v>783</v>
      </c>
      <c r="B713" s="34" t="s">
        <v>6</v>
      </c>
      <c r="C713" s="34" t="s">
        <v>44</v>
      </c>
      <c r="D713" s="21">
        <f ca="1">RANDBETWEEN(DATE(2023,1,1),DATE(2023,3,31))</f>
        <v>44943</v>
      </c>
      <c r="E713" s="35">
        <v>359587</v>
      </c>
      <c r="F713" s="34">
        <v>7.69</v>
      </c>
      <c r="G713" s="34">
        <v>47</v>
      </c>
      <c r="H713" s="36">
        <v>343356</v>
      </c>
      <c r="I713" s="34">
        <v>0</v>
      </c>
      <c r="J713" s="36">
        <v>0</v>
      </c>
      <c r="K713" s="31">
        <v>0.73</v>
      </c>
    </row>
    <row r="714" spans="1:11">
      <c r="A714" s="34" t="s">
        <v>784</v>
      </c>
      <c r="B714" s="34" t="s">
        <v>9</v>
      </c>
      <c r="C714" s="34" t="s">
        <v>36</v>
      </c>
      <c r="D714" s="21">
        <f ca="1">RANDBETWEEN(DATE(2021,1,1),DATE(2021,3,31))</f>
        <v>44282</v>
      </c>
      <c r="E714" s="35">
        <v>1756934</v>
      </c>
      <c r="F714" s="37">
        <v>11.51</v>
      </c>
      <c r="G714" s="34">
        <v>42</v>
      </c>
      <c r="H714" s="36">
        <v>761435</v>
      </c>
      <c r="I714" s="34">
        <v>0</v>
      </c>
      <c r="J714" s="36">
        <v>0</v>
      </c>
      <c r="K714" s="30">
        <v>0.744</v>
      </c>
    </row>
    <row r="715" spans="1:11">
      <c r="A715" s="34" t="s">
        <v>785</v>
      </c>
      <c r="B715" s="34" t="s">
        <v>8</v>
      </c>
      <c r="C715" s="34" t="s">
        <v>48</v>
      </c>
      <c r="D715" s="21">
        <f ca="1">RANDBETWEEN(DATE(2024,1,1),DATE(2024,3,31))</f>
        <v>45357</v>
      </c>
      <c r="E715" s="35">
        <v>2652906</v>
      </c>
      <c r="F715" s="34">
        <v>8</v>
      </c>
      <c r="G715" s="34">
        <v>158</v>
      </c>
      <c r="H715" s="36">
        <v>1881006</v>
      </c>
      <c r="I715" s="34">
        <v>0</v>
      </c>
      <c r="J715" s="36">
        <v>0</v>
      </c>
      <c r="K715" s="31">
        <v>0.75</v>
      </c>
    </row>
    <row r="716" spans="1:11">
      <c r="A716" s="34" t="s">
        <v>786</v>
      </c>
      <c r="B716" s="34" t="s">
        <v>8</v>
      </c>
      <c r="C716" s="34" t="s">
        <v>31</v>
      </c>
      <c r="D716" s="21">
        <f ca="1">RANDBETWEEN(DATE(2019,10,1),DATE(2019,12,31))</f>
        <v>43818</v>
      </c>
      <c r="E716" s="35">
        <v>1632011</v>
      </c>
      <c r="F716" s="34">
        <v>8.36</v>
      </c>
      <c r="G716" s="34">
        <v>200</v>
      </c>
      <c r="H716" s="36">
        <v>931098</v>
      </c>
      <c r="I716" s="34">
        <v>0</v>
      </c>
      <c r="J716" s="36">
        <v>0</v>
      </c>
      <c r="K716" s="31">
        <v>0.7</v>
      </c>
    </row>
    <row r="717" spans="1:11">
      <c r="A717" s="34" t="s">
        <v>787</v>
      </c>
      <c r="B717" s="34" t="s">
        <v>9</v>
      </c>
      <c r="C717" s="34" t="s">
        <v>37</v>
      </c>
      <c r="D717" s="21">
        <f ca="1">RANDBETWEEN(DATE(2021,4,1),DATE(2021,6,30))</f>
        <v>44364</v>
      </c>
      <c r="E717" s="35">
        <v>690077</v>
      </c>
      <c r="F717" s="37">
        <v>11.36</v>
      </c>
      <c r="G717" s="34">
        <v>22</v>
      </c>
      <c r="H717" s="36">
        <v>38396</v>
      </c>
      <c r="I717" s="34">
        <v>0</v>
      </c>
      <c r="J717" s="36">
        <v>0</v>
      </c>
      <c r="K717" s="31">
        <v>0.72</v>
      </c>
    </row>
    <row r="718" spans="1:11">
      <c r="A718" s="34" t="s">
        <v>788</v>
      </c>
      <c r="B718" s="34" t="s">
        <v>10</v>
      </c>
      <c r="C718" s="34" t="s">
        <v>33</v>
      </c>
      <c r="D718" s="21">
        <f ca="1">RANDBETWEEN(DATE(2020,4,1),DATE(2020,6,30))</f>
        <v>43995</v>
      </c>
      <c r="E718" s="35">
        <v>3636111</v>
      </c>
      <c r="F718" s="34">
        <v>8.82</v>
      </c>
      <c r="G718" s="34">
        <v>6</v>
      </c>
      <c r="H718" s="36">
        <v>3076830</v>
      </c>
      <c r="I718" s="34">
        <v>0</v>
      </c>
      <c r="J718" s="36">
        <v>0</v>
      </c>
      <c r="K718" s="31">
        <v>0.72</v>
      </c>
    </row>
    <row r="719" spans="1:11">
      <c r="A719" s="34" t="s">
        <v>789</v>
      </c>
      <c r="B719" s="34" t="s">
        <v>10</v>
      </c>
      <c r="C719" s="34" t="s">
        <v>30</v>
      </c>
      <c r="D719" s="21">
        <f ca="1">RANDBETWEEN(DATE(2019,7,1),DATE(2019,9,30))</f>
        <v>43650</v>
      </c>
      <c r="E719" s="35">
        <v>2408332</v>
      </c>
      <c r="F719" s="34">
        <v>10.4</v>
      </c>
      <c r="G719" s="34">
        <v>16</v>
      </c>
      <c r="H719" s="36">
        <v>1023777</v>
      </c>
      <c r="I719" s="34">
        <v>0</v>
      </c>
      <c r="J719" s="36">
        <v>0</v>
      </c>
      <c r="K719" s="31">
        <v>0.71</v>
      </c>
    </row>
    <row r="720" spans="1:11">
      <c r="A720" s="34" t="s">
        <v>790</v>
      </c>
      <c r="B720" s="34" t="s">
        <v>8</v>
      </c>
      <c r="C720" s="34" t="s">
        <v>47</v>
      </c>
      <c r="D720" s="21">
        <f ca="1">RANDBETWEEN(DATE(2023,10,1),DATE(2023,12,31))</f>
        <v>45263</v>
      </c>
      <c r="E720" s="35">
        <v>8936294</v>
      </c>
      <c r="F720" s="34">
        <v>8.23</v>
      </c>
      <c r="G720" s="34">
        <v>95</v>
      </c>
      <c r="H720" s="36">
        <v>3284632</v>
      </c>
      <c r="I720" s="34">
        <v>0</v>
      </c>
      <c r="J720" s="36">
        <v>0</v>
      </c>
      <c r="K720" s="32">
        <v>0.74</v>
      </c>
    </row>
    <row r="721" spans="1:11">
      <c r="A721" s="34" t="s">
        <v>791</v>
      </c>
      <c r="B721" s="34" t="s">
        <v>10</v>
      </c>
      <c r="C721" s="34" t="s">
        <v>48</v>
      </c>
      <c r="D721" s="21">
        <f ca="1">RANDBETWEEN(DATE(2024,1,1),DATE(2024,3,31))</f>
        <v>45341</v>
      </c>
      <c r="E721" s="35">
        <v>1578092</v>
      </c>
      <c r="F721" s="34">
        <v>10.89</v>
      </c>
      <c r="G721" s="34">
        <v>77</v>
      </c>
      <c r="H721" s="36">
        <v>150943</v>
      </c>
      <c r="I721" s="34">
        <v>0</v>
      </c>
      <c r="J721" s="36">
        <v>0</v>
      </c>
      <c r="K721" s="31">
        <v>0.75</v>
      </c>
    </row>
    <row r="722" spans="1:11">
      <c r="A722" s="34" t="s">
        <v>792</v>
      </c>
      <c r="B722" s="34" t="s">
        <v>10</v>
      </c>
      <c r="C722" s="34" t="s">
        <v>36</v>
      </c>
      <c r="D722" s="21">
        <f ca="1">RANDBETWEEN(DATE(2021,1,1),DATE(2021,3,31))</f>
        <v>44262</v>
      </c>
      <c r="E722" s="35">
        <v>1073339</v>
      </c>
      <c r="F722" s="34">
        <v>10.84</v>
      </c>
      <c r="G722" s="34">
        <v>105</v>
      </c>
      <c r="H722" s="36">
        <v>387086</v>
      </c>
      <c r="I722" s="34">
        <v>1</v>
      </c>
      <c r="J722" s="36">
        <v>137060</v>
      </c>
      <c r="K722" s="30">
        <v>0.744</v>
      </c>
    </row>
    <row r="723" spans="1:11">
      <c r="A723" s="34" t="s">
        <v>793</v>
      </c>
      <c r="B723" s="34" t="s">
        <v>10</v>
      </c>
      <c r="C723" s="34" t="s">
        <v>45</v>
      </c>
      <c r="D723" s="21">
        <f ca="1">RANDBETWEEN(DATE(2023,4,1),DATE(2023,6,30))</f>
        <v>45094</v>
      </c>
      <c r="E723" s="35">
        <v>1212972</v>
      </c>
      <c r="F723" s="34">
        <v>11.42</v>
      </c>
      <c r="G723" s="34">
        <v>120</v>
      </c>
      <c r="H723" s="36">
        <v>854675</v>
      </c>
      <c r="I723" s="34">
        <v>0</v>
      </c>
      <c r="J723" s="36">
        <v>0</v>
      </c>
      <c r="K723" s="31">
        <v>0.73</v>
      </c>
    </row>
    <row r="724" spans="1:11">
      <c r="A724" s="34" t="s">
        <v>794</v>
      </c>
      <c r="B724" s="34" t="s">
        <v>10</v>
      </c>
      <c r="C724" s="34" t="s">
        <v>36</v>
      </c>
      <c r="D724" s="21">
        <f ca="1">RANDBETWEEN(DATE(2021,1,1),DATE(2021,3,31))</f>
        <v>44247</v>
      </c>
      <c r="E724" s="35">
        <v>2820511</v>
      </c>
      <c r="F724" s="34">
        <v>8.93</v>
      </c>
      <c r="G724" s="34">
        <v>12</v>
      </c>
      <c r="H724" s="36">
        <v>2028203</v>
      </c>
      <c r="I724" s="34">
        <v>0</v>
      </c>
      <c r="J724" s="36">
        <v>0</v>
      </c>
      <c r="K724" s="30">
        <v>0.744</v>
      </c>
    </row>
    <row r="725" spans="1:11">
      <c r="A725" s="34" t="s">
        <v>795</v>
      </c>
      <c r="B725" s="34" t="s">
        <v>9</v>
      </c>
      <c r="C725" s="34" t="s">
        <v>45</v>
      </c>
      <c r="D725" s="21">
        <f ca="1">RANDBETWEEN(DATE(2023,4,1),DATE(2023,6,30))</f>
        <v>45057</v>
      </c>
      <c r="E725" s="35">
        <v>1608078</v>
      </c>
      <c r="F725" s="37">
        <v>9.97</v>
      </c>
      <c r="G725" s="34">
        <v>10</v>
      </c>
      <c r="H725" s="36">
        <v>1579095</v>
      </c>
      <c r="I725" s="34">
        <v>0</v>
      </c>
      <c r="J725" s="36">
        <v>0</v>
      </c>
      <c r="K725" s="31">
        <v>0.73</v>
      </c>
    </row>
    <row r="726" spans="1:11">
      <c r="A726" s="34" t="s">
        <v>796</v>
      </c>
      <c r="B726" s="34" t="s">
        <v>8</v>
      </c>
      <c r="C726" s="34" t="s">
        <v>45</v>
      </c>
      <c r="D726" s="21">
        <f ca="1">RANDBETWEEN(DATE(2023,4,1),DATE(2023,6,30))</f>
        <v>45100</v>
      </c>
      <c r="E726" s="35">
        <v>7848565</v>
      </c>
      <c r="F726" s="34">
        <v>8.43</v>
      </c>
      <c r="G726" s="34">
        <v>98</v>
      </c>
      <c r="H726" s="36">
        <v>5863190</v>
      </c>
      <c r="I726" s="34">
        <v>0</v>
      </c>
      <c r="J726" s="36">
        <v>0</v>
      </c>
      <c r="K726" s="31">
        <v>0.73</v>
      </c>
    </row>
    <row r="727" spans="1:11">
      <c r="A727" s="34" t="s">
        <v>797</v>
      </c>
      <c r="B727" s="34" t="s">
        <v>10</v>
      </c>
      <c r="C727" s="34" t="s">
        <v>29</v>
      </c>
      <c r="D727" s="21">
        <f ca="1">RANDBETWEEN(DATE(2019,4,1),DATE(2019,6,30))</f>
        <v>43614</v>
      </c>
      <c r="E727" s="35">
        <v>3375594</v>
      </c>
      <c r="F727" s="34">
        <v>10.29</v>
      </c>
      <c r="G727" s="34">
        <v>114</v>
      </c>
      <c r="H727" s="36">
        <v>2422715</v>
      </c>
      <c r="I727" s="34">
        <v>1</v>
      </c>
      <c r="J727" s="36">
        <v>760153</v>
      </c>
      <c r="K727" s="31">
        <v>0.71</v>
      </c>
    </row>
    <row r="728" spans="1:11">
      <c r="A728" s="34" t="s">
        <v>798</v>
      </c>
      <c r="B728" s="34" t="s">
        <v>9</v>
      </c>
      <c r="C728" s="34" t="s">
        <v>38</v>
      </c>
      <c r="D728" s="21">
        <f ca="1">RANDBETWEEN(DATE(2021,7,1),DATE(2021,9,30))</f>
        <v>44409</v>
      </c>
      <c r="E728" s="35">
        <v>1071903</v>
      </c>
      <c r="F728" s="37">
        <v>10.13</v>
      </c>
      <c r="G728" s="34">
        <v>53</v>
      </c>
      <c r="H728" s="36">
        <v>217311</v>
      </c>
      <c r="I728" s="34">
        <v>1</v>
      </c>
      <c r="J728" s="36">
        <v>40186</v>
      </c>
      <c r="K728" s="33">
        <v>0.68</v>
      </c>
    </row>
    <row r="729" spans="1:11">
      <c r="A729" s="34" t="s">
        <v>799</v>
      </c>
      <c r="B729" s="34" t="s">
        <v>9</v>
      </c>
      <c r="C729" s="34" t="s">
        <v>31</v>
      </c>
      <c r="D729" s="21">
        <f ca="1">RANDBETWEEN(DATE(2019,10,1),DATE(2019,12,31))</f>
        <v>43785</v>
      </c>
      <c r="E729" s="35">
        <v>734800</v>
      </c>
      <c r="F729" s="37">
        <v>10.16</v>
      </c>
      <c r="G729" s="34">
        <v>11</v>
      </c>
      <c r="H729" s="36">
        <v>371701</v>
      </c>
      <c r="I729" s="34">
        <v>0</v>
      </c>
      <c r="J729" s="36">
        <v>0</v>
      </c>
      <c r="K729" s="31">
        <v>0.7</v>
      </c>
    </row>
    <row r="730" spans="1:11">
      <c r="A730" s="34" t="s">
        <v>800</v>
      </c>
      <c r="B730" s="34" t="s">
        <v>6</v>
      </c>
      <c r="C730" s="34" t="s">
        <v>37</v>
      </c>
      <c r="D730" s="21">
        <f ca="1">RANDBETWEEN(DATE(2021,4,1),DATE(2021,6,30))</f>
        <v>44370</v>
      </c>
      <c r="E730" s="35">
        <v>290512</v>
      </c>
      <c r="F730" s="34">
        <v>8.35</v>
      </c>
      <c r="G730" s="34">
        <v>28</v>
      </c>
      <c r="H730" s="36">
        <v>153547</v>
      </c>
      <c r="I730" s="34">
        <v>0</v>
      </c>
      <c r="J730" s="36">
        <v>0</v>
      </c>
      <c r="K730" s="31">
        <v>0.72</v>
      </c>
    </row>
    <row r="731" spans="1:11">
      <c r="A731" s="34" t="s">
        <v>801</v>
      </c>
      <c r="B731" s="34" t="s">
        <v>10</v>
      </c>
      <c r="C731" s="34" t="s">
        <v>46</v>
      </c>
      <c r="D731" s="21">
        <f ca="1">RANDBETWEEN(DATE(2023,7,1),DATE(2023,9,30))</f>
        <v>45119</v>
      </c>
      <c r="E731" s="35">
        <v>847836</v>
      </c>
      <c r="F731" s="34">
        <v>10.87</v>
      </c>
      <c r="G731" s="34">
        <v>115</v>
      </c>
      <c r="H731" s="36">
        <v>225676</v>
      </c>
      <c r="I731" s="34">
        <v>0</v>
      </c>
      <c r="J731" s="36">
        <v>0</v>
      </c>
      <c r="K731" s="31">
        <v>0.76</v>
      </c>
    </row>
    <row r="732" spans="1:11">
      <c r="A732" s="34" t="s">
        <v>802</v>
      </c>
      <c r="B732" s="34" t="s">
        <v>9</v>
      </c>
      <c r="C732" s="34" t="s">
        <v>42</v>
      </c>
      <c r="D732" s="21">
        <f ca="1">RANDBETWEEN(DATE(2022,7,1),DATE(2022,9,30))</f>
        <v>44828</v>
      </c>
      <c r="E732" s="35">
        <v>1835066</v>
      </c>
      <c r="F732" s="37">
        <v>11.29</v>
      </c>
      <c r="G732" s="34">
        <v>29</v>
      </c>
      <c r="H732" s="36">
        <v>1455178</v>
      </c>
      <c r="I732" s="34">
        <v>1</v>
      </c>
      <c r="J732" s="36">
        <v>303403</v>
      </c>
      <c r="K732" s="31">
        <v>0.73</v>
      </c>
    </row>
    <row r="733" spans="1:11">
      <c r="A733" s="34" t="s">
        <v>803</v>
      </c>
      <c r="B733" s="34" t="s">
        <v>9</v>
      </c>
      <c r="C733" s="34" t="s">
        <v>33</v>
      </c>
      <c r="D733" s="21">
        <f ca="1">RANDBETWEEN(DATE(2020,4,1),DATE(2020,6,30))</f>
        <v>43923</v>
      </c>
      <c r="E733" s="35">
        <v>995803</v>
      </c>
      <c r="F733" s="37">
        <v>10.29</v>
      </c>
      <c r="G733" s="34">
        <v>59</v>
      </c>
      <c r="H733" s="36">
        <v>389519</v>
      </c>
      <c r="I733" s="34">
        <v>1</v>
      </c>
      <c r="J733" s="36">
        <v>185431</v>
      </c>
      <c r="K733" s="31">
        <v>0.72</v>
      </c>
    </row>
    <row r="734" spans="1:11">
      <c r="A734" s="34" t="s">
        <v>804</v>
      </c>
      <c r="B734" s="34" t="s">
        <v>10</v>
      </c>
      <c r="C734" s="34" t="s">
        <v>37</v>
      </c>
      <c r="D734" s="21">
        <f ca="1">RANDBETWEEN(DATE(2021,4,1),DATE(2021,6,30))</f>
        <v>44346</v>
      </c>
      <c r="E734" s="35">
        <v>4228294</v>
      </c>
      <c r="F734" s="34">
        <v>9.06</v>
      </c>
      <c r="G734" s="34">
        <v>10</v>
      </c>
      <c r="H734" s="36">
        <v>3912704</v>
      </c>
      <c r="I734" s="34">
        <v>1</v>
      </c>
      <c r="J734" s="36">
        <v>808119</v>
      </c>
      <c r="K734" s="31">
        <v>0.72</v>
      </c>
    </row>
    <row r="735" spans="1:11">
      <c r="A735" s="34" t="s">
        <v>805</v>
      </c>
      <c r="B735" s="34" t="s">
        <v>10</v>
      </c>
      <c r="C735" s="34" t="s">
        <v>40</v>
      </c>
      <c r="D735" s="21">
        <f ca="1">RANDBETWEEN(DATE(2022,1,1),DATE(2022,3,31))</f>
        <v>44566</v>
      </c>
      <c r="E735" s="35">
        <v>2128210</v>
      </c>
      <c r="F735" s="34">
        <v>11.19</v>
      </c>
      <c r="G735" s="34">
        <v>105</v>
      </c>
      <c r="H735" s="36">
        <v>887083</v>
      </c>
      <c r="I735" s="34">
        <v>1</v>
      </c>
      <c r="J735" s="36">
        <v>190813</v>
      </c>
      <c r="K735" s="31">
        <v>0.71</v>
      </c>
    </row>
    <row r="736" spans="1:11">
      <c r="A736" s="34" t="s">
        <v>806</v>
      </c>
      <c r="B736" s="34" t="s">
        <v>10</v>
      </c>
      <c r="C736" s="34" t="s">
        <v>30</v>
      </c>
      <c r="D736" s="21">
        <f ca="1">RANDBETWEEN(DATE(2019,7,1),DATE(2019,9,30))</f>
        <v>43654</v>
      </c>
      <c r="E736" s="35">
        <v>4594472</v>
      </c>
      <c r="F736" s="34">
        <v>9.87</v>
      </c>
      <c r="G736" s="34">
        <v>15</v>
      </c>
      <c r="H736" s="36">
        <v>911181</v>
      </c>
      <c r="I736" s="34">
        <v>0</v>
      </c>
      <c r="J736" s="36">
        <v>0</v>
      </c>
      <c r="K736" s="31">
        <v>0.71</v>
      </c>
    </row>
    <row r="737" spans="1:11">
      <c r="A737" s="34" t="s">
        <v>807</v>
      </c>
      <c r="B737" s="34" t="s">
        <v>10</v>
      </c>
      <c r="C737" s="34" t="s">
        <v>30</v>
      </c>
      <c r="D737" s="21">
        <f ca="1">RANDBETWEEN(DATE(2019,7,1),DATE(2019,9,30))</f>
        <v>43714</v>
      </c>
      <c r="E737" s="35">
        <v>4463103</v>
      </c>
      <c r="F737" s="34">
        <v>10.45</v>
      </c>
      <c r="G737" s="34">
        <v>13</v>
      </c>
      <c r="H737" s="36">
        <v>1733215</v>
      </c>
      <c r="I737" s="34">
        <v>0</v>
      </c>
      <c r="J737" s="36">
        <v>0</v>
      </c>
      <c r="K737" s="31">
        <v>0.71</v>
      </c>
    </row>
    <row r="738" spans="1:11">
      <c r="A738" s="34" t="s">
        <v>808</v>
      </c>
      <c r="B738" s="34" t="s">
        <v>8</v>
      </c>
      <c r="C738" s="34" t="s">
        <v>40</v>
      </c>
      <c r="D738" s="21">
        <f ca="1">RANDBETWEEN(DATE(2022,1,1),DATE(2022,3,31))</f>
        <v>44626</v>
      </c>
      <c r="E738" s="35">
        <v>6043745</v>
      </c>
      <c r="F738" s="34">
        <v>8.09</v>
      </c>
      <c r="G738" s="34">
        <v>122</v>
      </c>
      <c r="H738" s="36">
        <v>4502334</v>
      </c>
      <c r="I738" s="34">
        <v>0</v>
      </c>
      <c r="J738" s="36">
        <v>0</v>
      </c>
      <c r="K738" s="31">
        <v>0.71</v>
      </c>
    </row>
    <row r="739" spans="1:11">
      <c r="A739" s="34" t="s">
        <v>809</v>
      </c>
      <c r="B739" s="34" t="s">
        <v>6</v>
      </c>
      <c r="C739" s="34" t="s">
        <v>47</v>
      </c>
      <c r="D739" s="21">
        <f ca="1">RANDBETWEEN(DATE(2023,10,1),DATE(2023,12,31))</f>
        <v>45219</v>
      </c>
      <c r="E739" s="35">
        <v>942551</v>
      </c>
      <c r="F739" s="34">
        <v>8.07</v>
      </c>
      <c r="G739" s="34">
        <v>36</v>
      </c>
      <c r="H739" s="36">
        <v>530771</v>
      </c>
      <c r="I739" s="34">
        <v>0</v>
      </c>
      <c r="J739" s="36">
        <v>0</v>
      </c>
      <c r="K739" s="32">
        <v>0.74</v>
      </c>
    </row>
    <row r="740" spans="1:11">
      <c r="A740" s="34" t="s">
        <v>810</v>
      </c>
      <c r="B740" s="34" t="s">
        <v>10</v>
      </c>
      <c r="C740" s="34" t="s">
        <v>38</v>
      </c>
      <c r="D740" s="21">
        <f ca="1">RANDBETWEEN(DATE(2021,7,1),DATE(2021,9,30))</f>
        <v>44438</v>
      </c>
      <c r="E740" s="35">
        <v>4651040</v>
      </c>
      <c r="F740" s="34">
        <v>10.72</v>
      </c>
      <c r="G740" s="34">
        <v>117</v>
      </c>
      <c r="H740" s="36">
        <v>3576564</v>
      </c>
      <c r="I740" s="34">
        <v>0</v>
      </c>
      <c r="J740" s="36">
        <v>0</v>
      </c>
      <c r="K740" s="33">
        <v>0.68</v>
      </c>
    </row>
    <row r="741" spans="1:11">
      <c r="A741" s="34" t="s">
        <v>811</v>
      </c>
      <c r="B741" s="34" t="s">
        <v>10</v>
      </c>
      <c r="C741" s="34" t="s">
        <v>39</v>
      </c>
      <c r="D741" s="21">
        <f ca="1">RANDBETWEEN(DATE(2021,10,1),DATE(2021,12,31))</f>
        <v>44517</v>
      </c>
      <c r="E741" s="35">
        <v>945168</v>
      </c>
      <c r="F741" s="34">
        <v>9.61</v>
      </c>
      <c r="G741" s="34">
        <v>40</v>
      </c>
      <c r="H741" s="36">
        <v>379346</v>
      </c>
      <c r="I741" s="34">
        <v>0</v>
      </c>
      <c r="J741" s="36">
        <v>0</v>
      </c>
      <c r="K741" s="31">
        <v>0.71</v>
      </c>
    </row>
    <row r="742" spans="1:11">
      <c r="A742" s="34" t="s">
        <v>812</v>
      </c>
      <c r="B742" s="19" t="s">
        <v>7</v>
      </c>
      <c r="C742" s="34" t="s">
        <v>44</v>
      </c>
      <c r="D742" s="21">
        <f ca="1">RANDBETWEEN(DATE(2023,1,1),DATE(2023,3,31))</f>
        <v>44963</v>
      </c>
      <c r="E742" s="35">
        <v>1294239</v>
      </c>
      <c r="F742" s="34">
        <v>11.38</v>
      </c>
      <c r="G742" s="34">
        <v>12</v>
      </c>
      <c r="H742" s="36">
        <v>735370</v>
      </c>
      <c r="I742" s="34">
        <v>1</v>
      </c>
      <c r="J742" s="36">
        <v>262870</v>
      </c>
      <c r="K742" s="31">
        <v>0.73</v>
      </c>
    </row>
    <row r="743" spans="1:11">
      <c r="A743" s="34" t="s">
        <v>813</v>
      </c>
      <c r="B743" s="34" t="s">
        <v>9</v>
      </c>
      <c r="C743" s="34" t="s">
        <v>37</v>
      </c>
      <c r="D743" s="21">
        <f ca="1">RANDBETWEEN(DATE(2021,4,1),DATE(2021,6,30))</f>
        <v>44341</v>
      </c>
      <c r="E743" s="35">
        <v>1431595</v>
      </c>
      <c r="F743" s="37">
        <v>10.56</v>
      </c>
      <c r="G743" s="34">
        <v>37</v>
      </c>
      <c r="H743" s="36">
        <v>576395</v>
      </c>
      <c r="I743" s="34">
        <v>1</v>
      </c>
      <c r="J743" s="36">
        <v>82093</v>
      </c>
      <c r="K743" s="31">
        <v>0.72</v>
      </c>
    </row>
    <row r="744" spans="1:11">
      <c r="A744" s="34" t="s">
        <v>814</v>
      </c>
      <c r="B744" s="34" t="s">
        <v>6</v>
      </c>
      <c r="C744" s="34" t="s">
        <v>31</v>
      </c>
      <c r="D744" s="21">
        <f ca="1">RANDBETWEEN(DATE(2019,10,1),DATE(2019,12,31))</f>
        <v>43808</v>
      </c>
      <c r="E744" s="35">
        <v>858828</v>
      </c>
      <c r="F744" s="34">
        <v>7.91</v>
      </c>
      <c r="G744" s="34">
        <v>48</v>
      </c>
      <c r="H744" s="36">
        <v>472778</v>
      </c>
      <c r="I744" s="34">
        <v>0</v>
      </c>
      <c r="J744" s="36">
        <v>0</v>
      </c>
      <c r="K744" s="31">
        <v>0.7</v>
      </c>
    </row>
    <row r="745" spans="1:11">
      <c r="A745" s="34" t="s">
        <v>815</v>
      </c>
      <c r="B745" s="34" t="s">
        <v>10</v>
      </c>
      <c r="C745" s="34" t="s">
        <v>41</v>
      </c>
      <c r="D745" s="21">
        <f ca="1">RANDBETWEEN(DATE(2022,4,1),DATE(2022,6,30))</f>
        <v>44668</v>
      </c>
      <c r="E745" s="35">
        <v>1142603</v>
      </c>
      <c r="F745" s="34">
        <v>8.6</v>
      </c>
      <c r="G745" s="34">
        <v>12</v>
      </c>
      <c r="H745" s="36">
        <v>886937</v>
      </c>
      <c r="I745" s="34">
        <v>0</v>
      </c>
      <c r="J745" s="36">
        <v>0</v>
      </c>
      <c r="K745" s="30">
        <v>0.727</v>
      </c>
    </row>
    <row r="746" spans="1:11">
      <c r="A746" s="34" t="s">
        <v>816</v>
      </c>
      <c r="B746" s="34" t="s">
        <v>6</v>
      </c>
      <c r="C746" s="34" t="s">
        <v>30</v>
      </c>
      <c r="D746" s="21">
        <f ca="1">RANDBETWEEN(DATE(2019,7,1),DATE(2019,9,30))</f>
        <v>43676</v>
      </c>
      <c r="E746" s="35">
        <v>676620</v>
      </c>
      <c r="F746" s="34">
        <v>8.26</v>
      </c>
      <c r="G746" s="34">
        <v>48</v>
      </c>
      <c r="H746" s="36">
        <v>163012</v>
      </c>
      <c r="I746" s="34">
        <v>0</v>
      </c>
      <c r="J746" s="36">
        <v>0</v>
      </c>
      <c r="K746" s="31">
        <v>0.71</v>
      </c>
    </row>
    <row r="747" spans="1:11">
      <c r="A747" s="34" t="s">
        <v>817</v>
      </c>
      <c r="B747" s="19" t="s">
        <v>7</v>
      </c>
      <c r="C747" s="34" t="s">
        <v>35</v>
      </c>
      <c r="D747" s="21">
        <f ca="1">RANDBETWEEN(DATE(2020,10,1),DATE(2020,12,31))</f>
        <v>44113</v>
      </c>
      <c r="E747" s="35">
        <v>1055239</v>
      </c>
      <c r="F747" s="34">
        <v>11.52</v>
      </c>
      <c r="G747" s="34">
        <v>45</v>
      </c>
      <c r="H747" s="36">
        <v>666984</v>
      </c>
      <c r="I747" s="34">
        <v>1</v>
      </c>
      <c r="J747" s="36">
        <v>504530</v>
      </c>
      <c r="K747" s="31">
        <v>0.68</v>
      </c>
    </row>
    <row r="748" spans="1:11">
      <c r="A748" s="34" t="s">
        <v>818</v>
      </c>
      <c r="B748" s="34" t="s">
        <v>9</v>
      </c>
      <c r="C748" s="34" t="s">
        <v>34</v>
      </c>
      <c r="D748" s="21">
        <f ca="1">RANDBETWEEN(DATE(2020,7,1),DATE(2020,9,30))</f>
        <v>44054</v>
      </c>
      <c r="E748" s="35">
        <v>387575</v>
      </c>
      <c r="F748" s="37">
        <v>9.06</v>
      </c>
      <c r="G748" s="34">
        <v>12</v>
      </c>
      <c r="H748" s="36">
        <v>43571</v>
      </c>
      <c r="I748" s="34">
        <v>0</v>
      </c>
      <c r="J748" s="36">
        <v>0</v>
      </c>
      <c r="K748" s="31">
        <v>0.68</v>
      </c>
    </row>
    <row r="749" spans="1:11">
      <c r="A749" s="34" t="s">
        <v>819</v>
      </c>
      <c r="B749" s="34" t="s">
        <v>10</v>
      </c>
      <c r="C749" s="34" t="s">
        <v>38</v>
      </c>
      <c r="D749" s="21">
        <f ca="1">RANDBETWEEN(DATE(2021,7,1),DATE(2021,9,30))</f>
        <v>44457</v>
      </c>
      <c r="E749" s="35">
        <v>4055900</v>
      </c>
      <c r="F749" s="34">
        <v>9.76</v>
      </c>
      <c r="G749" s="34">
        <v>17</v>
      </c>
      <c r="H749" s="36">
        <v>3987258</v>
      </c>
      <c r="I749" s="34">
        <v>0</v>
      </c>
      <c r="J749" s="36">
        <v>0</v>
      </c>
      <c r="K749" s="33">
        <v>0.68</v>
      </c>
    </row>
    <row r="750" spans="1:11">
      <c r="A750" s="34" t="s">
        <v>820</v>
      </c>
      <c r="B750" s="34" t="s">
        <v>8</v>
      </c>
      <c r="C750" s="34" t="s">
        <v>31</v>
      </c>
      <c r="D750" s="21">
        <f ca="1">RANDBETWEEN(DATE(2019,10,1),DATE(2019,12,31))</f>
        <v>43746</v>
      </c>
      <c r="E750" s="35">
        <v>8893056</v>
      </c>
      <c r="F750" s="34">
        <v>8.3</v>
      </c>
      <c r="G750" s="34">
        <v>82</v>
      </c>
      <c r="H750" s="36">
        <v>1732811</v>
      </c>
      <c r="I750" s="34">
        <v>0</v>
      </c>
      <c r="J750" s="36">
        <v>0</v>
      </c>
      <c r="K750" s="31">
        <v>0.7</v>
      </c>
    </row>
    <row r="751" spans="1:11">
      <c r="A751" s="34" t="s">
        <v>821</v>
      </c>
      <c r="B751" s="34" t="s">
        <v>10</v>
      </c>
      <c r="C751" s="34" t="s">
        <v>42</v>
      </c>
      <c r="D751" s="21">
        <f ca="1">RANDBETWEEN(DATE(2022,7,1),DATE(2022,9,30))</f>
        <v>44780</v>
      </c>
      <c r="E751" s="35">
        <v>2196459</v>
      </c>
      <c r="F751" s="34">
        <v>10.73</v>
      </c>
      <c r="G751" s="34">
        <v>117</v>
      </c>
      <c r="H751" s="36">
        <v>1810652</v>
      </c>
      <c r="I751" s="34">
        <v>1</v>
      </c>
      <c r="J751" s="36">
        <v>1018180</v>
      </c>
      <c r="K751" s="31">
        <v>0.73</v>
      </c>
    </row>
    <row r="752" spans="1:11">
      <c r="A752" s="34" t="s">
        <v>822</v>
      </c>
      <c r="B752" s="34" t="s">
        <v>6</v>
      </c>
      <c r="C752" s="34" t="s">
        <v>43</v>
      </c>
      <c r="D752" s="21">
        <f ca="1">RANDBETWEEN(DATE(2022,10,1),DATE(2022,12,31))</f>
        <v>44895</v>
      </c>
      <c r="E752" s="35">
        <v>424616</v>
      </c>
      <c r="F752" s="34">
        <v>7.49</v>
      </c>
      <c r="G752" s="34">
        <v>8</v>
      </c>
      <c r="H752" s="36">
        <v>159642</v>
      </c>
      <c r="I752" s="34">
        <v>1</v>
      </c>
      <c r="J752" s="36">
        <v>42223</v>
      </c>
      <c r="K752" s="31">
        <v>0.71</v>
      </c>
    </row>
    <row r="753" spans="1:11">
      <c r="A753" s="34" t="s">
        <v>823</v>
      </c>
      <c r="B753" s="34" t="s">
        <v>6</v>
      </c>
      <c r="C753" s="34" t="s">
        <v>43</v>
      </c>
      <c r="D753" s="21">
        <f ca="1">RANDBETWEEN(DATE(2022,10,1),DATE(2022,12,31))</f>
        <v>44900</v>
      </c>
      <c r="E753" s="35">
        <v>912960</v>
      </c>
      <c r="F753" s="34">
        <v>8.37</v>
      </c>
      <c r="G753" s="34">
        <v>46</v>
      </c>
      <c r="H753" s="36">
        <v>145253</v>
      </c>
      <c r="I753" s="34">
        <v>0</v>
      </c>
      <c r="J753" s="36">
        <v>0</v>
      </c>
      <c r="K753" s="31">
        <v>0.71</v>
      </c>
    </row>
    <row r="754" spans="1:11">
      <c r="A754" s="34" t="s">
        <v>824</v>
      </c>
      <c r="B754" s="34" t="s">
        <v>8</v>
      </c>
      <c r="C754" s="34" t="s">
        <v>32</v>
      </c>
      <c r="D754" s="21">
        <f ca="1">RANDBETWEEN(DATE(2020,1,1),DATE(2020,3,31))</f>
        <v>43907</v>
      </c>
      <c r="E754" s="35">
        <v>2503388</v>
      </c>
      <c r="F754" s="34">
        <v>8.26</v>
      </c>
      <c r="G754" s="34">
        <v>88</v>
      </c>
      <c r="H754" s="36">
        <v>1126794</v>
      </c>
      <c r="I754" s="34">
        <v>0</v>
      </c>
      <c r="J754" s="36">
        <v>0</v>
      </c>
      <c r="K754" s="31">
        <v>0.68</v>
      </c>
    </row>
    <row r="755" spans="1:11">
      <c r="A755" s="34" t="s">
        <v>825</v>
      </c>
      <c r="B755" s="19" t="s">
        <v>7</v>
      </c>
      <c r="C755" s="34" t="s">
        <v>41</v>
      </c>
      <c r="D755" s="21">
        <f ca="1">RANDBETWEEN(DATE(2022,4,1),DATE(2022,6,30))</f>
        <v>44727</v>
      </c>
      <c r="E755" s="35">
        <v>817058</v>
      </c>
      <c r="F755" s="34">
        <v>11.92</v>
      </c>
      <c r="G755" s="34">
        <v>31</v>
      </c>
      <c r="H755" s="36">
        <v>663039</v>
      </c>
      <c r="I755" s="34">
        <v>0</v>
      </c>
      <c r="J755" s="36">
        <v>0</v>
      </c>
      <c r="K755" s="30">
        <v>0.727</v>
      </c>
    </row>
    <row r="756" spans="1:11">
      <c r="A756" s="34" t="s">
        <v>826</v>
      </c>
      <c r="B756" s="34" t="s">
        <v>9</v>
      </c>
      <c r="C756" s="34" t="s">
        <v>46</v>
      </c>
      <c r="D756" s="21">
        <f ca="1">RANDBETWEEN(DATE(2023,7,1),DATE(2023,9,30))</f>
        <v>45187</v>
      </c>
      <c r="E756" s="35">
        <v>1619140</v>
      </c>
      <c r="F756" s="37">
        <v>11.26</v>
      </c>
      <c r="G756" s="34">
        <v>25</v>
      </c>
      <c r="H756" s="36">
        <v>219670</v>
      </c>
      <c r="I756" s="34">
        <v>0</v>
      </c>
      <c r="J756" s="36">
        <v>0</v>
      </c>
      <c r="K756" s="31">
        <v>0.76</v>
      </c>
    </row>
    <row r="757" spans="1:11">
      <c r="A757" s="34" t="s">
        <v>827</v>
      </c>
      <c r="B757" s="34" t="s">
        <v>9</v>
      </c>
      <c r="C757" s="34" t="s">
        <v>31</v>
      </c>
      <c r="D757" s="21">
        <f ca="1">RANDBETWEEN(DATE(2019,10,1),DATE(2019,12,31))</f>
        <v>43830</v>
      </c>
      <c r="E757" s="35">
        <v>1627785</v>
      </c>
      <c r="F757" s="37">
        <v>11.59</v>
      </c>
      <c r="G757" s="34">
        <v>44</v>
      </c>
      <c r="H757" s="36">
        <v>795828</v>
      </c>
      <c r="I757" s="34">
        <v>0</v>
      </c>
      <c r="J757" s="36">
        <v>0</v>
      </c>
      <c r="K757" s="31">
        <v>0.7</v>
      </c>
    </row>
    <row r="758" spans="1:11">
      <c r="A758" s="34" t="s">
        <v>828</v>
      </c>
      <c r="B758" s="34" t="s">
        <v>9</v>
      </c>
      <c r="C758" s="34" t="s">
        <v>31</v>
      </c>
      <c r="D758" s="21">
        <f ca="1">RANDBETWEEN(DATE(2019,10,1),DATE(2019,12,31))</f>
        <v>43767</v>
      </c>
      <c r="E758" s="35">
        <v>1342599</v>
      </c>
      <c r="F758" s="37">
        <v>10.37</v>
      </c>
      <c r="G758" s="34">
        <v>56</v>
      </c>
      <c r="H758" s="36">
        <v>752503</v>
      </c>
      <c r="I758" s="34">
        <v>1</v>
      </c>
      <c r="J758" s="36">
        <v>195782</v>
      </c>
      <c r="K758" s="31">
        <v>0.7</v>
      </c>
    </row>
    <row r="759" spans="1:11">
      <c r="A759" s="34" t="s">
        <v>829</v>
      </c>
      <c r="B759" s="19" t="s">
        <v>7</v>
      </c>
      <c r="C759" s="34" t="s">
        <v>33</v>
      </c>
      <c r="D759" s="21">
        <f ca="1">RANDBETWEEN(DATE(2020,4,1),DATE(2020,6,30))</f>
        <v>43996</v>
      </c>
      <c r="E759" s="35">
        <v>1601235</v>
      </c>
      <c r="F759" s="34">
        <v>11.46</v>
      </c>
      <c r="G759" s="34">
        <v>11</v>
      </c>
      <c r="H759" s="36">
        <v>324910</v>
      </c>
      <c r="I759" s="34">
        <v>0</v>
      </c>
      <c r="J759" s="36">
        <v>0</v>
      </c>
      <c r="K759" s="31">
        <v>0.72</v>
      </c>
    </row>
    <row r="760" spans="1:11">
      <c r="A760" s="34" t="s">
        <v>830</v>
      </c>
      <c r="B760" s="34" t="s">
        <v>9</v>
      </c>
      <c r="C760" s="34" t="s">
        <v>41</v>
      </c>
      <c r="D760" s="21">
        <f ca="1">RANDBETWEEN(DATE(2022,4,1),DATE(2022,6,30))</f>
        <v>44695</v>
      </c>
      <c r="E760" s="35">
        <v>1228609</v>
      </c>
      <c r="F760" s="37">
        <v>10.22</v>
      </c>
      <c r="G760" s="34">
        <v>53</v>
      </c>
      <c r="H760" s="36">
        <v>591976</v>
      </c>
      <c r="I760" s="34">
        <v>0</v>
      </c>
      <c r="J760" s="36">
        <v>0</v>
      </c>
      <c r="K760" s="30">
        <v>0.727</v>
      </c>
    </row>
    <row r="761" spans="1:11">
      <c r="A761" s="34" t="s">
        <v>831</v>
      </c>
      <c r="B761" s="34" t="s">
        <v>9</v>
      </c>
      <c r="C761" s="34" t="s">
        <v>48</v>
      </c>
      <c r="D761" s="21">
        <f ca="1">RANDBETWEEN(DATE(2024,1,1),DATE(2024,3,31))</f>
        <v>45317</v>
      </c>
      <c r="E761" s="35">
        <v>600620</v>
      </c>
      <c r="F761" s="37">
        <v>11.93</v>
      </c>
      <c r="G761" s="34">
        <v>48</v>
      </c>
      <c r="H761" s="36">
        <v>418487</v>
      </c>
      <c r="I761" s="34">
        <v>1</v>
      </c>
      <c r="J761" s="36">
        <v>172103</v>
      </c>
      <c r="K761" s="31">
        <v>0.75</v>
      </c>
    </row>
    <row r="762" spans="1:11">
      <c r="A762" s="34" t="s">
        <v>832</v>
      </c>
      <c r="B762" s="34" t="s">
        <v>9</v>
      </c>
      <c r="C762" s="34" t="s">
        <v>31</v>
      </c>
      <c r="D762" s="21">
        <f ca="1">RANDBETWEEN(DATE(2019,10,1),DATE(2019,12,31))</f>
        <v>43792</v>
      </c>
      <c r="E762" s="35">
        <v>355165</v>
      </c>
      <c r="F762" s="37">
        <v>10.34</v>
      </c>
      <c r="G762" s="34">
        <v>53</v>
      </c>
      <c r="H762" s="36">
        <v>47524</v>
      </c>
      <c r="I762" s="34">
        <v>0</v>
      </c>
      <c r="J762" s="36">
        <v>0</v>
      </c>
      <c r="K762" s="31">
        <v>0.7</v>
      </c>
    </row>
    <row r="763" spans="1:11">
      <c r="A763" s="34" t="s">
        <v>833</v>
      </c>
      <c r="B763" s="34" t="s">
        <v>8</v>
      </c>
      <c r="C763" s="34" t="s">
        <v>46</v>
      </c>
      <c r="D763" s="21">
        <f ca="1">RANDBETWEEN(DATE(2023,7,1),DATE(2023,9,30))</f>
        <v>45160</v>
      </c>
      <c r="E763" s="35">
        <v>4067647</v>
      </c>
      <c r="F763" s="34">
        <v>7.71</v>
      </c>
      <c r="G763" s="34">
        <v>252</v>
      </c>
      <c r="H763" s="36">
        <v>2330048</v>
      </c>
      <c r="I763" s="34">
        <v>1</v>
      </c>
      <c r="J763" s="36">
        <v>1807137</v>
      </c>
      <c r="K763" s="31">
        <v>0.76</v>
      </c>
    </row>
    <row r="764" spans="1:11">
      <c r="A764" s="34" t="s">
        <v>834</v>
      </c>
      <c r="B764" s="34" t="s">
        <v>6</v>
      </c>
      <c r="C764" s="34" t="s">
        <v>31</v>
      </c>
      <c r="D764" s="21">
        <f ca="1">RANDBETWEEN(DATE(2019,10,1),DATE(2019,12,31))</f>
        <v>43782</v>
      </c>
      <c r="E764" s="35">
        <v>340063</v>
      </c>
      <c r="F764" s="34">
        <v>8.1</v>
      </c>
      <c r="G764" s="34">
        <v>23</v>
      </c>
      <c r="H764" s="36">
        <v>169780</v>
      </c>
      <c r="I764" s="34">
        <v>0</v>
      </c>
      <c r="J764" s="36">
        <v>0</v>
      </c>
      <c r="K764" s="31">
        <v>0.7</v>
      </c>
    </row>
    <row r="765" spans="1:11">
      <c r="A765" s="34" t="s">
        <v>835</v>
      </c>
      <c r="B765" s="34" t="s">
        <v>8</v>
      </c>
      <c r="C765" s="34" t="s">
        <v>33</v>
      </c>
      <c r="D765" s="21">
        <f ca="1">RANDBETWEEN(DATE(2020,4,1),DATE(2020,6,30))</f>
        <v>43998</v>
      </c>
      <c r="E765" s="35">
        <v>2908330</v>
      </c>
      <c r="F765" s="34">
        <v>8.32</v>
      </c>
      <c r="G765" s="34">
        <v>291</v>
      </c>
      <c r="H765" s="36">
        <v>2588565</v>
      </c>
      <c r="I765" s="34">
        <v>0</v>
      </c>
      <c r="J765" s="36">
        <v>0</v>
      </c>
      <c r="K765" s="31">
        <v>0.72</v>
      </c>
    </row>
    <row r="766" spans="1:11">
      <c r="A766" s="34" t="s">
        <v>836</v>
      </c>
      <c r="B766" s="34" t="s">
        <v>10</v>
      </c>
      <c r="C766" s="34" t="s">
        <v>29</v>
      </c>
      <c r="D766" s="21">
        <f ca="1">RANDBETWEEN(DATE(2019,4,1),DATE(2019,6,30))</f>
        <v>43640</v>
      </c>
      <c r="E766" s="35">
        <v>2673632</v>
      </c>
      <c r="F766" s="34">
        <v>9.96</v>
      </c>
      <c r="G766" s="34">
        <v>35</v>
      </c>
      <c r="H766" s="36">
        <v>1046042</v>
      </c>
      <c r="I766" s="34">
        <v>0</v>
      </c>
      <c r="J766" s="36">
        <v>0</v>
      </c>
      <c r="K766" s="31">
        <v>0.71</v>
      </c>
    </row>
    <row r="767" spans="1:11">
      <c r="A767" s="34" t="s">
        <v>837</v>
      </c>
      <c r="B767" s="34" t="s">
        <v>8</v>
      </c>
      <c r="C767" s="34" t="s">
        <v>40</v>
      </c>
      <c r="D767" s="21">
        <f ca="1">RANDBETWEEN(DATE(2022,1,1),DATE(2022,3,31))</f>
        <v>44581</v>
      </c>
      <c r="E767" s="35">
        <v>5558571</v>
      </c>
      <c r="F767" s="34">
        <v>8.29</v>
      </c>
      <c r="G767" s="34">
        <v>133</v>
      </c>
      <c r="H767" s="36">
        <v>5137320</v>
      </c>
      <c r="I767" s="34">
        <v>0</v>
      </c>
      <c r="J767" s="36">
        <v>0</v>
      </c>
      <c r="K767" s="31">
        <v>0.71</v>
      </c>
    </row>
    <row r="768" spans="1:11">
      <c r="A768" s="34" t="s">
        <v>838</v>
      </c>
      <c r="B768" s="34" t="s">
        <v>10</v>
      </c>
      <c r="C768" s="34" t="s">
        <v>43</v>
      </c>
      <c r="D768" s="21">
        <f ca="1">RANDBETWEEN(DATE(2022,10,1),DATE(2022,12,31))</f>
        <v>44879</v>
      </c>
      <c r="E768" s="35">
        <v>1746878</v>
      </c>
      <c r="F768" s="34">
        <v>11.48</v>
      </c>
      <c r="G768" s="34">
        <v>87</v>
      </c>
      <c r="H768" s="36">
        <v>448779</v>
      </c>
      <c r="I768" s="34">
        <v>0</v>
      </c>
      <c r="J768" s="36">
        <v>0</v>
      </c>
      <c r="K768" s="31">
        <v>0.71</v>
      </c>
    </row>
    <row r="769" spans="1:11">
      <c r="A769" s="34" t="s">
        <v>839</v>
      </c>
      <c r="B769" s="34" t="s">
        <v>9</v>
      </c>
      <c r="C769" s="34" t="s">
        <v>45</v>
      </c>
      <c r="D769" s="21">
        <f ca="1">RANDBETWEEN(DATE(2023,4,1),DATE(2023,6,30))</f>
        <v>45059</v>
      </c>
      <c r="E769" s="35">
        <v>1589719</v>
      </c>
      <c r="F769" s="37">
        <v>10.5</v>
      </c>
      <c r="G769" s="34">
        <v>52</v>
      </c>
      <c r="H769" s="36">
        <v>104632</v>
      </c>
      <c r="I769" s="34">
        <v>1</v>
      </c>
      <c r="J769" s="36">
        <v>68339</v>
      </c>
      <c r="K769" s="31">
        <v>0.73</v>
      </c>
    </row>
    <row r="770" spans="1:11">
      <c r="A770" s="34" t="s">
        <v>840</v>
      </c>
      <c r="B770" s="19" t="s">
        <v>7</v>
      </c>
      <c r="C770" s="34" t="s">
        <v>40</v>
      </c>
      <c r="D770" s="21">
        <f ca="1">RANDBETWEEN(DATE(2022,1,1),DATE(2022,3,31))</f>
        <v>44591</v>
      </c>
      <c r="E770" s="35">
        <v>1149199</v>
      </c>
      <c r="F770" s="34">
        <v>11.13</v>
      </c>
      <c r="G770" s="34">
        <v>12</v>
      </c>
      <c r="H770" s="36">
        <v>472561</v>
      </c>
      <c r="I770" s="34">
        <v>0</v>
      </c>
      <c r="J770" s="36">
        <v>0</v>
      </c>
      <c r="K770" s="31">
        <v>0.71</v>
      </c>
    </row>
    <row r="771" spans="1:11">
      <c r="A771" s="34" t="s">
        <v>841</v>
      </c>
      <c r="B771" s="34" t="s">
        <v>10</v>
      </c>
      <c r="C771" s="34" t="s">
        <v>30</v>
      </c>
      <c r="D771" s="21">
        <f ca="1">RANDBETWEEN(DATE(2019,7,1),DATE(2019,9,30))</f>
        <v>43700</v>
      </c>
      <c r="E771" s="35">
        <v>1198855</v>
      </c>
      <c r="F771" s="34">
        <v>10.26</v>
      </c>
      <c r="G771" s="34">
        <v>40</v>
      </c>
      <c r="H771" s="36">
        <v>330170</v>
      </c>
      <c r="I771" s="34">
        <v>1</v>
      </c>
      <c r="J771" s="36">
        <v>95307</v>
      </c>
      <c r="K771" s="31">
        <v>0.71</v>
      </c>
    </row>
    <row r="772" spans="1:11">
      <c r="A772" s="34" t="s">
        <v>842</v>
      </c>
      <c r="B772" s="34" t="s">
        <v>10</v>
      </c>
      <c r="C772" s="34" t="s">
        <v>41</v>
      </c>
      <c r="D772" s="21">
        <f ca="1">RANDBETWEEN(DATE(2022,4,1),DATE(2022,6,30))</f>
        <v>44681</v>
      </c>
      <c r="E772" s="35">
        <v>3932422</v>
      </c>
      <c r="F772" s="34">
        <v>11.05</v>
      </c>
      <c r="G772" s="34">
        <v>61</v>
      </c>
      <c r="H772" s="36">
        <v>1334193</v>
      </c>
      <c r="I772" s="34">
        <v>0</v>
      </c>
      <c r="J772" s="36">
        <v>0</v>
      </c>
      <c r="K772" s="30">
        <v>0.727</v>
      </c>
    </row>
    <row r="773" spans="1:11">
      <c r="A773" s="34" t="s">
        <v>843</v>
      </c>
      <c r="B773" s="34" t="s">
        <v>10</v>
      </c>
      <c r="C773" s="34" t="s">
        <v>40</v>
      </c>
      <c r="D773" s="21">
        <f ca="1">RANDBETWEEN(DATE(2022,1,1),DATE(2022,3,31))</f>
        <v>44622</v>
      </c>
      <c r="E773" s="35">
        <v>1334651</v>
      </c>
      <c r="F773" s="34">
        <v>10.36</v>
      </c>
      <c r="G773" s="34">
        <v>29</v>
      </c>
      <c r="H773" s="36">
        <v>1188806</v>
      </c>
      <c r="I773" s="34">
        <v>0</v>
      </c>
      <c r="J773" s="36">
        <v>0</v>
      </c>
      <c r="K773" s="31">
        <v>0.71</v>
      </c>
    </row>
    <row r="774" spans="1:11">
      <c r="A774" s="34" t="s">
        <v>844</v>
      </c>
      <c r="B774" s="34" t="s">
        <v>6</v>
      </c>
      <c r="C774" s="34" t="s">
        <v>45</v>
      </c>
      <c r="D774" s="21">
        <f ca="1">RANDBETWEEN(DATE(2023,4,1),DATE(2023,6,30))</f>
        <v>45053</v>
      </c>
      <c r="E774" s="35">
        <v>674811</v>
      </c>
      <c r="F774" s="34">
        <v>7.73</v>
      </c>
      <c r="G774" s="34">
        <v>11</v>
      </c>
      <c r="H774" s="36">
        <v>626280</v>
      </c>
      <c r="I774" s="34">
        <v>1</v>
      </c>
      <c r="J774" s="36">
        <v>182393</v>
      </c>
      <c r="K774" s="31">
        <v>0.73</v>
      </c>
    </row>
    <row r="775" spans="1:11">
      <c r="A775" s="34" t="s">
        <v>845</v>
      </c>
      <c r="B775" s="34" t="s">
        <v>6</v>
      </c>
      <c r="C775" s="34" t="s">
        <v>37</v>
      </c>
      <c r="D775" s="21">
        <f ca="1">RANDBETWEEN(DATE(2021,4,1),DATE(2021,6,30))</f>
        <v>44343</v>
      </c>
      <c r="E775" s="35">
        <v>147314</v>
      </c>
      <c r="F775" s="34">
        <v>7.71</v>
      </c>
      <c r="G775" s="34">
        <v>8</v>
      </c>
      <c r="H775" s="36">
        <v>28255</v>
      </c>
      <c r="I775" s="34">
        <v>0</v>
      </c>
      <c r="J775" s="36">
        <v>0</v>
      </c>
      <c r="K775" s="31">
        <v>0.72</v>
      </c>
    </row>
    <row r="776" spans="1:11">
      <c r="A776" s="34" t="s">
        <v>846</v>
      </c>
      <c r="B776" s="34" t="s">
        <v>10</v>
      </c>
      <c r="C776" s="34" t="s">
        <v>39</v>
      </c>
      <c r="D776" s="21">
        <f ca="1">RANDBETWEEN(DATE(2021,10,1),DATE(2021,12,31))</f>
        <v>44535</v>
      </c>
      <c r="E776" s="35">
        <v>2741798</v>
      </c>
      <c r="F776" s="34">
        <v>10.79</v>
      </c>
      <c r="G776" s="34">
        <v>75</v>
      </c>
      <c r="H776" s="36">
        <v>620004</v>
      </c>
      <c r="I776" s="34">
        <v>0</v>
      </c>
      <c r="J776" s="36">
        <v>0</v>
      </c>
      <c r="K776" s="31">
        <v>0.71</v>
      </c>
    </row>
    <row r="777" spans="1:11">
      <c r="A777" s="34" t="s">
        <v>847</v>
      </c>
      <c r="B777" s="34" t="s">
        <v>8</v>
      </c>
      <c r="C777" s="34" t="s">
        <v>45</v>
      </c>
      <c r="D777" s="21">
        <f ca="1">RANDBETWEEN(DATE(2023,4,1),DATE(2023,6,30))</f>
        <v>45019</v>
      </c>
      <c r="E777" s="35">
        <v>6605958</v>
      </c>
      <c r="F777" s="34">
        <v>7.8</v>
      </c>
      <c r="G777" s="34">
        <v>286</v>
      </c>
      <c r="H777" s="36">
        <v>3190516</v>
      </c>
      <c r="I777" s="34">
        <v>0</v>
      </c>
      <c r="J777" s="36">
        <v>0</v>
      </c>
      <c r="K777" s="31">
        <v>0.73</v>
      </c>
    </row>
    <row r="778" spans="1:11">
      <c r="A778" s="34" t="s">
        <v>848</v>
      </c>
      <c r="B778" s="34" t="s">
        <v>6</v>
      </c>
      <c r="C778" s="34" t="s">
        <v>30</v>
      </c>
      <c r="D778" s="21">
        <f ca="1">RANDBETWEEN(DATE(2019,7,1),DATE(2019,9,30))</f>
        <v>43728</v>
      </c>
      <c r="E778" s="35">
        <v>952913</v>
      </c>
      <c r="F778" s="34">
        <v>7.96</v>
      </c>
      <c r="G778" s="34">
        <v>12</v>
      </c>
      <c r="H778" s="36">
        <v>470520</v>
      </c>
      <c r="I778" s="34">
        <v>0</v>
      </c>
      <c r="J778" s="36">
        <v>0</v>
      </c>
      <c r="K778" s="31">
        <v>0.71</v>
      </c>
    </row>
    <row r="779" spans="1:11">
      <c r="A779" s="34" t="s">
        <v>849</v>
      </c>
      <c r="B779" s="34" t="s">
        <v>6</v>
      </c>
      <c r="C779" s="34" t="s">
        <v>37</v>
      </c>
      <c r="D779" s="21">
        <f ca="1">RANDBETWEEN(DATE(2021,4,1),DATE(2021,6,30))</f>
        <v>44312</v>
      </c>
      <c r="E779" s="35">
        <v>742968</v>
      </c>
      <c r="F779" s="34">
        <v>7.35</v>
      </c>
      <c r="G779" s="34">
        <v>10</v>
      </c>
      <c r="H779" s="36">
        <v>136099</v>
      </c>
      <c r="I779" s="34">
        <v>1</v>
      </c>
      <c r="J779" s="36">
        <v>27256</v>
      </c>
      <c r="K779" s="31">
        <v>0.72</v>
      </c>
    </row>
    <row r="780" spans="1:11">
      <c r="A780" s="34" t="s">
        <v>850</v>
      </c>
      <c r="B780" s="34" t="s">
        <v>6</v>
      </c>
      <c r="C780" s="34" t="s">
        <v>34</v>
      </c>
      <c r="D780" s="21">
        <f ca="1">RANDBETWEEN(DATE(2020,7,1),DATE(2020,9,30))</f>
        <v>44074</v>
      </c>
      <c r="E780" s="35">
        <v>939127</v>
      </c>
      <c r="F780" s="34">
        <v>7.79</v>
      </c>
      <c r="G780" s="34">
        <v>12</v>
      </c>
      <c r="H780" s="36">
        <v>489541</v>
      </c>
      <c r="I780" s="34">
        <v>0</v>
      </c>
      <c r="J780" s="36">
        <v>0</v>
      </c>
      <c r="K780" s="31">
        <v>0.68</v>
      </c>
    </row>
    <row r="781" spans="1:11">
      <c r="A781" s="34" t="s">
        <v>851</v>
      </c>
      <c r="B781" s="34" t="s">
        <v>8</v>
      </c>
      <c r="C781" s="34" t="s">
        <v>31</v>
      </c>
      <c r="D781" s="21">
        <f ca="1">RANDBETWEEN(DATE(2019,10,1),DATE(2019,12,31))</f>
        <v>43767</v>
      </c>
      <c r="E781" s="35">
        <v>5157266</v>
      </c>
      <c r="F781" s="34">
        <v>8.07</v>
      </c>
      <c r="G781" s="34">
        <v>226</v>
      </c>
      <c r="H781" s="36">
        <v>4202869</v>
      </c>
      <c r="I781" s="34">
        <v>0</v>
      </c>
      <c r="J781" s="36">
        <v>0</v>
      </c>
      <c r="K781" s="31">
        <v>0.7</v>
      </c>
    </row>
    <row r="782" spans="1:11">
      <c r="A782" s="34" t="s">
        <v>852</v>
      </c>
      <c r="B782" s="34" t="s">
        <v>10</v>
      </c>
      <c r="C782" s="34" t="s">
        <v>44</v>
      </c>
      <c r="D782" s="21">
        <f ca="1">RANDBETWEEN(DATE(2023,1,1),DATE(2023,3,31))</f>
        <v>45005</v>
      </c>
      <c r="E782" s="35">
        <v>4585932</v>
      </c>
      <c r="F782" s="34">
        <v>11.15</v>
      </c>
      <c r="G782" s="34">
        <v>72</v>
      </c>
      <c r="H782" s="36">
        <v>2175337</v>
      </c>
      <c r="I782" s="34">
        <v>0</v>
      </c>
      <c r="J782" s="36">
        <v>0</v>
      </c>
      <c r="K782" s="31">
        <v>0.73</v>
      </c>
    </row>
    <row r="783" spans="1:11">
      <c r="A783" s="34" t="s">
        <v>853</v>
      </c>
      <c r="B783" s="34" t="s">
        <v>9</v>
      </c>
      <c r="C783" s="34" t="s">
        <v>45</v>
      </c>
      <c r="D783" s="21">
        <f ca="1">RANDBETWEEN(DATE(2023,4,1),DATE(2023,6,30))</f>
        <v>45090</v>
      </c>
      <c r="E783" s="35">
        <v>1707748</v>
      </c>
      <c r="F783" s="37">
        <v>11.94</v>
      </c>
      <c r="G783" s="34">
        <v>49</v>
      </c>
      <c r="H783" s="36">
        <v>1065211</v>
      </c>
      <c r="I783" s="34">
        <v>0</v>
      </c>
      <c r="J783" s="36">
        <v>0</v>
      </c>
      <c r="K783" s="31">
        <v>0.73</v>
      </c>
    </row>
    <row r="784" spans="1:11">
      <c r="A784" s="34" t="s">
        <v>854</v>
      </c>
      <c r="B784" s="34" t="s">
        <v>10</v>
      </c>
      <c r="C784" s="34" t="s">
        <v>36</v>
      </c>
      <c r="D784" s="21">
        <f ca="1">RANDBETWEEN(DATE(2021,1,1),DATE(2021,3,31))</f>
        <v>44286</v>
      </c>
      <c r="E784" s="35">
        <v>1713217</v>
      </c>
      <c r="F784" s="34">
        <v>9.28</v>
      </c>
      <c r="G784" s="34">
        <v>11</v>
      </c>
      <c r="H784" s="36">
        <v>433138</v>
      </c>
      <c r="I784" s="34">
        <v>0</v>
      </c>
      <c r="J784" s="36">
        <v>0</v>
      </c>
      <c r="K784" s="30">
        <v>0.744</v>
      </c>
    </row>
    <row r="785" spans="1:11">
      <c r="A785" s="34" t="s">
        <v>855</v>
      </c>
      <c r="B785" s="34" t="s">
        <v>10</v>
      </c>
      <c r="C785" s="34" t="s">
        <v>30</v>
      </c>
      <c r="D785" s="21">
        <f ca="1">RANDBETWEEN(DATE(2019,7,1),DATE(2019,9,30))</f>
        <v>43699</v>
      </c>
      <c r="E785" s="35">
        <v>3096467</v>
      </c>
      <c r="F785" s="34">
        <v>9.45</v>
      </c>
      <c r="G785" s="34">
        <v>8</v>
      </c>
      <c r="H785" s="36">
        <v>608565</v>
      </c>
      <c r="I785" s="34">
        <v>0</v>
      </c>
      <c r="J785" s="36">
        <v>0</v>
      </c>
      <c r="K785" s="31">
        <v>0.71</v>
      </c>
    </row>
    <row r="786" spans="1:11">
      <c r="A786" s="34" t="s">
        <v>856</v>
      </c>
      <c r="B786" s="34" t="s">
        <v>8</v>
      </c>
      <c r="C786" s="34" t="s">
        <v>40</v>
      </c>
      <c r="D786" s="21">
        <f ca="1">RANDBETWEEN(DATE(2022,1,1),DATE(2022,3,31))</f>
        <v>44596</v>
      </c>
      <c r="E786" s="35">
        <v>9223950</v>
      </c>
      <c r="F786" s="34">
        <v>7.63</v>
      </c>
      <c r="G786" s="34">
        <v>241</v>
      </c>
      <c r="H786" s="36">
        <v>8426257</v>
      </c>
      <c r="I786" s="34">
        <v>0</v>
      </c>
      <c r="J786" s="36">
        <v>0</v>
      </c>
      <c r="K786" s="31">
        <v>0.71</v>
      </c>
    </row>
    <row r="787" spans="1:11">
      <c r="A787" s="34" t="s">
        <v>857</v>
      </c>
      <c r="B787" s="34" t="s">
        <v>9</v>
      </c>
      <c r="C787" s="34" t="s">
        <v>45</v>
      </c>
      <c r="D787" s="21">
        <f ca="1">RANDBETWEEN(DATE(2023,4,1),DATE(2023,6,30))</f>
        <v>45036</v>
      </c>
      <c r="E787" s="35">
        <v>1395642</v>
      </c>
      <c r="F787" s="37">
        <v>10.28</v>
      </c>
      <c r="G787" s="34">
        <v>14</v>
      </c>
      <c r="H787" s="36">
        <v>598102</v>
      </c>
      <c r="I787" s="34">
        <v>1</v>
      </c>
      <c r="J787" s="36">
        <v>195137</v>
      </c>
      <c r="K787" s="31">
        <v>0.73</v>
      </c>
    </row>
    <row r="788" spans="1:11">
      <c r="A788" s="34" t="s">
        <v>858</v>
      </c>
      <c r="B788" s="34" t="s">
        <v>9</v>
      </c>
      <c r="C788" s="34" t="s">
        <v>37</v>
      </c>
      <c r="D788" s="21">
        <f ca="1">RANDBETWEEN(DATE(2021,4,1),DATE(2021,6,30))</f>
        <v>44312</v>
      </c>
      <c r="E788" s="35">
        <v>1926738</v>
      </c>
      <c r="F788" s="37">
        <v>11.36</v>
      </c>
      <c r="G788" s="34">
        <v>37</v>
      </c>
      <c r="H788" s="36">
        <v>1374523</v>
      </c>
      <c r="I788" s="34">
        <v>0</v>
      </c>
      <c r="J788" s="36">
        <v>0</v>
      </c>
      <c r="K788" s="31">
        <v>0.72</v>
      </c>
    </row>
    <row r="789" spans="1:11">
      <c r="A789" s="34" t="s">
        <v>859</v>
      </c>
      <c r="B789" s="34" t="s">
        <v>8</v>
      </c>
      <c r="C789" s="34" t="s">
        <v>34</v>
      </c>
      <c r="D789" s="21">
        <f ca="1">RANDBETWEEN(DATE(2020,7,1),DATE(2020,9,30))</f>
        <v>44061</v>
      </c>
      <c r="E789" s="35">
        <v>8085113</v>
      </c>
      <c r="F789" s="34">
        <v>8.38</v>
      </c>
      <c r="G789" s="34">
        <v>219</v>
      </c>
      <c r="H789" s="36">
        <v>5850776</v>
      </c>
      <c r="I789" s="34">
        <v>0</v>
      </c>
      <c r="J789" s="36">
        <v>0</v>
      </c>
      <c r="K789" s="31">
        <v>0.68</v>
      </c>
    </row>
    <row r="790" spans="1:11">
      <c r="A790" s="34" t="s">
        <v>860</v>
      </c>
      <c r="B790" s="34" t="s">
        <v>6</v>
      </c>
      <c r="C790" s="34" t="s">
        <v>43</v>
      </c>
      <c r="D790" s="21">
        <f ca="1">RANDBETWEEN(DATE(2022,10,1),DATE(2022,12,31))</f>
        <v>44872</v>
      </c>
      <c r="E790" s="35">
        <v>456857</v>
      </c>
      <c r="F790" s="34">
        <v>7.79</v>
      </c>
      <c r="G790" s="34">
        <v>12</v>
      </c>
      <c r="H790" s="36">
        <v>307413</v>
      </c>
      <c r="I790" s="34">
        <v>0</v>
      </c>
      <c r="J790" s="36">
        <v>0</v>
      </c>
      <c r="K790" s="31">
        <v>0.71</v>
      </c>
    </row>
    <row r="791" spans="1:11">
      <c r="A791" s="34" t="s">
        <v>861</v>
      </c>
      <c r="B791" s="34" t="s">
        <v>6</v>
      </c>
      <c r="C791" s="34" t="s">
        <v>43</v>
      </c>
      <c r="D791" s="21">
        <f ca="1">RANDBETWEEN(DATE(2022,10,1),DATE(2022,12,31))</f>
        <v>44838</v>
      </c>
      <c r="E791" s="35">
        <v>430316</v>
      </c>
      <c r="F791" s="34">
        <v>7.72</v>
      </c>
      <c r="G791" s="34">
        <v>23</v>
      </c>
      <c r="H791" s="36">
        <v>378422</v>
      </c>
      <c r="I791" s="34">
        <v>1</v>
      </c>
      <c r="J791" s="36">
        <v>115951</v>
      </c>
      <c r="K791" s="31">
        <v>0.71</v>
      </c>
    </row>
    <row r="792" spans="1:11">
      <c r="A792" s="34" t="s">
        <v>862</v>
      </c>
      <c r="B792" s="34" t="s">
        <v>6</v>
      </c>
      <c r="C792" s="34" t="s">
        <v>39</v>
      </c>
      <c r="D792" s="21">
        <f ca="1">RANDBETWEEN(DATE(2021,10,1),DATE(2021,12,31))</f>
        <v>44553</v>
      </c>
      <c r="E792" s="35">
        <v>549794</v>
      </c>
      <c r="F792" s="34">
        <v>7.61</v>
      </c>
      <c r="G792" s="34">
        <v>15</v>
      </c>
      <c r="H792" s="36">
        <v>398133</v>
      </c>
      <c r="I792" s="34">
        <v>0</v>
      </c>
      <c r="J792" s="36">
        <v>0</v>
      </c>
      <c r="K792" s="31">
        <v>0.71</v>
      </c>
    </row>
    <row r="793" spans="1:11">
      <c r="A793" s="34" t="s">
        <v>863</v>
      </c>
      <c r="B793" s="34" t="s">
        <v>8</v>
      </c>
      <c r="C793" s="34" t="s">
        <v>41</v>
      </c>
      <c r="D793" s="21">
        <f ca="1">RANDBETWEEN(DATE(2022,4,1),DATE(2022,6,30))</f>
        <v>44720</v>
      </c>
      <c r="E793" s="35">
        <v>8470535</v>
      </c>
      <c r="F793" s="34">
        <v>8.06</v>
      </c>
      <c r="G793" s="34">
        <v>79</v>
      </c>
      <c r="H793" s="36">
        <v>2229894</v>
      </c>
      <c r="I793" s="34">
        <v>0</v>
      </c>
      <c r="J793" s="36">
        <v>0</v>
      </c>
      <c r="K793" s="30">
        <v>0.727</v>
      </c>
    </row>
    <row r="794" spans="1:11">
      <c r="A794" s="34" t="s">
        <v>864</v>
      </c>
      <c r="B794" s="34" t="s">
        <v>10</v>
      </c>
      <c r="C794" s="34" t="s">
        <v>46</v>
      </c>
      <c r="D794" s="21">
        <f ca="1">RANDBETWEEN(DATE(2023,7,1),DATE(2023,9,30))</f>
        <v>45179</v>
      </c>
      <c r="E794" s="35">
        <v>2432973</v>
      </c>
      <c r="F794" s="34">
        <v>10.67</v>
      </c>
      <c r="G794" s="34">
        <v>76</v>
      </c>
      <c r="H794" s="36">
        <v>1454341</v>
      </c>
      <c r="I794" s="34">
        <v>0</v>
      </c>
      <c r="J794" s="36">
        <v>0</v>
      </c>
      <c r="K794" s="31">
        <v>0.76</v>
      </c>
    </row>
    <row r="795" spans="1:11">
      <c r="A795" s="34" t="s">
        <v>865</v>
      </c>
      <c r="B795" s="34" t="s">
        <v>8</v>
      </c>
      <c r="C795" s="34" t="s">
        <v>47</v>
      </c>
      <c r="D795" s="21">
        <f ca="1">RANDBETWEEN(DATE(2023,10,1),DATE(2023,12,31))</f>
        <v>45274</v>
      </c>
      <c r="E795" s="35">
        <v>9109946</v>
      </c>
      <c r="F795" s="34">
        <v>8.21</v>
      </c>
      <c r="G795" s="34">
        <v>99</v>
      </c>
      <c r="H795" s="36">
        <v>2947652</v>
      </c>
      <c r="I795" s="34">
        <v>0</v>
      </c>
      <c r="J795" s="36">
        <v>0</v>
      </c>
      <c r="K795" s="32">
        <v>0.74</v>
      </c>
    </row>
    <row r="796" spans="1:11">
      <c r="A796" s="34" t="s">
        <v>866</v>
      </c>
      <c r="B796" s="34" t="s">
        <v>6</v>
      </c>
      <c r="C796" s="34" t="s">
        <v>30</v>
      </c>
      <c r="D796" s="21">
        <f ca="1">RANDBETWEEN(DATE(2019,7,1),DATE(2019,9,30))</f>
        <v>43666</v>
      </c>
      <c r="E796" s="35">
        <v>909090</v>
      </c>
      <c r="F796" s="34">
        <v>7.42</v>
      </c>
      <c r="G796" s="34">
        <v>6</v>
      </c>
      <c r="H796" s="36">
        <v>270068</v>
      </c>
      <c r="I796" s="34">
        <v>0</v>
      </c>
      <c r="J796" s="36">
        <v>0</v>
      </c>
      <c r="K796" s="31">
        <v>0.71</v>
      </c>
    </row>
    <row r="797" spans="1:11">
      <c r="A797" s="34" t="s">
        <v>867</v>
      </c>
      <c r="B797" s="34" t="s">
        <v>9</v>
      </c>
      <c r="C797" s="34" t="s">
        <v>29</v>
      </c>
      <c r="D797" s="21">
        <f ca="1">RANDBETWEEN(DATE(2019,4,1),DATE(2019,6,30))</f>
        <v>43603</v>
      </c>
      <c r="E797" s="35">
        <v>714139</v>
      </c>
      <c r="F797" s="37">
        <v>11.02</v>
      </c>
      <c r="G797" s="34">
        <v>22</v>
      </c>
      <c r="H797" s="36">
        <v>454346</v>
      </c>
      <c r="I797" s="34">
        <v>0</v>
      </c>
      <c r="J797" s="36">
        <v>0</v>
      </c>
      <c r="K797" s="31">
        <v>0.71</v>
      </c>
    </row>
    <row r="798" spans="1:11">
      <c r="A798" s="34" t="s">
        <v>868</v>
      </c>
      <c r="B798" s="34" t="s">
        <v>8</v>
      </c>
      <c r="C798" s="34" t="s">
        <v>31</v>
      </c>
      <c r="D798" s="21">
        <f ca="1">RANDBETWEEN(DATE(2019,10,1),DATE(2019,12,31))</f>
        <v>43808</v>
      </c>
      <c r="E798" s="35">
        <v>3455144</v>
      </c>
      <c r="F798" s="34">
        <v>7.62</v>
      </c>
      <c r="G798" s="34">
        <v>295</v>
      </c>
      <c r="H798" s="36">
        <v>1819907</v>
      </c>
      <c r="I798" s="34">
        <v>1</v>
      </c>
      <c r="J798" s="36">
        <v>645350</v>
      </c>
      <c r="K798" s="31">
        <v>0.7</v>
      </c>
    </row>
    <row r="799" spans="1:11">
      <c r="A799" s="34" t="s">
        <v>869</v>
      </c>
      <c r="B799" s="34" t="s">
        <v>10</v>
      </c>
      <c r="C799" s="34" t="s">
        <v>35</v>
      </c>
      <c r="D799" s="21">
        <f ca="1">RANDBETWEEN(DATE(2020,10,1),DATE(2020,12,31))</f>
        <v>44193</v>
      </c>
      <c r="E799" s="35">
        <v>4071643</v>
      </c>
      <c r="F799" s="34">
        <v>9.73</v>
      </c>
      <c r="G799" s="34">
        <v>13</v>
      </c>
      <c r="H799" s="36">
        <v>1342519</v>
      </c>
      <c r="I799" s="34">
        <v>1</v>
      </c>
      <c r="J799" s="36">
        <v>717495</v>
      </c>
      <c r="K799" s="31">
        <v>0.68</v>
      </c>
    </row>
    <row r="800" spans="1:11">
      <c r="A800" s="34" t="s">
        <v>870</v>
      </c>
      <c r="B800" s="34" t="s">
        <v>8</v>
      </c>
      <c r="C800" s="34" t="s">
        <v>37</v>
      </c>
      <c r="D800" s="21">
        <f ca="1">RANDBETWEEN(DATE(2021,4,1),DATE(2021,6,30))</f>
        <v>44343</v>
      </c>
      <c r="E800" s="35">
        <v>4668181</v>
      </c>
      <c r="F800" s="34">
        <v>8.17</v>
      </c>
      <c r="G800" s="34">
        <v>284</v>
      </c>
      <c r="H800" s="36">
        <v>2548907</v>
      </c>
      <c r="I800" s="34">
        <v>1</v>
      </c>
      <c r="J800" s="36">
        <v>443215</v>
      </c>
      <c r="K800" s="31">
        <v>0.72</v>
      </c>
    </row>
    <row r="801" spans="1:11">
      <c r="A801" s="34" t="s">
        <v>871</v>
      </c>
      <c r="B801" s="34" t="s">
        <v>8</v>
      </c>
      <c r="C801" s="34" t="s">
        <v>33</v>
      </c>
      <c r="D801" s="21">
        <f ca="1">RANDBETWEEN(DATE(2020,4,1),DATE(2020,6,30))</f>
        <v>43951</v>
      </c>
      <c r="E801" s="35">
        <v>9225846</v>
      </c>
      <c r="F801" s="34">
        <v>7.83</v>
      </c>
      <c r="G801" s="34">
        <v>79</v>
      </c>
      <c r="H801" s="36">
        <v>2890641</v>
      </c>
      <c r="I801" s="34">
        <v>0</v>
      </c>
      <c r="J801" s="36">
        <v>0</v>
      </c>
      <c r="K801" s="31">
        <v>0.72</v>
      </c>
    </row>
    <row r="802" spans="1:11">
      <c r="A802" s="34" t="s">
        <v>872</v>
      </c>
      <c r="B802" s="34" t="s">
        <v>8</v>
      </c>
      <c r="C802" s="34" t="s">
        <v>33</v>
      </c>
      <c r="D802" s="21">
        <f ca="1">RANDBETWEEN(DATE(2020,4,1),DATE(2020,6,30))</f>
        <v>43931</v>
      </c>
      <c r="E802" s="35">
        <v>1212482</v>
      </c>
      <c r="F802" s="34">
        <v>8.02</v>
      </c>
      <c r="G802" s="34">
        <v>148</v>
      </c>
      <c r="H802" s="36">
        <v>544874</v>
      </c>
      <c r="I802" s="34">
        <v>0</v>
      </c>
      <c r="J802" s="36">
        <v>0</v>
      </c>
      <c r="K802" s="31">
        <v>0.72</v>
      </c>
    </row>
    <row r="803" spans="1:11">
      <c r="A803" s="34" t="s">
        <v>873</v>
      </c>
      <c r="B803" s="34" t="s">
        <v>9</v>
      </c>
      <c r="C803" s="34" t="s">
        <v>30</v>
      </c>
      <c r="D803" s="21">
        <f ca="1">RANDBETWEEN(DATE(2019,7,1),DATE(2019,9,30))</f>
        <v>43738</v>
      </c>
      <c r="E803" s="35">
        <v>1672349</v>
      </c>
      <c r="F803" s="37">
        <v>10.24</v>
      </c>
      <c r="G803" s="34">
        <v>20</v>
      </c>
      <c r="H803" s="36">
        <v>1451776</v>
      </c>
      <c r="I803" s="34">
        <v>1</v>
      </c>
      <c r="J803" s="36">
        <v>524443</v>
      </c>
      <c r="K803" s="31">
        <v>0.71</v>
      </c>
    </row>
    <row r="804" spans="1:11">
      <c r="A804" s="34" t="s">
        <v>874</v>
      </c>
      <c r="B804" s="34" t="s">
        <v>9</v>
      </c>
      <c r="C804" s="34" t="s">
        <v>48</v>
      </c>
      <c r="D804" s="21">
        <f ca="1">RANDBETWEEN(DATE(2024,1,1),DATE(2024,3,31))</f>
        <v>45362</v>
      </c>
      <c r="E804" s="35">
        <v>110774</v>
      </c>
      <c r="F804" s="37">
        <v>10.28</v>
      </c>
      <c r="G804" s="34">
        <v>7</v>
      </c>
      <c r="H804" s="36">
        <v>45170</v>
      </c>
      <c r="I804" s="34">
        <v>0</v>
      </c>
      <c r="J804" s="36">
        <v>0</v>
      </c>
      <c r="K804" s="31">
        <v>0.75</v>
      </c>
    </row>
    <row r="805" spans="1:11">
      <c r="A805" s="34" t="s">
        <v>875</v>
      </c>
      <c r="B805" s="19" t="s">
        <v>7</v>
      </c>
      <c r="C805" s="34" t="s">
        <v>42</v>
      </c>
      <c r="D805" s="21">
        <f ca="1">RANDBETWEEN(DATE(2022,7,1),DATE(2022,9,30))</f>
        <v>44814</v>
      </c>
      <c r="E805" s="35">
        <v>673912</v>
      </c>
      <c r="F805" s="34">
        <v>11.34</v>
      </c>
      <c r="G805" s="34">
        <v>12</v>
      </c>
      <c r="H805" s="36">
        <v>456219</v>
      </c>
      <c r="I805" s="34">
        <v>0</v>
      </c>
      <c r="J805" s="36">
        <v>0</v>
      </c>
      <c r="K805" s="31">
        <v>0.73</v>
      </c>
    </row>
    <row r="806" spans="1:11">
      <c r="A806" s="34" t="s">
        <v>876</v>
      </c>
      <c r="B806" s="34" t="s">
        <v>10</v>
      </c>
      <c r="C806" s="34" t="s">
        <v>48</v>
      </c>
      <c r="D806" s="21">
        <f ca="1">RANDBETWEEN(DATE(2024,1,1),DATE(2024,3,31))</f>
        <v>45331</v>
      </c>
      <c r="E806" s="35">
        <v>2009055</v>
      </c>
      <c r="F806" s="34">
        <v>10.24</v>
      </c>
      <c r="G806" s="34">
        <v>40</v>
      </c>
      <c r="H806" s="36">
        <v>233260</v>
      </c>
      <c r="I806" s="34">
        <v>1</v>
      </c>
      <c r="J806" s="36">
        <v>62814</v>
      </c>
      <c r="K806" s="31">
        <v>0.75</v>
      </c>
    </row>
    <row r="807" spans="1:11">
      <c r="A807" s="34" t="s">
        <v>877</v>
      </c>
      <c r="B807" s="34" t="s">
        <v>9</v>
      </c>
      <c r="C807" s="34" t="s">
        <v>47</v>
      </c>
      <c r="D807" s="21">
        <f ca="1">RANDBETWEEN(DATE(2023,10,1),DATE(2023,12,31))</f>
        <v>45286</v>
      </c>
      <c r="E807" s="35">
        <v>372180</v>
      </c>
      <c r="F807" s="37">
        <v>11.53</v>
      </c>
      <c r="G807" s="34">
        <v>16</v>
      </c>
      <c r="H807" s="36">
        <v>303822</v>
      </c>
      <c r="I807" s="34">
        <v>0</v>
      </c>
      <c r="J807" s="36">
        <v>0</v>
      </c>
      <c r="K807" s="32">
        <v>0.74</v>
      </c>
    </row>
    <row r="808" spans="1:11">
      <c r="A808" s="34" t="s">
        <v>878</v>
      </c>
      <c r="B808" s="19" t="s">
        <v>7</v>
      </c>
      <c r="C808" s="34" t="s">
        <v>33</v>
      </c>
      <c r="D808" s="21">
        <f ca="1">RANDBETWEEN(DATE(2020,4,1),DATE(2020,6,30))</f>
        <v>43942</v>
      </c>
      <c r="E808" s="35">
        <v>1233191</v>
      </c>
      <c r="F808" s="34">
        <v>11.09</v>
      </c>
      <c r="G808" s="34">
        <v>7</v>
      </c>
      <c r="H808" s="36">
        <v>190520</v>
      </c>
      <c r="I808" s="34">
        <v>1</v>
      </c>
      <c r="J808" s="36">
        <v>26239</v>
      </c>
      <c r="K808" s="31">
        <v>0.72</v>
      </c>
    </row>
    <row r="809" spans="1:11">
      <c r="A809" s="34" t="s">
        <v>879</v>
      </c>
      <c r="B809" s="34" t="s">
        <v>10</v>
      </c>
      <c r="C809" s="34" t="s">
        <v>42</v>
      </c>
      <c r="D809" s="21">
        <f ca="1">RANDBETWEEN(DATE(2022,7,1),DATE(2022,9,30))</f>
        <v>44794</v>
      </c>
      <c r="E809" s="35">
        <v>4031138</v>
      </c>
      <c r="F809" s="34">
        <v>10.49</v>
      </c>
      <c r="G809" s="34">
        <v>25</v>
      </c>
      <c r="H809" s="36">
        <v>2808128</v>
      </c>
      <c r="I809" s="34">
        <v>0</v>
      </c>
      <c r="J809" s="36">
        <v>0</v>
      </c>
      <c r="K809" s="31">
        <v>0.73</v>
      </c>
    </row>
    <row r="810" spans="1:11">
      <c r="A810" s="34" t="s">
        <v>880</v>
      </c>
      <c r="B810" s="34" t="s">
        <v>9</v>
      </c>
      <c r="C810" s="34" t="s">
        <v>37</v>
      </c>
      <c r="D810" s="21">
        <f ca="1">RANDBETWEEN(DATE(2021,4,1),DATE(2021,6,30))</f>
        <v>44373</v>
      </c>
      <c r="E810" s="35">
        <v>1990916</v>
      </c>
      <c r="F810" s="37">
        <v>11.18</v>
      </c>
      <c r="G810" s="34">
        <v>30</v>
      </c>
      <c r="H810" s="36">
        <v>1555325</v>
      </c>
      <c r="I810" s="34">
        <v>0</v>
      </c>
      <c r="J810" s="36">
        <v>0</v>
      </c>
      <c r="K810" s="31">
        <v>0.72</v>
      </c>
    </row>
    <row r="811" spans="1:11">
      <c r="A811" s="34" t="s">
        <v>881</v>
      </c>
      <c r="B811" s="34" t="s">
        <v>10</v>
      </c>
      <c r="C811" s="34" t="s">
        <v>32</v>
      </c>
      <c r="D811" s="21">
        <f ca="1">RANDBETWEEN(DATE(2020,1,1),DATE(2020,3,31))</f>
        <v>43880</v>
      </c>
      <c r="E811" s="35">
        <v>4437431</v>
      </c>
      <c r="F811" s="34">
        <v>9.16</v>
      </c>
      <c r="G811" s="34">
        <v>12</v>
      </c>
      <c r="H811" s="36">
        <v>1518438</v>
      </c>
      <c r="I811" s="34">
        <v>0</v>
      </c>
      <c r="J811" s="36">
        <v>0</v>
      </c>
      <c r="K811" s="31">
        <v>0.68</v>
      </c>
    </row>
    <row r="812" spans="1:11">
      <c r="A812" s="34" t="s">
        <v>882</v>
      </c>
      <c r="B812" s="34" t="s">
        <v>8</v>
      </c>
      <c r="C812" s="34" t="s">
        <v>44</v>
      </c>
      <c r="D812" s="21">
        <f ca="1">RANDBETWEEN(DATE(2023,1,1),DATE(2023,3,31))</f>
        <v>44956</v>
      </c>
      <c r="E812" s="35">
        <v>683763</v>
      </c>
      <c r="F812" s="34">
        <v>8.12</v>
      </c>
      <c r="G812" s="34">
        <v>76</v>
      </c>
      <c r="H812" s="36">
        <v>274410</v>
      </c>
      <c r="I812" s="34">
        <v>0</v>
      </c>
      <c r="J812" s="36">
        <v>0</v>
      </c>
      <c r="K812" s="31">
        <v>0.73</v>
      </c>
    </row>
    <row r="813" spans="1:11">
      <c r="A813" s="34" t="s">
        <v>883</v>
      </c>
      <c r="B813" s="34" t="s">
        <v>9</v>
      </c>
      <c r="C813" s="34" t="s">
        <v>37</v>
      </c>
      <c r="D813" s="21">
        <f ca="1">RANDBETWEEN(DATE(2021,4,1),DATE(2021,6,30))</f>
        <v>44363</v>
      </c>
      <c r="E813" s="35">
        <v>1637377</v>
      </c>
      <c r="F813" s="37">
        <v>10.2</v>
      </c>
      <c r="G813" s="34">
        <v>54</v>
      </c>
      <c r="H813" s="36">
        <v>372392</v>
      </c>
      <c r="I813" s="34">
        <v>0</v>
      </c>
      <c r="J813" s="36">
        <v>0</v>
      </c>
      <c r="K813" s="31">
        <v>0.72</v>
      </c>
    </row>
    <row r="814" spans="1:11">
      <c r="A814" s="34" t="s">
        <v>884</v>
      </c>
      <c r="B814" s="34" t="s">
        <v>10</v>
      </c>
      <c r="C814" s="34" t="s">
        <v>47</v>
      </c>
      <c r="D814" s="21">
        <f ca="1">RANDBETWEEN(DATE(2023,10,1),DATE(2023,12,31))</f>
        <v>45239</v>
      </c>
      <c r="E814" s="35">
        <v>2620368</v>
      </c>
      <c r="F814" s="34">
        <v>10.71</v>
      </c>
      <c r="G814" s="34">
        <v>95</v>
      </c>
      <c r="H814" s="36">
        <v>744334</v>
      </c>
      <c r="I814" s="34">
        <v>0</v>
      </c>
      <c r="J814" s="36">
        <v>0</v>
      </c>
      <c r="K814" s="32">
        <v>0.74</v>
      </c>
    </row>
    <row r="815" spans="1:11">
      <c r="A815" s="34" t="s">
        <v>885</v>
      </c>
      <c r="B815" s="34" t="s">
        <v>8</v>
      </c>
      <c r="C815" s="34" t="s">
        <v>34</v>
      </c>
      <c r="D815" s="21">
        <f ca="1">RANDBETWEEN(DATE(2020,7,1),DATE(2020,9,30))</f>
        <v>44031</v>
      </c>
      <c r="E815" s="35">
        <v>9195721</v>
      </c>
      <c r="F815" s="34">
        <v>7.82</v>
      </c>
      <c r="G815" s="34">
        <v>200</v>
      </c>
      <c r="H815" s="36">
        <v>1111606</v>
      </c>
      <c r="I815" s="34">
        <v>0</v>
      </c>
      <c r="J815" s="36">
        <v>0</v>
      </c>
      <c r="K815" s="31">
        <v>0.68</v>
      </c>
    </row>
    <row r="816" spans="1:11">
      <c r="A816" s="34" t="s">
        <v>886</v>
      </c>
      <c r="B816" s="34" t="s">
        <v>8</v>
      </c>
      <c r="C816" s="34" t="s">
        <v>29</v>
      </c>
      <c r="D816" s="21">
        <f ca="1">RANDBETWEEN(DATE(2019,4,1),DATE(2019,6,30))</f>
        <v>43613</v>
      </c>
      <c r="E816" s="35">
        <v>4013052</v>
      </c>
      <c r="F816" s="34">
        <v>8.39</v>
      </c>
      <c r="G816" s="34">
        <v>298</v>
      </c>
      <c r="H816" s="36">
        <v>1402158</v>
      </c>
      <c r="I816" s="34">
        <v>0</v>
      </c>
      <c r="J816" s="36">
        <v>0</v>
      </c>
      <c r="K816" s="31">
        <v>0.71</v>
      </c>
    </row>
    <row r="817" spans="1:11">
      <c r="A817" s="34" t="s">
        <v>887</v>
      </c>
      <c r="B817" s="34" t="s">
        <v>6</v>
      </c>
      <c r="C817" s="34" t="s">
        <v>43</v>
      </c>
      <c r="D817" s="21">
        <f ca="1">RANDBETWEEN(DATE(2022,10,1),DATE(2022,12,31))</f>
        <v>44888</v>
      </c>
      <c r="E817" s="35">
        <v>291731</v>
      </c>
      <c r="F817" s="34">
        <v>8.06</v>
      </c>
      <c r="G817" s="34">
        <v>28</v>
      </c>
      <c r="H817" s="36">
        <v>145717</v>
      </c>
      <c r="I817" s="34">
        <v>0</v>
      </c>
      <c r="J817" s="36">
        <v>0</v>
      </c>
      <c r="K817" s="31">
        <v>0.71</v>
      </c>
    </row>
    <row r="818" spans="1:11">
      <c r="A818" s="34" t="s">
        <v>888</v>
      </c>
      <c r="B818" s="19" t="s">
        <v>7</v>
      </c>
      <c r="C818" s="34" t="s">
        <v>42</v>
      </c>
      <c r="D818" s="21">
        <f ca="1">RANDBETWEEN(DATE(2022,7,1),DATE(2022,9,30))</f>
        <v>44818</v>
      </c>
      <c r="E818" s="35">
        <v>1387529</v>
      </c>
      <c r="F818" s="34">
        <v>12.88</v>
      </c>
      <c r="G818" s="34">
        <v>54</v>
      </c>
      <c r="H818" s="36">
        <v>1010107</v>
      </c>
      <c r="I818" s="34">
        <v>0</v>
      </c>
      <c r="J818" s="36">
        <v>0</v>
      </c>
      <c r="K818" s="31">
        <v>0.73</v>
      </c>
    </row>
    <row r="819" spans="1:11">
      <c r="A819" s="34" t="s">
        <v>889</v>
      </c>
      <c r="B819" s="34" t="s">
        <v>9</v>
      </c>
      <c r="C819" s="34" t="s">
        <v>31</v>
      </c>
      <c r="D819" s="21">
        <f ca="1">RANDBETWEEN(DATE(2019,10,1),DATE(2019,12,31))</f>
        <v>43797</v>
      </c>
      <c r="E819" s="35">
        <v>1642889</v>
      </c>
      <c r="F819" s="37">
        <v>10.65</v>
      </c>
      <c r="G819" s="34">
        <v>24</v>
      </c>
      <c r="H819" s="36">
        <v>818593</v>
      </c>
      <c r="I819" s="34">
        <v>1</v>
      </c>
      <c r="J819" s="36">
        <v>127077</v>
      </c>
      <c r="K819" s="31">
        <v>0.7</v>
      </c>
    </row>
    <row r="820" spans="1:11">
      <c r="A820" s="34" t="s">
        <v>890</v>
      </c>
      <c r="B820" s="34" t="s">
        <v>9</v>
      </c>
      <c r="C820" s="34" t="s">
        <v>39</v>
      </c>
      <c r="D820" s="21">
        <f ca="1">RANDBETWEEN(DATE(2021,10,1),DATE(2021,12,31))</f>
        <v>44472</v>
      </c>
      <c r="E820" s="35">
        <v>1139252</v>
      </c>
      <c r="F820" s="37">
        <v>11.01</v>
      </c>
      <c r="G820" s="34">
        <v>22</v>
      </c>
      <c r="H820" s="36">
        <v>463251</v>
      </c>
      <c r="I820" s="34">
        <v>0</v>
      </c>
      <c r="J820" s="36">
        <v>0</v>
      </c>
      <c r="K820" s="31">
        <v>0.71</v>
      </c>
    </row>
    <row r="821" spans="1:11">
      <c r="A821" s="34" t="s">
        <v>891</v>
      </c>
      <c r="B821" s="34" t="s">
        <v>9</v>
      </c>
      <c r="C821" s="34" t="s">
        <v>43</v>
      </c>
      <c r="D821" s="21">
        <f ca="1">RANDBETWEEN(DATE(2022,10,1),DATE(2022,12,31))</f>
        <v>44885</v>
      </c>
      <c r="E821" s="35">
        <v>278122</v>
      </c>
      <c r="F821" s="37">
        <v>11.89</v>
      </c>
      <c r="G821" s="34">
        <v>15</v>
      </c>
      <c r="H821" s="36">
        <v>117195</v>
      </c>
      <c r="I821" s="34">
        <v>0</v>
      </c>
      <c r="J821" s="36">
        <v>0</v>
      </c>
      <c r="K821" s="31">
        <v>0.71</v>
      </c>
    </row>
    <row r="822" spans="1:11">
      <c r="A822" s="34" t="s">
        <v>892</v>
      </c>
      <c r="B822" s="34" t="s">
        <v>9</v>
      </c>
      <c r="C822" s="34" t="s">
        <v>40</v>
      </c>
      <c r="D822" s="21">
        <f ca="1">RANDBETWEEN(DATE(2022,1,1),DATE(2022,3,31))</f>
        <v>44627</v>
      </c>
      <c r="E822" s="35">
        <v>1806469</v>
      </c>
      <c r="F822" s="37">
        <v>10.88</v>
      </c>
      <c r="G822" s="34">
        <v>7</v>
      </c>
      <c r="H822" s="36">
        <v>337084</v>
      </c>
      <c r="I822" s="34">
        <v>1</v>
      </c>
      <c r="J822" s="36">
        <v>65597</v>
      </c>
      <c r="K822" s="31">
        <v>0.71</v>
      </c>
    </row>
    <row r="823" spans="1:11">
      <c r="A823" s="34" t="s">
        <v>893</v>
      </c>
      <c r="B823" s="34" t="s">
        <v>6</v>
      </c>
      <c r="C823" s="34" t="s">
        <v>34</v>
      </c>
      <c r="D823" s="21">
        <f ca="1">RANDBETWEEN(DATE(2020,7,1),DATE(2020,9,30))</f>
        <v>44064</v>
      </c>
      <c r="E823" s="35">
        <v>445156</v>
      </c>
      <c r="F823" s="34">
        <v>7.94</v>
      </c>
      <c r="G823" s="34">
        <v>8</v>
      </c>
      <c r="H823" s="36">
        <v>162834</v>
      </c>
      <c r="I823" s="34">
        <v>0</v>
      </c>
      <c r="J823" s="36">
        <v>0</v>
      </c>
      <c r="K823" s="31">
        <v>0.68</v>
      </c>
    </row>
    <row r="824" spans="1:11">
      <c r="A824" s="34" t="s">
        <v>894</v>
      </c>
      <c r="B824" s="34" t="s">
        <v>6</v>
      </c>
      <c r="C824" s="34" t="s">
        <v>43</v>
      </c>
      <c r="D824" s="21">
        <f ca="1">RANDBETWEEN(DATE(2022,10,1),DATE(2022,12,31))</f>
        <v>44903</v>
      </c>
      <c r="E824" s="35">
        <v>598859</v>
      </c>
      <c r="F824" s="34">
        <v>7.1</v>
      </c>
      <c r="G824" s="34">
        <v>11</v>
      </c>
      <c r="H824" s="36">
        <v>562081</v>
      </c>
      <c r="I824" s="34">
        <v>0</v>
      </c>
      <c r="J824" s="36">
        <v>0</v>
      </c>
      <c r="K824" s="31">
        <v>0.71</v>
      </c>
    </row>
    <row r="825" spans="1:11">
      <c r="A825" s="34" t="s">
        <v>895</v>
      </c>
      <c r="B825" s="34" t="s">
        <v>9</v>
      </c>
      <c r="C825" s="34" t="s">
        <v>34</v>
      </c>
      <c r="D825" s="21">
        <f ca="1">RANDBETWEEN(DATE(2020,7,1),DATE(2020,9,30))</f>
        <v>44091</v>
      </c>
      <c r="E825" s="35">
        <v>1307837</v>
      </c>
      <c r="F825" s="37">
        <v>10.17</v>
      </c>
      <c r="G825" s="34">
        <v>54</v>
      </c>
      <c r="H825" s="36">
        <v>895647</v>
      </c>
      <c r="I825" s="34">
        <v>0</v>
      </c>
      <c r="J825" s="36">
        <v>0</v>
      </c>
      <c r="K825" s="31">
        <v>0.68</v>
      </c>
    </row>
    <row r="826" spans="1:11">
      <c r="A826" s="34" t="s">
        <v>896</v>
      </c>
      <c r="B826" s="34" t="s">
        <v>6</v>
      </c>
      <c r="C826" s="34" t="s">
        <v>44</v>
      </c>
      <c r="D826" s="21">
        <f ca="1">RANDBETWEEN(DATE(2023,1,1),DATE(2023,3,31))</f>
        <v>44951</v>
      </c>
      <c r="E826" s="35">
        <v>664800</v>
      </c>
      <c r="F826" s="34">
        <v>7.94</v>
      </c>
      <c r="G826" s="34">
        <v>34</v>
      </c>
      <c r="H826" s="36">
        <v>585053</v>
      </c>
      <c r="I826" s="34">
        <v>0</v>
      </c>
      <c r="J826" s="36">
        <v>0</v>
      </c>
      <c r="K826" s="31">
        <v>0.73</v>
      </c>
    </row>
    <row r="827" spans="1:11">
      <c r="A827" s="34" t="s">
        <v>897</v>
      </c>
      <c r="B827" s="34" t="s">
        <v>10</v>
      </c>
      <c r="C827" s="34" t="s">
        <v>39</v>
      </c>
      <c r="D827" s="21">
        <f ca="1">RANDBETWEEN(DATE(2021,10,1),DATE(2021,12,31))</f>
        <v>44550</v>
      </c>
      <c r="E827" s="35">
        <v>4450669</v>
      </c>
      <c r="F827" s="34">
        <v>9.34</v>
      </c>
      <c r="G827" s="34">
        <v>8</v>
      </c>
      <c r="H827" s="36">
        <v>957174</v>
      </c>
      <c r="I827" s="34">
        <v>0</v>
      </c>
      <c r="J827" s="36">
        <v>0</v>
      </c>
      <c r="K827" s="31">
        <v>0.71</v>
      </c>
    </row>
    <row r="828" spans="1:11">
      <c r="A828" s="34" t="s">
        <v>898</v>
      </c>
      <c r="B828" s="34" t="s">
        <v>8</v>
      </c>
      <c r="C828" s="34" t="s">
        <v>43</v>
      </c>
      <c r="D828" s="21">
        <f ca="1">RANDBETWEEN(DATE(2022,10,1),DATE(2022,12,31))</f>
        <v>44863</v>
      </c>
      <c r="E828" s="35">
        <v>3082930</v>
      </c>
      <c r="F828" s="34">
        <v>7.91</v>
      </c>
      <c r="G828" s="34">
        <v>204</v>
      </c>
      <c r="H828" s="36">
        <v>1031762</v>
      </c>
      <c r="I828" s="34">
        <v>0</v>
      </c>
      <c r="J828" s="36">
        <v>0</v>
      </c>
      <c r="K828" s="31">
        <v>0.71</v>
      </c>
    </row>
    <row r="829" spans="1:11">
      <c r="A829" s="34" t="s">
        <v>899</v>
      </c>
      <c r="B829" s="34" t="s">
        <v>10</v>
      </c>
      <c r="C829" s="34" t="s">
        <v>43</v>
      </c>
      <c r="D829" s="21">
        <f ca="1">RANDBETWEEN(DATE(2022,10,1),DATE(2022,12,31))</f>
        <v>44856</v>
      </c>
      <c r="E829" s="35">
        <v>4709974</v>
      </c>
      <c r="F829" s="34">
        <v>9.77</v>
      </c>
      <c r="G829" s="34">
        <v>19</v>
      </c>
      <c r="H829" s="36">
        <v>4243004</v>
      </c>
      <c r="I829" s="34">
        <v>1</v>
      </c>
      <c r="J829" s="36">
        <v>3017937</v>
      </c>
      <c r="K829" s="31">
        <v>0.71</v>
      </c>
    </row>
    <row r="830" spans="1:11">
      <c r="A830" s="34" t="s">
        <v>900</v>
      </c>
      <c r="B830" s="34" t="s">
        <v>8</v>
      </c>
      <c r="C830" s="34" t="s">
        <v>30</v>
      </c>
      <c r="D830" s="21">
        <f ca="1">RANDBETWEEN(DATE(2019,7,1),DATE(2019,9,30))</f>
        <v>43651</v>
      </c>
      <c r="E830" s="35">
        <v>5465729</v>
      </c>
      <c r="F830" s="34">
        <v>7.68</v>
      </c>
      <c r="G830" s="34">
        <v>133</v>
      </c>
      <c r="H830" s="36">
        <v>4297558</v>
      </c>
      <c r="I830" s="34">
        <v>0</v>
      </c>
      <c r="J830" s="36">
        <v>0</v>
      </c>
      <c r="K830" s="31">
        <v>0.71</v>
      </c>
    </row>
    <row r="831" spans="1:11">
      <c r="A831" s="34" t="s">
        <v>901</v>
      </c>
      <c r="B831" s="34" t="s">
        <v>10</v>
      </c>
      <c r="C831" s="34" t="s">
        <v>37</v>
      </c>
      <c r="D831" s="21">
        <f ca="1">RANDBETWEEN(DATE(2021,4,1),DATE(2021,6,30))</f>
        <v>44339</v>
      </c>
      <c r="E831" s="35">
        <v>1454379</v>
      </c>
      <c r="F831" s="34">
        <v>11.18</v>
      </c>
      <c r="G831" s="34">
        <v>85</v>
      </c>
      <c r="H831" s="36">
        <v>672131</v>
      </c>
      <c r="I831" s="34">
        <v>0</v>
      </c>
      <c r="J831" s="36">
        <v>0</v>
      </c>
      <c r="K831" s="31">
        <v>0.72</v>
      </c>
    </row>
    <row r="832" spans="1:11">
      <c r="A832" s="34" t="s">
        <v>902</v>
      </c>
      <c r="B832" s="34" t="s">
        <v>9</v>
      </c>
      <c r="C832" s="34" t="s">
        <v>32</v>
      </c>
      <c r="D832" s="21">
        <f ca="1">RANDBETWEEN(DATE(2020,1,1),DATE(2020,3,31))</f>
        <v>43881</v>
      </c>
      <c r="E832" s="35">
        <v>1359900</v>
      </c>
      <c r="F832" s="37">
        <v>10.17</v>
      </c>
      <c r="G832" s="34">
        <v>23</v>
      </c>
      <c r="H832" s="36">
        <v>1346265</v>
      </c>
      <c r="I832" s="34">
        <v>1</v>
      </c>
      <c r="J832" s="36">
        <v>851751</v>
      </c>
      <c r="K832" s="31">
        <v>0.68</v>
      </c>
    </row>
    <row r="833" spans="1:11">
      <c r="A833" s="34" t="s">
        <v>903</v>
      </c>
      <c r="B833" s="34" t="s">
        <v>6</v>
      </c>
      <c r="C833" s="34" t="s">
        <v>38</v>
      </c>
      <c r="D833" s="21">
        <f ca="1">RANDBETWEEN(DATE(2021,7,1),DATE(2021,9,30))</f>
        <v>44438</v>
      </c>
      <c r="E833" s="35">
        <v>262118</v>
      </c>
      <c r="F833" s="34">
        <v>8.45</v>
      </c>
      <c r="G833" s="34">
        <v>40</v>
      </c>
      <c r="H833" s="36">
        <v>118890</v>
      </c>
      <c r="I833" s="34">
        <v>1</v>
      </c>
      <c r="J833" s="36">
        <v>76070</v>
      </c>
      <c r="K833" s="33">
        <v>0.68</v>
      </c>
    </row>
    <row r="834" spans="1:11">
      <c r="A834" s="34" t="s">
        <v>904</v>
      </c>
      <c r="B834" s="34" t="s">
        <v>6</v>
      </c>
      <c r="C834" s="34" t="s">
        <v>33</v>
      </c>
      <c r="D834" s="21">
        <f ca="1">RANDBETWEEN(DATE(2020,4,1),DATE(2020,6,30))</f>
        <v>43952</v>
      </c>
      <c r="E834" s="35">
        <v>452595</v>
      </c>
      <c r="F834" s="34">
        <v>7.06</v>
      </c>
      <c r="G834" s="34">
        <v>12</v>
      </c>
      <c r="H834" s="36">
        <v>44866</v>
      </c>
      <c r="I834" s="34">
        <v>0</v>
      </c>
      <c r="J834" s="36">
        <v>0</v>
      </c>
      <c r="K834" s="31">
        <v>0.72</v>
      </c>
    </row>
    <row r="835" spans="1:11">
      <c r="A835" s="34" t="s">
        <v>905</v>
      </c>
      <c r="B835" s="34" t="s">
        <v>6</v>
      </c>
      <c r="C835" s="34" t="s">
        <v>33</v>
      </c>
      <c r="D835" s="21">
        <f ca="1">RANDBETWEEN(DATE(2020,4,1),DATE(2020,6,30))</f>
        <v>43922</v>
      </c>
      <c r="E835" s="35">
        <v>991109</v>
      </c>
      <c r="F835" s="34">
        <v>7.5</v>
      </c>
      <c r="G835" s="34">
        <v>10</v>
      </c>
      <c r="H835" s="36">
        <v>408898</v>
      </c>
      <c r="I835" s="34">
        <v>1</v>
      </c>
      <c r="J835" s="36">
        <v>279028</v>
      </c>
      <c r="K835" s="31">
        <v>0.72</v>
      </c>
    </row>
    <row r="836" spans="1:11">
      <c r="A836" s="34" t="s">
        <v>906</v>
      </c>
      <c r="B836" s="34" t="s">
        <v>10</v>
      </c>
      <c r="C836" s="34" t="s">
        <v>42</v>
      </c>
      <c r="D836" s="21">
        <f ca="1">RANDBETWEEN(DATE(2022,7,1),DATE(2022,9,30))</f>
        <v>44771</v>
      </c>
      <c r="E836" s="35">
        <v>4907565</v>
      </c>
      <c r="F836" s="34">
        <v>11.35</v>
      </c>
      <c r="G836" s="34">
        <v>112</v>
      </c>
      <c r="H836" s="36">
        <v>4846179</v>
      </c>
      <c r="I836" s="34">
        <v>0</v>
      </c>
      <c r="J836" s="36">
        <v>0</v>
      </c>
      <c r="K836" s="31">
        <v>0.73</v>
      </c>
    </row>
    <row r="837" spans="1:11">
      <c r="A837" s="34" t="s">
        <v>907</v>
      </c>
      <c r="B837" s="34" t="s">
        <v>9</v>
      </c>
      <c r="C837" s="34" t="s">
        <v>29</v>
      </c>
      <c r="D837" s="21">
        <f ca="1">RANDBETWEEN(DATE(2019,4,1),DATE(2019,6,30))</f>
        <v>43623</v>
      </c>
      <c r="E837" s="35">
        <v>635731</v>
      </c>
      <c r="F837" s="37">
        <v>11.79</v>
      </c>
      <c r="G837" s="34">
        <v>34</v>
      </c>
      <c r="H837" s="36">
        <v>242579</v>
      </c>
      <c r="I837" s="34">
        <v>0</v>
      </c>
      <c r="J837" s="36">
        <v>0</v>
      </c>
      <c r="K837" s="31">
        <v>0.71</v>
      </c>
    </row>
    <row r="838" spans="1:11">
      <c r="A838" s="34" t="s">
        <v>908</v>
      </c>
      <c r="B838" s="34" t="s">
        <v>10</v>
      </c>
      <c r="C838" s="34" t="s">
        <v>31</v>
      </c>
      <c r="D838" s="21">
        <f ca="1">RANDBETWEEN(DATE(2019,10,1),DATE(2019,12,31))</f>
        <v>43824</v>
      </c>
      <c r="E838" s="35">
        <v>2941327</v>
      </c>
      <c r="F838" s="34">
        <v>9.7</v>
      </c>
      <c r="G838" s="34">
        <v>54</v>
      </c>
      <c r="H838" s="36">
        <v>267018</v>
      </c>
      <c r="I838" s="34">
        <v>0</v>
      </c>
      <c r="J838" s="36">
        <v>0</v>
      </c>
      <c r="K838" s="31">
        <v>0.7</v>
      </c>
    </row>
    <row r="839" spans="1:11">
      <c r="A839" s="34" t="s">
        <v>909</v>
      </c>
      <c r="B839" s="34" t="s">
        <v>9</v>
      </c>
      <c r="C839" s="34" t="s">
        <v>42</v>
      </c>
      <c r="D839" s="21">
        <f ca="1">RANDBETWEEN(DATE(2022,7,1),DATE(2022,9,30))</f>
        <v>44828</v>
      </c>
      <c r="E839" s="35">
        <v>1769260</v>
      </c>
      <c r="F839" s="37">
        <v>10.01</v>
      </c>
      <c r="G839" s="34">
        <v>28</v>
      </c>
      <c r="H839" s="36">
        <v>1149861</v>
      </c>
      <c r="I839" s="34">
        <v>0</v>
      </c>
      <c r="J839" s="36">
        <v>0</v>
      </c>
      <c r="K839" s="31">
        <v>0.73</v>
      </c>
    </row>
    <row r="840" spans="1:11">
      <c r="A840" s="34" t="s">
        <v>910</v>
      </c>
      <c r="B840" s="34" t="s">
        <v>9</v>
      </c>
      <c r="C840" s="34" t="s">
        <v>46</v>
      </c>
      <c r="D840" s="21">
        <f ca="1">RANDBETWEEN(DATE(2023,7,1),DATE(2023,9,30))</f>
        <v>45116</v>
      </c>
      <c r="E840" s="35">
        <v>1640848</v>
      </c>
      <c r="F840" s="37">
        <v>9.53</v>
      </c>
      <c r="G840" s="34">
        <v>8</v>
      </c>
      <c r="H840" s="36">
        <v>910152</v>
      </c>
      <c r="I840" s="34">
        <v>1</v>
      </c>
      <c r="J840" s="36">
        <v>380363</v>
      </c>
      <c r="K840" s="31">
        <v>0.76</v>
      </c>
    </row>
    <row r="841" spans="1:11">
      <c r="A841" s="34" t="s">
        <v>911</v>
      </c>
      <c r="B841" s="34" t="s">
        <v>6</v>
      </c>
      <c r="C841" s="34" t="s">
        <v>29</v>
      </c>
      <c r="D841" s="21">
        <f ca="1">RANDBETWEEN(DATE(2019,4,1),DATE(2019,6,30))</f>
        <v>43605</v>
      </c>
      <c r="E841" s="35">
        <v>335259</v>
      </c>
      <c r="F841" s="34">
        <v>7.79</v>
      </c>
      <c r="G841" s="34">
        <v>8</v>
      </c>
      <c r="H841" s="36">
        <v>92121</v>
      </c>
      <c r="I841" s="34">
        <v>0</v>
      </c>
      <c r="J841" s="36">
        <v>0</v>
      </c>
      <c r="K841" s="31">
        <v>0.71</v>
      </c>
    </row>
    <row r="842" spans="1:11">
      <c r="A842" s="34" t="s">
        <v>912</v>
      </c>
      <c r="B842" s="34" t="s">
        <v>8</v>
      </c>
      <c r="C842" s="34" t="s">
        <v>48</v>
      </c>
      <c r="D842" s="21">
        <f ca="1">RANDBETWEEN(DATE(2024,1,1),DATE(2024,3,31))</f>
        <v>45382</v>
      </c>
      <c r="E842" s="35">
        <v>8583121</v>
      </c>
      <c r="F842" s="34">
        <v>8.42</v>
      </c>
      <c r="G842" s="34">
        <v>293</v>
      </c>
      <c r="H842" s="36">
        <v>1756821</v>
      </c>
      <c r="I842" s="34">
        <v>0</v>
      </c>
      <c r="J842" s="36">
        <v>0</v>
      </c>
      <c r="K842" s="31">
        <v>0.75</v>
      </c>
    </row>
    <row r="843" spans="1:11">
      <c r="A843" s="34" t="s">
        <v>913</v>
      </c>
      <c r="B843" s="34" t="s">
        <v>8</v>
      </c>
      <c r="C843" s="34" t="s">
        <v>47</v>
      </c>
      <c r="D843" s="21">
        <f ca="1">RANDBETWEEN(DATE(2023,10,1),DATE(2023,12,31))</f>
        <v>45266</v>
      </c>
      <c r="E843" s="35">
        <v>2245004</v>
      </c>
      <c r="F843" s="34">
        <v>8.3</v>
      </c>
      <c r="G843" s="34">
        <v>252</v>
      </c>
      <c r="H843" s="36">
        <v>2112293</v>
      </c>
      <c r="I843" s="34">
        <v>0</v>
      </c>
      <c r="J843" s="36">
        <v>0</v>
      </c>
      <c r="K843" s="32">
        <v>0.74</v>
      </c>
    </row>
    <row r="844" spans="1:11">
      <c r="A844" s="34" t="s">
        <v>914</v>
      </c>
      <c r="B844" s="19" t="s">
        <v>7</v>
      </c>
      <c r="C844" s="34" t="s">
        <v>45</v>
      </c>
      <c r="D844" s="21">
        <f ca="1">RANDBETWEEN(DATE(2023,4,1),DATE(2023,6,30))</f>
        <v>45034</v>
      </c>
      <c r="E844" s="35">
        <v>1838945</v>
      </c>
      <c r="F844" s="34">
        <v>11.19</v>
      </c>
      <c r="G844" s="34">
        <v>6</v>
      </c>
      <c r="H844" s="36">
        <v>1692989</v>
      </c>
      <c r="I844" s="34">
        <v>1</v>
      </c>
      <c r="J844" s="36">
        <v>373668</v>
      </c>
      <c r="K844" s="31">
        <v>0.73</v>
      </c>
    </row>
    <row r="845" spans="1:11">
      <c r="A845" s="34" t="s">
        <v>915</v>
      </c>
      <c r="B845" s="34" t="s">
        <v>9</v>
      </c>
      <c r="C845" s="34" t="s">
        <v>45</v>
      </c>
      <c r="D845" s="21">
        <f ca="1">RANDBETWEEN(DATE(2023,4,1),DATE(2023,6,30))</f>
        <v>45080</v>
      </c>
      <c r="E845" s="35">
        <v>522755</v>
      </c>
      <c r="F845" s="37">
        <v>10.09</v>
      </c>
      <c r="G845" s="34">
        <v>51</v>
      </c>
      <c r="H845" s="36">
        <v>147646</v>
      </c>
      <c r="I845" s="34">
        <v>1</v>
      </c>
      <c r="J845" s="36">
        <v>112963</v>
      </c>
      <c r="K845" s="31">
        <v>0.73</v>
      </c>
    </row>
    <row r="846" spans="1:11">
      <c r="A846" s="34" t="s">
        <v>916</v>
      </c>
      <c r="B846" s="19" t="s">
        <v>7</v>
      </c>
      <c r="C846" s="34" t="s">
        <v>38</v>
      </c>
      <c r="D846" s="21">
        <f ca="1">RANDBETWEEN(DATE(2021,7,1),DATE(2021,9,30))</f>
        <v>44429</v>
      </c>
      <c r="E846" s="35">
        <v>1432728</v>
      </c>
      <c r="F846" s="34">
        <v>12.06</v>
      </c>
      <c r="G846" s="34">
        <v>43</v>
      </c>
      <c r="H846" s="36">
        <v>843693</v>
      </c>
      <c r="I846" s="34">
        <v>0</v>
      </c>
      <c r="J846" s="36">
        <v>0</v>
      </c>
      <c r="K846" s="33">
        <v>0.68</v>
      </c>
    </row>
    <row r="847" spans="1:11">
      <c r="A847" s="34" t="s">
        <v>917</v>
      </c>
      <c r="B847" s="34" t="s">
        <v>8</v>
      </c>
      <c r="C847" s="34" t="s">
        <v>42</v>
      </c>
      <c r="D847" s="21">
        <f ca="1">RANDBETWEEN(DATE(2022,7,1),DATE(2022,9,30))</f>
        <v>44785</v>
      </c>
      <c r="E847" s="35">
        <v>6864320</v>
      </c>
      <c r="F847" s="34">
        <v>8.05</v>
      </c>
      <c r="G847" s="34">
        <v>198</v>
      </c>
      <c r="H847" s="36">
        <v>2877884</v>
      </c>
      <c r="I847" s="34">
        <v>0</v>
      </c>
      <c r="J847" s="36">
        <v>0</v>
      </c>
      <c r="K847" s="31">
        <v>0.73</v>
      </c>
    </row>
    <row r="848" spans="1:11">
      <c r="A848" s="34" t="s">
        <v>918</v>
      </c>
      <c r="B848" s="34" t="s">
        <v>8</v>
      </c>
      <c r="C848" s="34" t="s">
        <v>40</v>
      </c>
      <c r="D848" s="21">
        <f ca="1">RANDBETWEEN(DATE(2022,1,1),DATE(2022,3,31))</f>
        <v>44594</v>
      </c>
      <c r="E848" s="35">
        <v>2977296</v>
      </c>
      <c r="F848" s="34">
        <v>8.42</v>
      </c>
      <c r="G848" s="34">
        <v>69</v>
      </c>
      <c r="H848" s="36">
        <v>2184910</v>
      </c>
      <c r="I848" s="34">
        <v>0</v>
      </c>
      <c r="J848" s="36">
        <v>0</v>
      </c>
      <c r="K848" s="31">
        <v>0.71</v>
      </c>
    </row>
    <row r="849" spans="1:11">
      <c r="A849" s="34" t="s">
        <v>919</v>
      </c>
      <c r="B849" s="34" t="s">
        <v>10</v>
      </c>
      <c r="C849" s="34" t="s">
        <v>30</v>
      </c>
      <c r="D849" s="21">
        <f ca="1">RANDBETWEEN(DATE(2019,7,1),DATE(2019,9,30))</f>
        <v>43708</v>
      </c>
      <c r="E849" s="35">
        <v>3498154</v>
      </c>
      <c r="F849" s="34">
        <v>9.05</v>
      </c>
      <c r="G849" s="34">
        <v>11</v>
      </c>
      <c r="H849" s="36">
        <v>3045307</v>
      </c>
      <c r="I849" s="34">
        <v>1</v>
      </c>
      <c r="J849" s="36">
        <v>1685771</v>
      </c>
      <c r="K849" s="31">
        <v>0.71</v>
      </c>
    </row>
    <row r="850" spans="1:11">
      <c r="A850" s="34" t="s">
        <v>920</v>
      </c>
      <c r="B850" s="34" t="s">
        <v>10</v>
      </c>
      <c r="C850" s="34" t="s">
        <v>45</v>
      </c>
      <c r="D850" s="21">
        <f ca="1">RANDBETWEEN(DATE(2023,4,1),DATE(2023,6,30))</f>
        <v>45086</v>
      </c>
      <c r="E850" s="35">
        <v>4642687</v>
      </c>
      <c r="F850" s="34">
        <v>9.96</v>
      </c>
      <c r="G850" s="34">
        <v>60</v>
      </c>
      <c r="H850" s="36">
        <v>2631427</v>
      </c>
      <c r="I850" s="34">
        <v>0</v>
      </c>
      <c r="J850" s="36">
        <v>0</v>
      </c>
      <c r="K850" s="31">
        <v>0.73</v>
      </c>
    </row>
    <row r="851" spans="1:11">
      <c r="A851" s="34" t="s">
        <v>921</v>
      </c>
      <c r="B851" s="34" t="s">
        <v>6</v>
      </c>
      <c r="C851" s="34" t="s">
        <v>46</v>
      </c>
      <c r="D851" s="21">
        <f ca="1">RANDBETWEEN(DATE(2023,7,1),DATE(2023,9,30))</f>
        <v>45121</v>
      </c>
      <c r="E851" s="35">
        <v>439175</v>
      </c>
      <c r="F851" s="34">
        <v>7.91</v>
      </c>
      <c r="G851" s="34">
        <v>12</v>
      </c>
      <c r="H851" s="36">
        <v>313902</v>
      </c>
      <c r="I851" s="34">
        <v>0</v>
      </c>
      <c r="J851" s="36">
        <v>0</v>
      </c>
      <c r="K851" s="31">
        <v>0.76</v>
      </c>
    </row>
    <row r="852" spans="1:11">
      <c r="A852" s="34" t="s">
        <v>922</v>
      </c>
      <c r="B852" s="34" t="s">
        <v>9</v>
      </c>
      <c r="C852" s="34" t="s">
        <v>36</v>
      </c>
      <c r="D852" s="21">
        <f ca="1">RANDBETWEEN(DATE(2021,1,1),DATE(2021,3,31))</f>
        <v>44216</v>
      </c>
      <c r="E852" s="35">
        <v>1475695</v>
      </c>
      <c r="F852" s="37">
        <v>10.33</v>
      </c>
      <c r="G852" s="34">
        <v>9</v>
      </c>
      <c r="H852" s="36">
        <v>856472</v>
      </c>
      <c r="I852" s="34">
        <v>0</v>
      </c>
      <c r="J852" s="36">
        <v>0</v>
      </c>
      <c r="K852" s="30">
        <v>0.744</v>
      </c>
    </row>
    <row r="853" spans="1:11">
      <c r="A853" s="34" t="s">
        <v>923</v>
      </c>
      <c r="B853" s="34" t="s">
        <v>8</v>
      </c>
      <c r="C853" s="34" t="s">
        <v>35</v>
      </c>
      <c r="D853" s="21">
        <f ca="1">RANDBETWEEN(DATE(2020,10,1),DATE(2020,12,31))</f>
        <v>44152</v>
      </c>
      <c r="E853" s="35">
        <v>3919751</v>
      </c>
      <c r="F853" s="34">
        <v>7.95</v>
      </c>
      <c r="G853" s="34">
        <v>161</v>
      </c>
      <c r="H853" s="36">
        <v>2875339</v>
      </c>
      <c r="I853" s="34">
        <v>0</v>
      </c>
      <c r="J853" s="36">
        <v>0</v>
      </c>
      <c r="K853" s="31">
        <v>0.68</v>
      </c>
    </row>
    <row r="854" spans="1:11">
      <c r="A854" s="34" t="s">
        <v>924</v>
      </c>
      <c r="B854" s="34" t="s">
        <v>10</v>
      </c>
      <c r="C854" s="34" t="s">
        <v>46</v>
      </c>
      <c r="D854" s="21">
        <f ca="1">RANDBETWEEN(DATE(2023,7,1),DATE(2023,9,30))</f>
        <v>45193</v>
      </c>
      <c r="E854" s="35">
        <v>851599</v>
      </c>
      <c r="F854" s="34">
        <v>9.25</v>
      </c>
      <c r="G854" s="34">
        <v>9</v>
      </c>
      <c r="H854" s="36">
        <v>518906</v>
      </c>
      <c r="I854" s="34">
        <v>0</v>
      </c>
      <c r="J854" s="36">
        <v>0</v>
      </c>
      <c r="K854" s="31">
        <v>0.76</v>
      </c>
    </row>
    <row r="855" spans="1:11">
      <c r="A855" s="34" t="s">
        <v>925</v>
      </c>
      <c r="B855" s="34" t="s">
        <v>8</v>
      </c>
      <c r="C855" s="34" t="s">
        <v>32</v>
      </c>
      <c r="D855" s="21">
        <f ca="1">RANDBETWEEN(DATE(2020,1,1),DATE(2020,3,31))</f>
        <v>43910</v>
      </c>
      <c r="E855" s="35">
        <v>7454115</v>
      </c>
      <c r="F855" s="34">
        <v>8.38</v>
      </c>
      <c r="G855" s="34">
        <v>153</v>
      </c>
      <c r="H855" s="36">
        <v>6690781</v>
      </c>
      <c r="I855" s="34">
        <v>0</v>
      </c>
      <c r="J855" s="36">
        <v>0</v>
      </c>
      <c r="K855" s="31">
        <v>0.68</v>
      </c>
    </row>
    <row r="856" spans="1:11">
      <c r="A856" s="34" t="s">
        <v>926</v>
      </c>
      <c r="B856" s="19" t="s">
        <v>7</v>
      </c>
      <c r="C856" s="34" t="s">
        <v>44</v>
      </c>
      <c r="D856" s="21">
        <f ca="1">RANDBETWEEN(DATE(2023,1,1),DATE(2023,3,31))</f>
        <v>44965</v>
      </c>
      <c r="E856" s="35">
        <v>700002</v>
      </c>
      <c r="F856" s="34">
        <v>11.24</v>
      </c>
      <c r="G856" s="34">
        <v>12</v>
      </c>
      <c r="H856" s="36">
        <v>682763</v>
      </c>
      <c r="I856" s="34">
        <v>0</v>
      </c>
      <c r="J856" s="36">
        <v>0</v>
      </c>
      <c r="K856" s="31">
        <v>0.73</v>
      </c>
    </row>
    <row r="857" spans="1:11">
      <c r="A857" s="34" t="s">
        <v>927</v>
      </c>
      <c r="B857" s="34" t="s">
        <v>6</v>
      </c>
      <c r="C857" s="34" t="s">
        <v>40</v>
      </c>
      <c r="D857" s="21">
        <f ca="1">RANDBETWEEN(DATE(2022,1,1),DATE(2022,3,31))</f>
        <v>44634</v>
      </c>
      <c r="E857" s="35">
        <v>101681</v>
      </c>
      <c r="F857" s="34">
        <v>7.68</v>
      </c>
      <c r="G857" s="34">
        <v>7</v>
      </c>
      <c r="H857" s="36">
        <v>18647</v>
      </c>
      <c r="I857" s="34">
        <v>0</v>
      </c>
      <c r="J857" s="36">
        <v>0</v>
      </c>
      <c r="K857" s="31">
        <v>0.71</v>
      </c>
    </row>
    <row r="858" spans="1:11">
      <c r="A858" s="34" t="s">
        <v>928</v>
      </c>
      <c r="B858" s="19" t="s">
        <v>7</v>
      </c>
      <c r="C858" s="34" t="s">
        <v>46</v>
      </c>
      <c r="D858" s="21">
        <f ca="1">RANDBETWEEN(DATE(2023,7,1),DATE(2023,9,30))</f>
        <v>45114</v>
      </c>
      <c r="E858" s="35">
        <v>760646</v>
      </c>
      <c r="F858" s="34">
        <v>12.05</v>
      </c>
      <c r="G858" s="34">
        <v>26</v>
      </c>
      <c r="H858" s="36">
        <v>83190</v>
      </c>
      <c r="I858" s="34">
        <v>0</v>
      </c>
      <c r="J858" s="36">
        <v>0</v>
      </c>
      <c r="K858" s="31">
        <v>0.76</v>
      </c>
    </row>
    <row r="859" spans="1:11">
      <c r="A859" s="34" t="s">
        <v>929</v>
      </c>
      <c r="B859" s="34" t="s">
        <v>9</v>
      </c>
      <c r="C859" s="34" t="s">
        <v>42</v>
      </c>
      <c r="D859" s="21">
        <f ca="1">RANDBETWEEN(DATE(2022,7,1),DATE(2022,9,30))</f>
        <v>44801</v>
      </c>
      <c r="E859" s="35">
        <v>897755</v>
      </c>
      <c r="F859" s="37">
        <v>11.39</v>
      </c>
      <c r="G859" s="34">
        <v>31</v>
      </c>
      <c r="H859" s="36">
        <v>110782</v>
      </c>
      <c r="I859" s="34">
        <v>0</v>
      </c>
      <c r="J859" s="36">
        <v>0</v>
      </c>
      <c r="K859" s="31">
        <v>0.73</v>
      </c>
    </row>
    <row r="860" spans="1:11">
      <c r="A860" s="34" t="s">
        <v>930</v>
      </c>
      <c r="B860" s="34" t="s">
        <v>6</v>
      </c>
      <c r="C860" s="34" t="s">
        <v>33</v>
      </c>
      <c r="D860" s="21">
        <f ca="1">RANDBETWEEN(DATE(2020,4,1),DATE(2020,6,30))</f>
        <v>43928</v>
      </c>
      <c r="E860" s="35">
        <v>200719</v>
      </c>
      <c r="F860" s="34">
        <v>8</v>
      </c>
      <c r="G860" s="34">
        <v>40</v>
      </c>
      <c r="H860" s="36">
        <v>81263</v>
      </c>
      <c r="I860" s="34">
        <v>0</v>
      </c>
      <c r="J860" s="36">
        <v>0</v>
      </c>
      <c r="K860" s="31">
        <v>0.72</v>
      </c>
    </row>
    <row r="861" spans="1:11">
      <c r="A861" s="34" t="s">
        <v>931</v>
      </c>
      <c r="B861" s="34" t="s">
        <v>6</v>
      </c>
      <c r="C861" s="34" t="s">
        <v>31</v>
      </c>
      <c r="D861" s="21">
        <f ca="1">RANDBETWEEN(DATE(2019,10,1),DATE(2019,12,31))</f>
        <v>43805</v>
      </c>
      <c r="E861" s="35">
        <v>151314</v>
      </c>
      <c r="F861" s="34">
        <v>8.15</v>
      </c>
      <c r="G861" s="34">
        <v>13</v>
      </c>
      <c r="H861" s="36">
        <v>14750</v>
      </c>
      <c r="I861" s="34">
        <v>0</v>
      </c>
      <c r="J861" s="36">
        <v>0</v>
      </c>
      <c r="K861" s="31">
        <v>0.7</v>
      </c>
    </row>
    <row r="862" spans="1:11">
      <c r="A862" s="34" t="s">
        <v>932</v>
      </c>
      <c r="B862" s="34" t="s">
        <v>6</v>
      </c>
      <c r="C862" s="34" t="s">
        <v>32</v>
      </c>
      <c r="D862" s="21">
        <f ca="1">RANDBETWEEN(DATE(2020,1,1),DATE(2020,3,31))</f>
        <v>43894</v>
      </c>
      <c r="E862" s="35">
        <v>917868</v>
      </c>
      <c r="F862" s="34">
        <v>7.89</v>
      </c>
      <c r="G862" s="34">
        <v>6</v>
      </c>
      <c r="H862" s="36">
        <v>793688</v>
      </c>
      <c r="I862" s="34">
        <v>0</v>
      </c>
      <c r="J862" s="36">
        <v>0</v>
      </c>
      <c r="K862" s="31">
        <v>0.68</v>
      </c>
    </row>
    <row r="863" spans="1:11">
      <c r="A863" s="34" t="s">
        <v>933</v>
      </c>
      <c r="B863" s="34" t="s">
        <v>10</v>
      </c>
      <c r="C863" s="34" t="s">
        <v>42</v>
      </c>
      <c r="D863" s="21">
        <f ca="1">RANDBETWEEN(DATE(2022,7,1),DATE(2022,9,30))</f>
        <v>44816</v>
      </c>
      <c r="E863" s="35">
        <v>2797979</v>
      </c>
      <c r="F863" s="34">
        <v>9.55</v>
      </c>
      <c r="G863" s="34">
        <v>39</v>
      </c>
      <c r="H863" s="36">
        <v>400098</v>
      </c>
      <c r="I863" s="34">
        <v>1</v>
      </c>
      <c r="J863" s="36">
        <v>52233</v>
      </c>
      <c r="K863" s="31">
        <v>0.73</v>
      </c>
    </row>
    <row r="864" spans="1:11">
      <c r="A864" s="34" t="s">
        <v>934</v>
      </c>
      <c r="B864" s="34" t="s">
        <v>10</v>
      </c>
      <c r="C864" s="34" t="s">
        <v>33</v>
      </c>
      <c r="D864" s="21">
        <f ca="1">RANDBETWEEN(DATE(2020,4,1),DATE(2020,6,30))</f>
        <v>43985</v>
      </c>
      <c r="E864" s="35">
        <v>2407556</v>
      </c>
      <c r="F864" s="34">
        <v>8.84</v>
      </c>
      <c r="G864" s="34">
        <v>8</v>
      </c>
      <c r="H864" s="36">
        <v>1237347</v>
      </c>
      <c r="I864" s="34">
        <v>0</v>
      </c>
      <c r="J864" s="36">
        <v>0</v>
      </c>
      <c r="K864" s="31">
        <v>0.72</v>
      </c>
    </row>
    <row r="865" spans="1:11">
      <c r="A865" s="34" t="s">
        <v>935</v>
      </c>
      <c r="B865" s="34" t="s">
        <v>10</v>
      </c>
      <c r="C865" s="34" t="s">
        <v>43</v>
      </c>
      <c r="D865" s="21">
        <f ca="1">RANDBETWEEN(DATE(2022,10,1),DATE(2022,12,31))</f>
        <v>44883</v>
      </c>
      <c r="E865" s="35">
        <v>1667016</v>
      </c>
      <c r="F865" s="34">
        <v>9.24</v>
      </c>
      <c r="G865" s="34">
        <v>12</v>
      </c>
      <c r="H865" s="36">
        <v>525927</v>
      </c>
      <c r="I865" s="34">
        <v>0</v>
      </c>
      <c r="J865" s="36">
        <v>0</v>
      </c>
      <c r="K865" s="31">
        <v>0.71</v>
      </c>
    </row>
    <row r="866" spans="1:11">
      <c r="A866" s="34" t="s">
        <v>936</v>
      </c>
      <c r="B866" s="19" t="s">
        <v>7</v>
      </c>
      <c r="C866" s="34" t="s">
        <v>32</v>
      </c>
      <c r="D866" s="21">
        <f ca="1">RANDBETWEEN(DATE(2020,1,1),DATE(2020,3,31))</f>
        <v>43852</v>
      </c>
      <c r="E866" s="35">
        <v>1296122</v>
      </c>
      <c r="F866" s="34">
        <v>10.62</v>
      </c>
      <c r="G866" s="34">
        <v>11</v>
      </c>
      <c r="H866" s="36">
        <v>534826</v>
      </c>
      <c r="I866" s="34">
        <v>0</v>
      </c>
      <c r="J866" s="36">
        <v>0</v>
      </c>
      <c r="K866" s="31">
        <v>0.68</v>
      </c>
    </row>
    <row r="867" spans="1:11">
      <c r="A867" s="34" t="s">
        <v>937</v>
      </c>
      <c r="B867" s="19" t="s">
        <v>7</v>
      </c>
      <c r="C867" s="34" t="s">
        <v>40</v>
      </c>
      <c r="D867" s="21">
        <f ca="1">RANDBETWEEN(DATE(2022,1,1),DATE(2022,3,31))</f>
        <v>44598</v>
      </c>
      <c r="E867" s="35">
        <v>540664</v>
      </c>
      <c r="F867" s="34">
        <v>11.6</v>
      </c>
      <c r="G867" s="34">
        <v>23</v>
      </c>
      <c r="H867" s="36">
        <v>502674</v>
      </c>
      <c r="I867" s="34">
        <v>0</v>
      </c>
      <c r="J867" s="36">
        <v>0</v>
      </c>
      <c r="K867" s="31">
        <v>0.71</v>
      </c>
    </row>
    <row r="868" spans="1:11">
      <c r="A868" s="34" t="s">
        <v>938</v>
      </c>
      <c r="B868" s="34" t="s">
        <v>10</v>
      </c>
      <c r="C868" s="34" t="s">
        <v>48</v>
      </c>
      <c r="D868" s="21">
        <f ca="1">RANDBETWEEN(DATE(2024,1,1),DATE(2024,3,31))</f>
        <v>45355</v>
      </c>
      <c r="E868" s="35">
        <v>1947149</v>
      </c>
      <c r="F868" s="34">
        <v>10.64</v>
      </c>
      <c r="G868" s="34">
        <v>73</v>
      </c>
      <c r="H868" s="36">
        <v>1799398</v>
      </c>
      <c r="I868" s="34">
        <v>1</v>
      </c>
      <c r="J868" s="36">
        <v>1075413</v>
      </c>
      <c r="K868" s="31">
        <v>0.75</v>
      </c>
    </row>
    <row r="869" spans="1:11">
      <c r="A869" s="34" t="s">
        <v>939</v>
      </c>
      <c r="B869" s="34" t="s">
        <v>6</v>
      </c>
      <c r="C869" s="34" t="s">
        <v>46</v>
      </c>
      <c r="D869" s="21">
        <f ca="1">RANDBETWEEN(DATE(2023,7,1),DATE(2023,9,30))</f>
        <v>45127</v>
      </c>
      <c r="E869" s="35">
        <v>463113</v>
      </c>
      <c r="F869" s="34">
        <v>7.3</v>
      </c>
      <c r="G869" s="34">
        <v>10</v>
      </c>
      <c r="H869" s="36">
        <v>291745</v>
      </c>
      <c r="I869" s="34">
        <v>0</v>
      </c>
      <c r="J869" s="36">
        <v>0</v>
      </c>
      <c r="K869" s="31">
        <v>0.76</v>
      </c>
    </row>
    <row r="870" spans="1:11">
      <c r="A870" s="34" t="s">
        <v>940</v>
      </c>
      <c r="B870" s="34" t="s">
        <v>9</v>
      </c>
      <c r="C870" s="34" t="s">
        <v>43</v>
      </c>
      <c r="D870" s="21">
        <f ca="1">RANDBETWEEN(DATE(2022,10,1),DATE(2022,12,31))</f>
        <v>44924</v>
      </c>
      <c r="E870" s="35">
        <v>280388</v>
      </c>
      <c r="F870" s="37">
        <v>11.78</v>
      </c>
      <c r="G870" s="34">
        <v>32</v>
      </c>
      <c r="H870" s="36">
        <v>188526</v>
      </c>
      <c r="I870" s="34">
        <v>0</v>
      </c>
      <c r="J870" s="36">
        <v>0</v>
      </c>
      <c r="K870" s="31">
        <v>0.71</v>
      </c>
    </row>
    <row r="871" spans="1:11">
      <c r="A871" s="34" t="s">
        <v>941</v>
      </c>
      <c r="B871" s="34" t="s">
        <v>6</v>
      </c>
      <c r="C871" s="34" t="s">
        <v>38</v>
      </c>
      <c r="D871" s="21">
        <f ca="1">RANDBETWEEN(DATE(2021,7,1),DATE(2021,9,30))</f>
        <v>44432</v>
      </c>
      <c r="E871" s="35">
        <v>535414</v>
      </c>
      <c r="F871" s="34">
        <v>7.74</v>
      </c>
      <c r="G871" s="34">
        <v>9</v>
      </c>
      <c r="H871" s="36">
        <v>174182</v>
      </c>
      <c r="I871" s="34">
        <v>0</v>
      </c>
      <c r="J871" s="36">
        <v>0</v>
      </c>
      <c r="K871" s="33">
        <v>0.68</v>
      </c>
    </row>
    <row r="872" spans="1:11">
      <c r="A872" s="34" t="s">
        <v>942</v>
      </c>
      <c r="B872" s="34" t="s">
        <v>9</v>
      </c>
      <c r="C872" s="34" t="s">
        <v>38</v>
      </c>
      <c r="D872" s="21">
        <f ca="1">RANDBETWEEN(DATE(2021,7,1),DATE(2021,9,30))</f>
        <v>44428</v>
      </c>
      <c r="E872" s="35">
        <v>368208</v>
      </c>
      <c r="F872" s="37">
        <v>9.43</v>
      </c>
      <c r="G872" s="34">
        <v>6</v>
      </c>
      <c r="H872" s="36">
        <v>323080</v>
      </c>
      <c r="I872" s="34">
        <v>0</v>
      </c>
      <c r="J872" s="36">
        <v>0</v>
      </c>
      <c r="K872" s="33">
        <v>0.68</v>
      </c>
    </row>
    <row r="873" spans="1:11">
      <c r="A873" s="34" t="s">
        <v>943</v>
      </c>
      <c r="B873" s="34" t="s">
        <v>6</v>
      </c>
      <c r="C873" s="34" t="s">
        <v>34</v>
      </c>
      <c r="D873" s="21">
        <f ca="1">RANDBETWEEN(DATE(2020,7,1),DATE(2020,9,30))</f>
        <v>44094</v>
      </c>
      <c r="E873" s="35">
        <v>967677</v>
      </c>
      <c r="F873" s="34">
        <v>7.62</v>
      </c>
      <c r="G873" s="34">
        <v>9</v>
      </c>
      <c r="H873" s="36">
        <v>131929</v>
      </c>
      <c r="I873" s="34">
        <v>0</v>
      </c>
      <c r="J873" s="36">
        <v>0</v>
      </c>
      <c r="K873" s="31">
        <v>0.68</v>
      </c>
    </row>
    <row r="874" spans="1:11">
      <c r="A874" s="34" t="s">
        <v>944</v>
      </c>
      <c r="B874" s="19" t="s">
        <v>7</v>
      </c>
      <c r="C874" s="34" t="s">
        <v>32</v>
      </c>
      <c r="D874" s="21">
        <f ca="1">RANDBETWEEN(DATE(2020,1,1),DATE(2020,3,31))</f>
        <v>43843</v>
      </c>
      <c r="E874" s="35">
        <v>111960</v>
      </c>
      <c r="F874" s="34">
        <v>11.41</v>
      </c>
      <c r="G874" s="34">
        <v>8</v>
      </c>
      <c r="H874" s="36">
        <v>108523</v>
      </c>
      <c r="I874" s="34">
        <v>0</v>
      </c>
      <c r="J874" s="36">
        <v>0</v>
      </c>
      <c r="K874" s="31">
        <v>0.68</v>
      </c>
    </row>
    <row r="875" spans="1:11">
      <c r="A875" s="34" t="s">
        <v>945</v>
      </c>
      <c r="B875" s="34" t="s">
        <v>6</v>
      </c>
      <c r="C875" s="34" t="s">
        <v>46</v>
      </c>
      <c r="D875" s="21">
        <f ca="1">RANDBETWEEN(DATE(2023,7,1),DATE(2023,9,30))</f>
        <v>45198</v>
      </c>
      <c r="E875" s="35">
        <v>122390</v>
      </c>
      <c r="F875" s="34">
        <v>7.35</v>
      </c>
      <c r="G875" s="34">
        <v>6</v>
      </c>
      <c r="H875" s="36">
        <v>38066</v>
      </c>
      <c r="I875" s="34">
        <v>0</v>
      </c>
      <c r="J875" s="36">
        <v>0</v>
      </c>
      <c r="K875" s="31">
        <v>0.76</v>
      </c>
    </row>
    <row r="876" spans="1:11">
      <c r="A876" s="34" t="s">
        <v>946</v>
      </c>
      <c r="B876" s="34" t="s">
        <v>8</v>
      </c>
      <c r="C876" s="34" t="s">
        <v>29</v>
      </c>
      <c r="D876" s="21">
        <f ca="1">RANDBETWEEN(DATE(2019,4,1),DATE(2019,6,30))</f>
        <v>43613</v>
      </c>
      <c r="E876" s="35">
        <v>2622313</v>
      </c>
      <c r="F876" s="34">
        <v>7.75</v>
      </c>
      <c r="G876" s="34">
        <v>139</v>
      </c>
      <c r="H876" s="36">
        <v>2125611</v>
      </c>
      <c r="I876" s="34">
        <v>1</v>
      </c>
      <c r="J876" s="36">
        <v>1355877</v>
      </c>
      <c r="K876" s="31">
        <v>0.71</v>
      </c>
    </row>
    <row r="877" spans="1:11">
      <c r="A877" s="34" t="s">
        <v>947</v>
      </c>
      <c r="B877" s="34" t="s">
        <v>8</v>
      </c>
      <c r="C877" s="34" t="s">
        <v>35</v>
      </c>
      <c r="D877" s="21">
        <f ca="1">RANDBETWEEN(DATE(2020,10,1),DATE(2020,12,31))</f>
        <v>44160</v>
      </c>
      <c r="E877" s="35">
        <v>3163308</v>
      </c>
      <c r="F877" s="34">
        <v>8.35</v>
      </c>
      <c r="G877" s="34">
        <v>286</v>
      </c>
      <c r="H877" s="36">
        <v>1405232</v>
      </c>
      <c r="I877" s="34">
        <v>1</v>
      </c>
      <c r="J877" s="36">
        <v>147812</v>
      </c>
      <c r="K877" s="31">
        <v>0.68</v>
      </c>
    </row>
    <row r="878" spans="1:11">
      <c r="A878" s="34" t="s">
        <v>948</v>
      </c>
      <c r="B878" s="19" t="s">
        <v>7</v>
      </c>
      <c r="C878" s="34" t="s">
        <v>48</v>
      </c>
      <c r="D878" s="21">
        <f ca="1">RANDBETWEEN(DATE(2024,1,1),DATE(2024,3,31))</f>
        <v>45315</v>
      </c>
      <c r="E878" s="35">
        <v>510499</v>
      </c>
      <c r="F878" s="34">
        <v>11.3</v>
      </c>
      <c r="G878" s="34">
        <v>6</v>
      </c>
      <c r="H878" s="36">
        <v>311287</v>
      </c>
      <c r="I878" s="34">
        <v>0</v>
      </c>
      <c r="J878" s="36">
        <v>0</v>
      </c>
      <c r="K878" s="31">
        <v>0.75</v>
      </c>
    </row>
    <row r="879" spans="1:11">
      <c r="A879" s="34" t="s">
        <v>949</v>
      </c>
      <c r="B879" s="34" t="s">
        <v>8</v>
      </c>
      <c r="C879" s="34" t="s">
        <v>48</v>
      </c>
      <c r="D879" s="21">
        <f ca="1">RANDBETWEEN(DATE(2024,1,1),DATE(2024,3,31))</f>
        <v>45324</v>
      </c>
      <c r="E879" s="35">
        <v>2122764</v>
      </c>
      <c r="F879" s="34">
        <v>8.03</v>
      </c>
      <c r="G879" s="34">
        <v>200</v>
      </c>
      <c r="H879" s="36">
        <v>183868</v>
      </c>
      <c r="I879" s="34">
        <v>0</v>
      </c>
      <c r="J879" s="36">
        <v>0</v>
      </c>
      <c r="K879" s="31">
        <v>0.75</v>
      </c>
    </row>
    <row r="880" spans="1:11">
      <c r="A880" s="34" t="s">
        <v>950</v>
      </c>
      <c r="B880" s="34" t="s">
        <v>8</v>
      </c>
      <c r="C880" s="34" t="s">
        <v>46</v>
      </c>
      <c r="D880" s="21">
        <f ca="1">RANDBETWEEN(DATE(2023,7,1),DATE(2023,9,30))</f>
        <v>45120</v>
      </c>
      <c r="E880" s="35">
        <v>1050681</v>
      </c>
      <c r="F880" s="34">
        <v>7.95</v>
      </c>
      <c r="G880" s="34">
        <v>205</v>
      </c>
      <c r="H880" s="36">
        <v>720617</v>
      </c>
      <c r="I880" s="34">
        <v>0</v>
      </c>
      <c r="J880" s="36">
        <v>0</v>
      </c>
      <c r="K880" s="31">
        <v>0.76</v>
      </c>
    </row>
    <row r="881" spans="1:11">
      <c r="A881" s="34" t="s">
        <v>951</v>
      </c>
      <c r="B881" s="34" t="s">
        <v>6</v>
      </c>
      <c r="C881" s="34" t="s">
        <v>30</v>
      </c>
      <c r="D881" s="21">
        <f ca="1">RANDBETWEEN(DATE(2019,7,1),DATE(2019,9,30))</f>
        <v>43735</v>
      </c>
      <c r="E881" s="35">
        <v>944958</v>
      </c>
      <c r="F881" s="34">
        <v>8.39</v>
      </c>
      <c r="G881" s="34">
        <v>20</v>
      </c>
      <c r="H881" s="36">
        <v>553564</v>
      </c>
      <c r="I881" s="34">
        <v>0</v>
      </c>
      <c r="J881" s="36">
        <v>0</v>
      </c>
      <c r="K881" s="31">
        <v>0.71</v>
      </c>
    </row>
    <row r="882" spans="1:11">
      <c r="A882" s="34" t="s">
        <v>952</v>
      </c>
      <c r="B882" s="34" t="s">
        <v>10</v>
      </c>
      <c r="C882" s="34" t="s">
        <v>40</v>
      </c>
      <c r="D882" s="21">
        <f ca="1">RANDBETWEEN(DATE(2022,1,1),DATE(2022,3,31))</f>
        <v>44609</v>
      </c>
      <c r="E882" s="35">
        <v>3539050</v>
      </c>
      <c r="F882" s="34">
        <v>10.09</v>
      </c>
      <c r="G882" s="34">
        <v>107</v>
      </c>
      <c r="H882" s="36">
        <v>1569740</v>
      </c>
      <c r="I882" s="34">
        <v>0</v>
      </c>
      <c r="J882" s="36">
        <v>0</v>
      </c>
      <c r="K882" s="31">
        <v>0.71</v>
      </c>
    </row>
    <row r="883" spans="1:11">
      <c r="A883" s="34" t="s">
        <v>953</v>
      </c>
      <c r="B883" s="34" t="s">
        <v>9</v>
      </c>
      <c r="C883" s="34" t="s">
        <v>46</v>
      </c>
      <c r="D883" s="21">
        <f ca="1">RANDBETWEEN(DATE(2023,7,1),DATE(2023,9,30))</f>
        <v>45137</v>
      </c>
      <c r="E883" s="35">
        <v>885295</v>
      </c>
      <c r="F883" s="37">
        <v>11.25</v>
      </c>
      <c r="G883" s="34">
        <v>35</v>
      </c>
      <c r="H883" s="36">
        <v>93372</v>
      </c>
      <c r="I883" s="34">
        <v>0</v>
      </c>
      <c r="J883" s="36">
        <v>0</v>
      </c>
      <c r="K883" s="31">
        <v>0.76</v>
      </c>
    </row>
    <row r="884" spans="1:11">
      <c r="A884" s="34" t="s">
        <v>954</v>
      </c>
      <c r="B884" s="34" t="s">
        <v>8</v>
      </c>
      <c r="C884" s="34" t="s">
        <v>48</v>
      </c>
      <c r="D884" s="21">
        <f ca="1">RANDBETWEEN(DATE(2024,1,1),DATE(2024,3,31))</f>
        <v>45310</v>
      </c>
      <c r="E884" s="35">
        <v>2614684</v>
      </c>
      <c r="F884" s="34">
        <v>8.35</v>
      </c>
      <c r="G884" s="34">
        <v>231</v>
      </c>
      <c r="H884" s="36">
        <v>1404758</v>
      </c>
      <c r="I884" s="34">
        <v>1</v>
      </c>
      <c r="J884" s="36">
        <v>489645</v>
      </c>
      <c r="K884" s="31">
        <v>0.75</v>
      </c>
    </row>
    <row r="885" spans="1:11">
      <c r="A885" s="34" t="s">
        <v>955</v>
      </c>
      <c r="B885" s="34" t="s">
        <v>9</v>
      </c>
      <c r="C885" s="34" t="s">
        <v>48</v>
      </c>
      <c r="D885" s="21">
        <f ca="1">RANDBETWEEN(DATE(2024,1,1),DATE(2024,3,31))</f>
        <v>45360</v>
      </c>
      <c r="E885" s="35">
        <v>843571</v>
      </c>
      <c r="F885" s="37">
        <v>11.78</v>
      </c>
      <c r="G885" s="34">
        <v>22</v>
      </c>
      <c r="H885" s="36">
        <v>670207</v>
      </c>
      <c r="I885" s="34">
        <v>1</v>
      </c>
      <c r="J885" s="36">
        <v>436325</v>
      </c>
      <c r="K885" s="31">
        <v>0.75</v>
      </c>
    </row>
    <row r="886" spans="1:11">
      <c r="A886" s="34" t="s">
        <v>956</v>
      </c>
      <c r="B886" s="34" t="s">
        <v>6</v>
      </c>
      <c r="C886" s="34" t="s">
        <v>32</v>
      </c>
      <c r="D886" s="21">
        <f ca="1">RANDBETWEEN(DATE(2020,1,1),DATE(2020,3,31))</f>
        <v>43868</v>
      </c>
      <c r="E886" s="35">
        <v>788864</v>
      </c>
      <c r="F886" s="34">
        <v>7.52</v>
      </c>
      <c r="G886" s="34">
        <v>37</v>
      </c>
      <c r="H886" s="36">
        <v>235491</v>
      </c>
      <c r="I886" s="34">
        <v>0</v>
      </c>
      <c r="J886" s="36">
        <v>0</v>
      </c>
      <c r="K886" s="31">
        <v>0.68</v>
      </c>
    </row>
    <row r="887" spans="1:11">
      <c r="A887" s="34" t="s">
        <v>957</v>
      </c>
      <c r="B887" s="19" t="s">
        <v>7</v>
      </c>
      <c r="C887" s="34" t="s">
        <v>41</v>
      </c>
      <c r="D887" s="21">
        <f ca="1">RANDBETWEEN(DATE(2022,4,1),DATE(2022,6,30))</f>
        <v>44709</v>
      </c>
      <c r="E887" s="35">
        <v>295111</v>
      </c>
      <c r="F887" s="34">
        <v>12.2</v>
      </c>
      <c r="G887" s="34">
        <v>22</v>
      </c>
      <c r="H887" s="36">
        <v>68011</v>
      </c>
      <c r="I887" s="34">
        <v>0</v>
      </c>
      <c r="J887" s="36">
        <v>0</v>
      </c>
      <c r="K887" s="30">
        <v>0.727</v>
      </c>
    </row>
    <row r="888" spans="1:11">
      <c r="A888" s="34" t="s">
        <v>958</v>
      </c>
      <c r="B888" s="34" t="s">
        <v>10</v>
      </c>
      <c r="C888" s="34" t="s">
        <v>30</v>
      </c>
      <c r="D888" s="21">
        <f ca="1">RANDBETWEEN(DATE(2019,7,1),DATE(2019,9,30))</f>
        <v>43708</v>
      </c>
      <c r="E888" s="35">
        <v>383539</v>
      </c>
      <c r="F888" s="34">
        <v>10.15</v>
      </c>
      <c r="G888" s="34">
        <v>58</v>
      </c>
      <c r="H888" s="36">
        <v>272563</v>
      </c>
      <c r="I888" s="34">
        <v>1</v>
      </c>
      <c r="J888" s="36">
        <v>174563</v>
      </c>
      <c r="K888" s="31">
        <v>0.71</v>
      </c>
    </row>
    <row r="889" spans="1:11">
      <c r="A889" s="34" t="s">
        <v>959</v>
      </c>
      <c r="B889" s="34" t="s">
        <v>10</v>
      </c>
      <c r="C889" s="34" t="s">
        <v>43</v>
      </c>
      <c r="D889" s="21">
        <f ca="1">RANDBETWEEN(DATE(2022,10,1),DATE(2022,12,31))</f>
        <v>44861</v>
      </c>
      <c r="E889" s="35">
        <v>1935570</v>
      </c>
      <c r="F889" s="34">
        <v>10.38</v>
      </c>
      <c r="G889" s="34">
        <v>86</v>
      </c>
      <c r="H889" s="36">
        <v>139951</v>
      </c>
      <c r="I889" s="34">
        <v>0</v>
      </c>
      <c r="J889" s="36">
        <v>0</v>
      </c>
      <c r="K889" s="31">
        <v>0.71</v>
      </c>
    </row>
    <row r="890" spans="1:11">
      <c r="A890" s="34" t="s">
        <v>960</v>
      </c>
      <c r="B890" s="34" t="s">
        <v>6</v>
      </c>
      <c r="C890" s="34" t="s">
        <v>45</v>
      </c>
      <c r="D890" s="21">
        <f ca="1">RANDBETWEEN(DATE(2023,4,1),DATE(2023,6,30))</f>
        <v>45057</v>
      </c>
      <c r="E890" s="35">
        <v>877625</v>
      </c>
      <c r="F890" s="34">
        <v>7.94</v>
      </c>
      <c r="G890" s="34">
        <v>10</v>
      </c>
      <c r="H890" s="36">
        <v>242029</v>
      </c>
      <c r="I890" s="34">
        <v>0</v>
      </c>
      <c r="J890" s="36">
        <v>0</v>
      </c>
      <c r="K890" s="31">
        <v>0.73</v>
      </c>
    </row>
    <row r="891" spans="1:11">
      <c r="A891" s="34" t="s">
        <v>961</v>
      </c>
      <c r="B891" s="34" t="s">
        <v>10</v>
      </c>
      <c r="C891" s="34" t="s">
        <v>33</v>
      </c>
      <c r="D891" s="21">
        <f ca="1">RANDBETWEEN(DATE(2020,4,1),DATE(2020,6,30))</f>
        <v>43983</v>
      </c>
      <c r="E891" s="35">
        <v>2318661</v>
      </c>
      <c r="F891" s="34">
        <v>10.24</v>
      </c>
      <c r="G891" s="34">
        <v>103</v>
      </c>
      <c r="H891" s="36">
        <v>558704</v>
      </c>
      <c r="I891" s="34">
        <v>1</v>
      </c>
      <c r="J891" s="36">
        <v>129523</v>
      </c>
      <c r="K891" s="31">
        <v>0.72</v>
      </c>
    </row>
    <row r="892" spans="1:11">
      <c r="A892" s="34" t="s">
        <v>962</v>
      </c>
      <c r="B892" s="34" t="s">
        <v>8</v>
      </c>
      <c r="C892" s="34" t="s">
        <v>29</v>
      </c>
      <c r="D892" s="21">
        <f ca="1">RANDBETWEEN(DATE(2019,4,1),DATE(2019,6,30))</f>
        <v>43645</v>
      </c>
      <c r="E892" s="35">
        <v>2450939</v>
      </c>
      <c r="F892" s="34">
        <v>7.77</v>
      </c>
      <c r="G892" s="34">
        <v>262</v>
      </c>
      <c r="H892" s="36">
        <v>1186385</v>
      </c>
      <c r="I892" s="34">
        <v>0</v>
      </c>
      <c r="J892" s="36">
        <v>0</v>
      </c>
      <c r="K892" s="31">
        <v>0.71</v>
      </c>
    </row>
    <row r="893" spans="1:11">
      <c r="A893" s="34" t="s">
        <v>963</v>
      </c>
      <c r="B893" s="34" t="s">
        <v>10</v>
      </c>
      <c r="C893" s="34" t="s">
        <v>34</v>
      </c>
      <c r="D893" s="21">
        <f ca="1">RANDBETWEEN(DATE(2020,7,1),DATE(2020,9,30))</f>
        <v>44060</v>
      </c>
      <c r="E893" s="35">
        <v>3507418</v>
      </c>
      <c r="F893" s="34">
        <v>9.33</v>
      </c>
      <c r="G893" s="34">
        <v>12</v>
      </c>
      <c r="H893" s="36">
        <v>758730</v>
      </c>
      <c r="I893" s="34">
        <v>1</v>
      </c>
      <c r="J893" s="36">
        <v>194561</v>
      </c>
      <c r="K893" s="31">
        <v>0.68</v>
      </c>
    </row>
    <row r="894" spans="1:11">
      <c r="A894" s="34" t="s">
        <v>964</v>
      </c>
      <c r="B894" s="34" t="s">
        <v>6</v>
      </c>
      <c r="C894" s="34" t="s">
        <v>46</v>
      </c>
      <c r="D894" s="21">
        <f ca="1">RANDBETWEEN(DATE(2023,7,1),DATE(2023,9,30))</f>
        <v>45195</v>
      </c>
      <c r="E894" s="35">
        <v>395030</v>
      </c>
      <c r="F894" s="34">
        <v>7.66</v>
      </c>
      <c r="G894" s="34">
        <v>32</v>
      </c>
      <c r="H894" s="36">
        <v>179985</v>
      </c>
      <c r="I894" s="34">
        <v>0</v>
      </c>
      <c r="J894" s="36">
        <v>0</v>
      </c>
      <c r="K894" s="31">
        <v>0.76</v>
      </c>
    </row>
    <row r="895" spans="1:11">
      <c r="A895" s="34" t="s">
        <v>965</v>
      </c>
      <c r="B895" s="34" t="s">
        <v>6</v>
      </c>
      <c r="C895" s="34" t="s">
        <v>45</v>
      </c>
      <c r="D895" s="21">
        <f ca="1">RANDBETWEEN(DATE(2023,4,1),DATE(2023,6,30))</f>
        <v>45056</v>
      </c>
      <c r="E895" s="35">
        <v>117895</v>
      </c>
      <c r="F895" s="34">
        <v>8.01</v>
      </c>
      <c r="G895" s="34">
        <v>26</v>
      </c>
      <c r="H895" s="36">
        <v>75819</v>
      </c>
      <c r="I895" s="34">
        <v>1</v>
      </c>
      <c r="J895" s="36">
        <v>39669</v>
      </c>
      <c r="K895" s="31">
        <v>0.73</v>
      </c>
    </row>
    <row r="896" spans="1:11">
      <c r="A896" s="34" t="s">
        <v>966</v>
      </c>
      <c r="B896" s="34" t="s">
        <v>8</v>
      </c>
      <c r="C896" s="34" t="s">
        <v>40</v>
      </c>
      <c r="D896" s="21">
        <f ca="1">RANDBETWEEN(DATE(2022,1,1),DATE(2022,3,31))</f>
        <v>44565</v>
      </c>
      <c r="E896" s="35">
        <v>3162264</v>
      </c>
      <c r="F896" s="34">
        <v>7.85</v>
      </c>
      <c r="G896" s="34">
        <v>75</v>
      </c>
      <c r="H896" s="36">
        <v>2476471</v>
      </c>
      <c r="I896" s="34">
        <v>1</v>
      </c>
      <c r="J896" s="36">
        <v>1183590</v>
      </c>
      <c r="K896" s="31">
        <v>0.71</v>
      </c>
    </row>
    <row r="897" spans="1:11">
      <c r="A897" s="34" t="s">
        <v>967</v>
      </c>
      <c r="B897" s="34" t="s">
        <v>9</v>
      </c>
      <c r="C897" s="34" t="s">
        <v>39</v>
      </c>
      <c r="D897" s="21">
        <f ca="1">RANDBETWEEN(DATE(2021,10,1),DATE(2021,12,31))</f>
        <v>44526</v>
      </c>
      <c r="E897" s="35">
        <v>400922</v>
      </c>
      <c r="F897" s="37">
        <v>11.37</v>
      </c>
      <c r="G897" s="34">
        <v>16</v>
      </c>
      <c r="H897" s="36">
        <v>343690</v>
      </c>
      <c r="I897" s="34">
        <v>0</v>
      </c>
      <c r="J897" s="36">
        <v>0</v>
      </c>
      <c r="K897" s="31">
        <v>0.71</v>
      </c>
    </row>
    <row r="898" spans="1:11">
      <c r="A898" s="34" t="s">
        <v>968</v>
      </c>
      <c r="B898" s="19" t="s">
        <v>7</v>
      </c>
      <c r="C898" s="34" t="s">
        <v>36</v>
      </c>
      <c r="D898" s="21">
        <f ca="1">RANDBETWEEN(DATE(2021,1,1),DATE(2021,3,31))</f>
        <v>44237</v>
      </c>
      <c r="E898" s="35">
        <v>588535</v>
      </c>
      <c r="F898" s="34">
        <v>12.85</v>
      </c>
      <c r="G898" s="34">
        <v>23</v>
      </c>
      <c r="H898" s="36">
        <v>47141</v>
      </c>
      <c r="I898" s="34">
        <v>0</v>
      </c>
      <c r="J898" s="36">
        <v>0</v>
      </c>
      <c r="K898" s="30">
        <v>0.744</v>
      </c>
    </row>
    <row r="899" spans="1:11">
      <c r="A899" s="34" t="s">
        <v>969</v>
      </c>
      <c r="B899" s="34" t="s">
        <v>9</v>
      </c>
      <c r="C899" s="34" t="s">
        <v>45</v>
      </c>
      <c r="D899" s="21">
        <f ca="1">RANDBETWEEN(DATE(2023,4,1),DATE(2023,6,30))</f>
        <v>45106</v>
      </c>
      <c r="E899" s="35">
        <v>1400975</v>
      </c>
      <c r="F899" s="37">
        <v>11.24</v>
      </c>
      <c r="G899" s="34">
        <v>27</v>
      </c>
      <c r="H899" s="36">
        <v>245182</v>
      </c>
      <c r="I899" s="34">
        <v>0</v>
      </c>
      <c r="J899" s="36">
        <v>0</v>
      </c>
      <c r="K899" s="31">
        <v>0.73</v>
      </c>
    </row>
    <row r="900" spans="1:11">
      <c r="A900" s="34" t="s">
        <v>970</v>
      </c>
      <c r="B900" s="34" t="s">
        <v>10</v>
      </c>
      <c r="C900" s="34" t="s">
        <v>43</v>
      </c>
      <c r="D900" s="21">
        <f ca="1">RANDBETWEEN(DATE(2022,10,1),DATE(2022,12,31))</f>
        <v>44889</v>
      </c>
      <c r="E900" s="35">
        <v>2663133</v>
      </c>
      <c r="F900" s="34">
        <v>8.91</v>
      </c>
      <c r="G900" s="34">
        <v>7</v>
      </c>
      <c r="H900" s="36">
        <v>1293485</v>
      </c>
      <c r="I900" s="34">
        <v>0</v>
      </c>
      <c r="J900" s="36">
        <v>0</v>
      </c>
      <c r="K900" s="31">
        <v>0.71</v>
      </c>
    </row>
    <row r="901" spans="1:11">
      <c r="A901" s="34" t="s">
        <v>971</v>
      </c>
      <c r="B901" s="34" t="s">
        <v>8</v>
      </c>
      <c r="C901" s="34" t="s">
        <v>46</v>
      </c>
      <c r="D901" s="21">
        <f ca="1">RANDBETWEEN(DATE(2023,7,1),DATE(2023,9,30))</f>
        <v>45113</v>
      </c>
      <c r="E901" s="35">
        <v>8620329</v>
      </c>
      <c r="F901" s="34">
        <v>7.71</v>
      </c>
      <c r="G901" s="34">
        <v>202</v>
      </c>
      <c r="H901" s="36">
        <v>7831312</v>
      </c>
      <c r="I901" s="34">
        <v>0</v>
      </c>
      <c r="J901" s="36">
        <v>0</v>
      </c>
      <c r="K901" s="31">
        <v>0.76</v>
      </c>
    </row>
    <row r="902" spans="1:11">
      <c r="A902" s="34" t="s">
        <v>972</v>
      </c>
      <c r="B902" s="34" t="s">
        <v>8</v>
      </c>
      <c r="C902" s="34" t="s">
        <v>47</v>
      </c>
      <c r="D902" s="21">
        <f ca="1">RANDBETWEEN(DATE(2023,10,1),DATE(2023,12,31))</f>
        <v>45235</v>
      </c>
      <c r="E902" s="35">
        <v>2015910</v>
      </c>
      <c r="F902" s="34">
        <v>8.07</v>
      </c>
      <c r="G902" s="34">
        <v>115</v>
      </c>
      <c r="H902" s="36">
        <v>1689653</v>
      </c>
      <c r="I902" s="34">
        <v>0</v>
      </c>
      <c r="J902" s="36">
        <v>0</v>
      </c>
      <c r="K902" s="32">
        <v>0.74</v>
      </c>
    </row>
    <row r="903" spans="1:11">
      <c r="A903" s="34" t="s">
        <v>973</v>
      </c>
      <c r="B903" s="34" t="s">
        <v>6</v>
      </c>
      <c r="C903" s="34" t="s">
        <v>34</v>
      </c>
      <c r="D903" s="21">
        <f ca="1">RANDBETWEEN(DATE(2020,7,1),DATE(2020,9,30))</f>
        <v>44021</v>
      </c>
      <c r="E903" s="35">
        <v>218004</v>
      </c>
      <c r="F903" s="34">
        <v>8.5</v>
      </c>
      <c r="G903" s="34">
        <v>14</v>
      </c>
      <c r="H903" s="36">
        <v>132783</v>
      </c>
      <c r="I903" s="34">
        <v>0</v>
      </c>
      <c r="J903" s="36">
        <v>0</v>
      </c>
      <c r="K903" s="31">
        <v>0.68</v>
      </c>
    </row>
    <row r="904" spans="1:11">
      <c r="A904" s="34" t="s">
        <v>974</v>
      </c>
      <c r="B904" s="34" t="s">
        <v>6</v>
      </c>
      <c r="C904" s="34" t="s">
        <v>34</v>
      </c>
      <c r="D904" s="21">
        <f ca="1">RANDBETWEEN(DATE(2020,7,1),DATE(2020,9,30))</f>
        <v>44073</v>
      </c>
      <c r="E904" s="35">
        <v>570450</v>
      </c>
      <c r="F904" s="34">
        <v>7.47</v>
      </c>
      <c r="G904" s="34">
        <v>12</v>
      </c>
      <c r="H904" s="36">
        <v>429066</v>
      </c>
      <c r="I904" s="34">
        <v>1</v>
      </c>
      <c r="J904" s="36">
        <v>218382</v>
      </c>
      <c r="K904" s="31">
        <v>0.68</v>
      </c>
    </row>
    <row r="905" spans="1:11">
      <c r="A905" s="34" t="s">
        <v>975</v>
      </c>
      <c r="B905" s="34" t="s">
        <v>6</v>
      </c>
      <c r="C905" s="34" t="s">
        <v>34</v>
      </c>
      <c r="D905" s="21">
        <f ca="1">RANDBETWEEN(DATE(2020,7,1),DATE(2020,9,30))</f>
        <v>44041</v>
      </c>
      <c r="E905" s="35">
        <v>355410</v>
      </c>
      <c r="F905" s="34">
        <v>8.32</v>
      </c>
      <c r="G905" s="34">
        <v>18</v>
      </c>
      <c r="H905" s="36">
        <v>263824</v>
      </c>
      <c r="I905" s="34">
        <v>0</v>
      </c>
      <c r="J905" s="36">
        <v>0</v>
      </c>
      <c r="K905" s="31">
        <v>0.68</v>
      </c>
    </row>
    <row r="906" spans="1:11">
      <c r="A906" s="34" t="s">
        <v>976</v>
      </c>
      <c r="B906" s="34" t="s">
        <v>6</v>
      </c>
      <c r="C906" s="34" t="s">
        <v>30</v>
      </c>
      <c r="D906" s="21">
        <f ca="1">RANDBETWEEN(DATE(2019,7,1),DATE(2019,9,30))</f>
        <v>43738</v>
      </c>
      <c r="E906" s="35">
        <v>741466</v>
      </c>
      <c r="F906" s="34">
        <v>7.73</v>
      </c>
      <c r="G906" s="34">
        <v>12</v>
      </c>
      <c r="H906" s="36">
        <v>710102</v>
      </c>
      <c r="I906" s="34">
        <v>0</v>
      </c>
      <c r="J906" s="36">
        <v>0</v>
      </c>
      <c r="K906" s="31">
        <v>0.71</v>
      </c>
    </row>
    <row r="907" spans="1:11">
      <c r="A907" s="34" t="s">
        <v>977</v>
      </c>
      <c r="B907" s="19" t="s">
        <v>7</v>
      </c>
      <c r="C907" s="34" t="s">
        <v>48</v>
      </c>
      <c r="D907" s="21">
        <f ca="1">RANDBETWEEN(DATE(2024,1,1),DATE(2024,3,31))</f>
        <v>45352</v>
      </c>
      <c r="E907" s="35">
        <v>64323</v>
      </c>
      <c r="F907" s="34">
        <v>11.93</v>
      </c>
      <c r="G907" s="34">
        <v>26</v>
      </c>
      <c r="H907" s="36">
        <v>19484</v>
      </c>
      <c r="I907" s="34">
        <v>1</v>
      </c>
      <c r="J907" s="36">
        <v>6404</v>
      </c>
      <c r="K907" s="31">
        <v>0.75</v>
      </c>
    </row>
    <row r="908" spans="1:11">
      <c r="A908" s="34" t="s">
        <v>978</v>
      </c>
      <c r="B908" s="34" t="s">
        <v>8</v>
      </c>
      <c r="C908" s="34" t="s">
        <v>33</v>
      </c>
      <c r="D908" s="21">
        <f ca="1">RANDBETWEEN(DATE(2020,4,1),DATE(2020,6,30))</f>
        <v>44009</v>
      </c>
      <c r="E908" s="35">
        <v>6940462</v>
      </c>
      <c r="F908" s="34">
        <v>7.7</v>
      </c>
      <c r="G908" s="34">
        <v>113</v>
      </c>
      <c r="H908" s="36">
        <v>6640128</v>
      </c>
      <c r="I908" s="34">
        <v>0</v>
      </c>
      <c r="J908" s="36">
        <v>0</v>
      </c>
      <c r="K908" s="31">
        <v>0.72</v>
      </c>
    </row>
    <row r="909" spans="1:11">
      <c r="A909" s="34" t="s">
        <v>979</v>
      </c>
      <c r="B909" s="19" t="s">
        <v>7</v>
      </c>
      <c r="C909" s="34" t="s">
        <v>38</v>
      </c>
      <c r="D909" s="21">
        <f ca="1">RANDBETWEEN(DATE(2021,7,1),DATE(2021,9,30))</f>
        <v>44420</v>
      </c>
      <c r="E909" s="35">
        <v>1671780</v>
      </c>
      <c r="F909" s="34">
        <v>11.97</v>
      </c>
      <c r="G909" s="34">
        <v>37</v>
      </c>
      <c r="H909" s="36">
        <v>503347</v>
      </c>
      <c r="I909" s="34">
        <v>0</v>
      </c>
      <c r="J909" s="36">
        <v>0</v>
      </c>
      <c r="K909" s="33">
        <v>0.68</v>
      </c>
    </row>
    <row r="910" spans="1:11">
      <c r="A910" s="34" t="s">
        <v>980</v>
      </c>
      <c r="B910" s="34" t="s">
        <v>10</v>
      </c>
      <c r="C910" s="34" t="s">
        <v>39</v>
      </c>
      <c r="D910" s="21">
        <f ca="1">RANDBETWEEN(DATE(2021,10,1),DATE(2021,12,31))</f>
        <v>44523</v>
      </c>
      <c r="E910" s="35">
        <v>4225743</v>
      </c>
      <c r="F910" s="34">
        <v>9.94</v>
      </c>
      <c r="G910" s="34">
        <v>23</v>
      </c>
      <c r="H910" s="36">
        <v>1491428</v>
      </c>
      <c r="I910" s="34">
        <v>0</v>
      </c>
      <c r="J910" s="36">
        <v>0</v>
      </c>
      <c r="K910" s="31">
        <v>0.71</v>
      </c>
    </row>
    <row r="911" spans="1:11">
      <c r="A911" s="34" t="s">
        <v>981</v>
      </c>
      <c r="B911" s="34" t="s">
        <v>10</v>
      </c>
      <c r="C911" s="34" t="s">
        <v>34</v>
      </c>
      <c r="D911" s="21">
        <f ca="1">RANDBETWEEN(DATE(2020,7,1),DATE(2020,9,30))</f>
        <v>44077</v>
      </c>
      <c r="E911" s="35">
        <v>1233845</v>
      </c>
      <c r="F911" s="34">
        <v>9.52</v>
      </c>
      <c r="G911" s="34">
        <v>32</v>
      </c>
      <c r="H911" s="36">
        <v>543053</v>
      </c>
      <c r="I911" s="34">
        <v>0</v>
      </c>
      <c r="J911" s="36">
        <v>0</v>
      </c>
      <c r="K911" s="31">
        <v>0.68</v>
      </c>
    </row>
    <row r="912" spans="1:11">
      <c r="A912" s="34" t="s">
        <v>982</v>
      </c>
      <c r="B912" s="19" t="s">
        <v>7</v>
      </c>
      <c r="C912" s="34" t="s">
        <v>47</v>
      </c>
      <c r="D912" s="21">
        <f ca="1">RANDBETWEEN(DATE(2023,10,1),DATE(2023,12,31))</f>
        <v>45205</v>
      </c>
      <c r="E912" s="35">
        <v>227316</v>
      </c>
      <c r="F912" s="34">
        <v>12.42</v>
      </c>
      <c r="G912" s="34">
        <v>58</v>
      </c>
      <c r="H912" s="36">
        <v>208280</v>
      </c>
      <c r="I912" s="34">
        <v>0</v>
      </c>
      <c r="J912" s="36">
        <v>0</v>
      </c>
      <c r="K912" s="32">
        <v>0.74</v>
      </c>
    </row>
    <row r="913" spans="1:11">
      <c r="A913" s="34" t="s">
        <v>983</v>
      </c>
      <c r="B913" s="34" t="s">
        <v>8</v>
      </c>
      <c r="C913" s="34" t="s">
        <v>29</v>
      </c>
      <c r="D913" s="21">
        <f ca="1">RANDBETWEEN(DATE(2019,4,1),DATE(2019,6,30))</f>
        <v>43618</v>
      </c>
      <c r="E913" s="35">
        <v>2803803</v>
      </c>
      <c r="F913" s="34">
        <v>8.12</v>
      </c>
      <c r="G913" s="34">
        <v>203</v>
      </c>
      <c r="H913" s="36">
        <v>716000</v>
      </c>
      <c r="I913" s="34">
        <v>0</v>
      </c>
      <c r="J913" s="36">
        <v>0</v>
      </c>
      <c r="K913" s="31">
        <v>0.71</v>
      </c>
    </row>
    <row r="914" spans="1:11">
      <c r="A914" s="34" t="s">
        <v>984</v>
      </c>
      <c r="B914" s="34" t="s">
        <v>8</v>
      </c>
      <c r="C914" s="34" t="s">
        <v>37</v>
      </c>
      <c r="D914" s="21">
        <f ca="1">RANDBETWEEN(DATE(2021,4,1),DATE(2021,6,30))</f>
        <v>44365</v>
      </c>
      <c r="E914" s="35">
        <v>7115986</v>
      </c>
      <c r="F914" s="34">
        <v>8.42</v>
      </c>
      <c r="G914" s="34">
        <v>201</v>
      </c>
      <c r="H914" s="36">
        <v>1200139</v>
      </c>
      <c r="I914" s="34">
        <v>0</v>
      </c>
      <c r="J914" s="36">
        <v>0</v>
      </c>
      <c r="K914" s="31">
        <v>0.72</v>
      </c>
    </row>
    <row r="915" spans="1:11">
      <c r="A915" s="34" t="s">
        <v>985</v>
      </c>
      <c r="B915" s="19" t="s">
        <v>7</v>
      </c>
      <c r="C915" s="34" t="s">
        <v>33</v>
      </c>
      <c r="D915" s="21">
        <f ca="1">RANDBETWEEN(DATE(2020,4,1),DATE(2020,6,30))</f>
        <v>43948</v>
      </c>
      <c r="E915" s="35">
        <v>1903389</v>
      </c>
      <c r="F915" s="34">
        <v>12.44</v>
      </c>
      <c r="G915" s="34">
        <v>18</v>
      </c>
      <c r="H915" s="36">
        <v>1067303</v>
      </c>
      <c r="I915" s="34">
        <v>0</v>
      </c>
      <c r="J915" s="36">
        <v>0</v>
      </c>
      <c r="K915" s="31">
        <v>0.72</v>
      </c>
    </row>
    <row r="916" spans="1:11">
      <c r="A916" s="34" t="s">
        <v>986</v>
      </c>
      <c r="B916" s="34" t="s">
        <v>8</v>
      </c>
      <c r="C916" s="34" t="s">
        <v>32</v>
      </c>
      <c r="D916" s="21">
        <f ca="1">RANDBETWEEN(DATE(2020,1,1),DATE(2020,3,31))</f>
        <v>43905</v>
      </c>
      <c r="E916" s="35">
        <v>6454940</v>
      </c>
      <c r="F916" s="34">
        <v>8.22</v>
      </c>
      <c r="G916" s="34">
        <v>107</v>
      </c>
      <c r="H916" s="36">
        <v>5485874</v>
      </c>
      <c r="I916" s="34">
        <v>0</v>
      </c>
      <c r="J916" s="36">
        <v>0</v>
      </c>
      <c r="K916" s="31">
        <v>0.68</v>
      </c>
    </row>
    <row r="917" spans="1:11">
      <c r="A917" s="34" t="s">
        <v>987</v>
      </c>
      <c r="B917" s="34" t="s">
        <v>9</v>
      </c>
      <c r="C917" s="34" t="s">
        <v>42</v>
      </c>
      <c r="D917" s="21">
        <f ca="1">RANDBETWEEN(DATE(2022,7,1),DATE(2022,9,30))</f>
        <v>44828</v>
      </c>
      <c r="E917" s="35">
        <v>1557720</v>
      </c>
      <c r="F917" s="37">
        <v>9.24</v>
      </c>
      <c r="G917" s="34">
        <v>7</v>
      </c>
      <c r="H917" s="36">
        <v>943248</v>
      </c>
      <c r="I917" s="34">
        <v>0</v>
      </c>
      <c r="J917" s="36">
        <v>0</v>
      </c>
      <c r="K917" s="31">
        <v>0.73</v>
      </c>
    </row>
    <row r="918" spans="1:11">
      <c r="A918" s="34" t="s">
        <v>988</v>
      </c>
      <c r="B918" s="34" t="s">
        <v>6</v>
      </c>
      <c r="C918" s="34" t="s">
        <v>47</v>
      </c>
      <c r="D918" s="21">
        <f ca="1">RANDBETWEEN(DATE(2023,10,1),DATE(2023,12,31))</f>
        <v>45247</v>
      </c>
      <c r="E918" s="35">
        <v>62255</v>
      </c>
      <c r="F918" s="34">
        <v>7.11</v>
      </c>
      <c r="G918" s="34">
        <v>12</v>
      </c>
      <c r="H918" s="36">
        <v>21243</v>
      </c>
      <c r="I918" s="34">
        <v>0</v>
      </c>
      <c r="J918" s="36">
        <v>0</v>
      </c>
      <c r="K918" s="32">
        <v>0.74</v>
      </c>
    </row>
    <row r="919" spans="1:11">
      <c r="A919" s="34" t="s">
        <v>989</v>
      </c>
      <c r="B919" s="34" t="s">
        <v>8</v>
      </c>
      <c r="C919" s="34" t="s">
        <v>34</v>
      </c>
      <c r="D919" s="21">
        <f ca="1">RANDBETWEEN(DATE(2020,7,1),DATE(2020,9,30))</f>
        <v>44086</v>
      </c>
      <c r="E919" s="35">
        <v>8787212</v>
      </c>
      <c r="F919" s="34">
        <v>8.27</v>
      </c>
      <c r="G919" s="34">
        <v>61</v>
      </c>
      <c r="H919" s="36">
        <v>3243166</v>
      </c>
      <c r="I919" s="34">
        <v>0</v>
      </c>
      <c r="J919" s="36">
        <v>0</v>
      </c>
      <c r="K919" s="31">
        <v>0.68</v>
      </c>
    </row>
    <row r="920" spans="1:11">
      <c r="A920" s="34" t="s">
        <v>990</v>
      </c>
      <c r="B920" s="34" t="s">
        <v>6</v>
      </c>
      <c r="C920" s="34" t="s">
        <v>35</v>
      </c>
      <c r="D920" s="21">
        <f ca="1">RANDBETWEEN(DATE(2020,10,1),DATE(2020,12,31))</f>
        <v>44106</v>
      </c>
      <c r="E920" s="35">
        <v>712278</v>
      </c>
      <c r="F920" s="34">
        <v>8.34</v>
      </c>
      <c r="G920" s="34">
        <v>39</v>
      </c>
      <c r="H920" s="36">
        <v>284225</v>
      </c>
      <c r="I920" s="34">
        <v>0</v>
      </c>
      <c r="J920" s="36">
        <v>0</v>
      </c>
      <c r="K920" s="31">
        <v>0.68</v>
      </c>
    </row>
    <row r="921" spans="1:11">
      <c r="A921" s="34" t="s">
        <v>991</v>
      </c>
      <c r="B921" s="34" t="s">
        <v>6</v>
      </c>
      <c r="C921" s="34" t="s">
        <v>45</v>
      </c>
      <c r="D921" s="21">
        <f ca="1">RANDBETWEEN(DATE(2023,4,1),DATE(2023,6,30))</f>
        <v>45045</v>
      </c>
      <c r="E921" s="35">
        <v>650491</v>
      </c>
      <c r="F921" s="34">
        <v>7.38</v>
      </c>
      <c r="G921" s="34">
        <v>12</v>
      </c>
      <c r="H921" s="36">
        <v>272529</v>
      </c>
      <c r="I921" s="34">
        <v>0</v>
      </c>
      <c r="J921" s="36">
        <v>0</v>
      </c>
      <c r="K921" s="31">
        <v>0.73</v>
      </c>
    </row>
    <row r="922" spans="1:11">
      <c r="A922" s="34" t="s">
        <v>992</v>
      </c>
      <c r="B922" s="19" t="s">
        <v>7</v>
      </c>
      <c r="C922" s="34" t="s">
        <v>41</v>
      </c>
      <c r="D922" s="21">
        <f ca="1">RANDBETWEEN(DATE(2022,4,1),DATE(2022,6,30))</f>
        <v>44704</v>
      </c>
      <c r="E922" s="35">
        <v>525315</v>
      </c>
      <c r="F922" s="34">
        <v>12.96</v>
      </c>
      <c r="G922" s="34">
        <v>22</v>
      </c>
      <c r="H922" s="36">
        <v>223369</v>
      </c>
      <c r="I922" s="34">
        <v>0</v>
      </c>
      <c r="J922" s="36">
        <v>0</v>
      </c>
      <c r="K922" s="30">
        <v>0.727</v>
      </c>
    </row>
    <row r="923" spans="1:11">
      <c r="A923" s="34" t="s">
        <v>993</v>
      </c>
      <c r="B923" s="34" t="s">
        <v>10</v>
      </c>
      <c r="C923" s="34" t="s">
        <v>32</v>
      </c>
      <c r="D923" s="21">
        <f ca="1">RANDBETWEEN(DATE(2020,1,1),DATE(2020,3,31))</f>
        <v>43843</v>
      </c>
      <c r="E923" s="35">
        <v>252409</v>
      </c>
      <c r="F923" s="34">
        <v>9.8</v>
      </c>
      <c r="G923" s="34">
        <v>38</v>
      </c>
      <c r="H923" s="36">
        <v>83165</v>
      </c>
      <c r="I923" s="34">
        <v>0</v>
      </c>
      <c r="J923" s="36">
        <v>0</v>
      </c>
      <c r="K923" s="31">
        <v>0.68</v>
      </c>
    </row>
    <row r="924" spans="1:11">
      <c r="A924" s="34" t="s">
        <v>994</v>
      </c>
      <c r="B924" s="34" t="s">
        <v>8</v>
      </c>
      <c r="C924" s="34" t="s">
        <v>34</v>
      </c>
      <c r="D924" s="21">
        <f ca="1">RANDBETWEEN(DATE(2020,7,1),DATE(2020,9,30))</f>
        <v>44020</v>
      </c>
      <c r="E924" s="35">
        <v>2116801</v>
      </c>
      <c r="F924" s="34">
        <v>7.98</v>
      </c>
      <c r="G924" s="34">
        <v>145</v>
      </c>
      <c r="H924" s="36">
        <v>126316</v>
      </c>
      <c r="I924" s="34">
        <v>0</v>
      </c>
      <c r="J924" s="36">
        <v>0</v>
      </c>
      <c r="K924" s="31">
        <v>0.68</v>
      </c>
    </row>
    <row r="925" spans="1:11">
      <c r="A925" s="34" t="s">
        <v>995</v>
      </c>
      <c r="B925" s="34" t="s">
        <v>6</v>
      </c>
      <c r="C925" s="34" t="s">
        <v>39</v>
      </c>
      <c r="D925" s="21">
        <f ca="1">RANDBETWEEN(DATE(2021,10,1),DATE(2021,12,31))</f>
        <v>44532</v>
      </c>
      <c r="E925" s="35">
        <v>319089</v>
      </c>
      <c r="F925" s="34">
        <v>7.81</v>
      </c>
      <c r="G925" s="34">
        <v>27</v>
      </c>
      <c r="H925" s="36">
        <v>75499</v>
      </c>
      <c r="I925" s="34">
        <v>1</v>
      </c>
      <c r="J925" s="36">
        <v>58030</v>
      </c>
      <c r="K925" s="31">
        <v>0.71</v>
      </c>
    </row>
    <row r="926" spans="1:11">
      <c r="A926" s="34" t="s">
        <v>996</v>
      </c>
      <c r="B926" s="34" t="s">
        <v>10</v>
      </c>
      <c r="C926" s="34" t="s">
        <v>38</v>
      </c>
      <c r="D926" s="21">
        <f ca="1">RANDBETWEEN(DATE(2021,7,1),DATE(2021,9,30))</f>
        <v>44425</v>
      </c>
      <c r="E926" s="35">
        <v>3512309</v>
      </c>
      <c r="F926" s="34">
        <v>10.07</v>
      </c>
      <c r="G926" s="34">
        <v>26</v>
      </c>
      <c r="H926" s="36">
        <v>2791070</v>
      </c>
      <c r="I926" s="34">
        <v>1</v>
      </c>
      <c r="J926" s="36">
        <v>1889961</v>
      </c>
      <c r="K926" s="33">
        <v>0.68</v>
      </c>
    </row>
    <row r="927" spans="1:11">
      <c r="A927" s="34" t="s">
        <v>997</v>
      </c>
      <c r="B927" s="34" t="s">
        <v>10</v>
      </c>
      <c r="C927" s="34" t="s">
        <v>31</v>
      </c>
      <c r="D927" s="21">
        <f ca="1">RANDBETWEEN(DATE(2019,10,1),DATE(2019,12,31))</f>
        <v>43819</v>
      </c>
      <c r="E927" s="35">
        <v>1130281</v>
      </c>
      <c r="F927" s="34">
        <v>9.04</v>
      </c>
      <c r="G927" s="34">
        <v>11</v>
      </c>
      <c r="H927" s="36">
        <v>676191</v>
      </c>
      <c r="I927" s="34">
        <v>1</v>
      </c>
      <c r="J927" s="36">
        <v>222610</v>
      </c>
      <c r="K927" s="31">
        <v>0.7</v>
      </c>
    </row>
    <row r="928" spans="1:11">
      <c r="A928" s="34" t="s">
        <v>998</v>
      </c>
      <c r="B928" s="34" t="s">
        <v>8</v>
      </c>
      <c r="C928" s="34" t="s">
        <v>29</v>
      </c>
      <c r="D928" s="21">
        <f ca="1">RANDBETWEEN(DATE(2019,4,1),DATE(2019,6,30))</f>
        <v>43588</v>
      </c>
      <c r="E928" s="35">
        <v>3361827</v>
      </c>
      <c r="F928" s="34">
        <v>8.23</v>
      </c>
      <c r="G928" s="34">
        <v>160</v>
      </c>
      <c r="H928" s="36">
        <v>317695</v>
      </c>
      <c r="I928" s="34">
        <v>0</v>
      </c>
      <c r="J928" s="36">
        <v>0</v>
      </c>
      <c r="K928" s="31">
        <v>0.71</v>
      </c>
    </row>
    <row r="929" spans="1:11">
      <c r="A929" s="34" t="s">
        <v>999</v>
      </c>
      <c r="B929" s="34" t="s">
        <v>6</v>
      </c>
      <c r="C929" s="34" t="s">
        <v>43</v>
      </c>
      <c r="D929" s="21">
        <f ca="1">RANDBETWEEN(DATE(2022,10,1),DATE(2022,12,31))</f>
        <v>44875</v>
      </c>
      <c r="E929" s="35">
        <v>857037</v>
      </c>
      <c r="F929" s="34">
        <v>7.99</v>
      </c>
      <c r="G929" s="34">
        <v>25</v>
      </c>
      <c r="H929" s="36">
        <v>401849</v>
      </c>
      <c r="I929" s="34">
        <v>0</v>
      </c>
      <c r="J929" s="36">
        <v>0</v>
      </c>
      <c r="K929" s="31">
        <v>0.71</v>
      </c>
    </row>
    <row r="930" spans="1:11">
      <c r="A930" s="34" t="s">
        <v>1000</v>
      </c>
      <c r="B930" s="34" t="s">
        <v>8</v>
      </c>
      <c r="C930" s="34" t="s">
        <v>45</v>
      </c>
      <c r="D930" s="21">
        <f ca="1">RANDBETWEEN(DATE(2023,4,1),DATE(2023,6,30))</f>
        <v>45051</v>
      </c>
      <c r="E930" s="35">
        <v>4970587</v>
      </c>
      <c r="F930" s="34">
        <v>7.77</v>
      </c>
      <c r="G930" s="34">
        <v>266</v>
      </c>
      <c r="H930" s="36">
        <v>2335944</v>
      </c>
      <c r="I930" s="34">
        <v>0</v>
      </c>
      <c r="J930" s="36">
        <v>0</v>
      </c>
      <c r="K930" s="31">
        <v>0.73</v>
      </c>
    </row>
    <row r="931" spans="1:11">
      <c r="A931" s="34" t="s">
        <v>1001</v>
      </c>
      <c r="B931" s="34" t="s">
        <v>6</v>
      </c>
      <c r="C931" s="34" t="s">
        <v>43</v>
      </c>
      <c r="D931" s="21">
        <f ca="1">RANDBETWEEN(DATE(2022,10,1),DATE(2022,12,31))</f>
        <v>44857</v>
      </c>
      <c r="E931" s="35">
        <v>333678</v>
      </c>
      <c r="F931" s="34">
        <v>7.77</v>
      </c>
      <c r="G931" s="34">
        <v>6</v>
      </c>
      <c r="H931" s="36">
        <v>183394</v>
      </c>
      <c r="I931" s="34">
        <v>0</v>
      </c>
      <c r="J931" s="36">
        <v>0</v>
      </c>
      <c r="K931" s="31">
        <v>0.71</v>
      </c>
    </row>
    <row r="932" spans="1:11">
      <c r="A932" s="34" t="s">
        <v>1002</v>
      </c>
      <c r="B932" s="34" t="s">
        <v>6</v>
      </c>
      <c r="C932" s="34" t="s">
        <v>31</v>
      </c>
      <c r="D932" s="21">
        <f ca="1">RANDBETWEEN(DATE(2019,10,1),DATE(2019,12,31))</f>
        <v>43780</v>
      </c>
      <c r="E932" s="35">
        <v>205172</v>
      </c>
      <c r="F932" s="34">
        <v>8.28</v>
      </c>
      <c r="G932" s="34">
        <v>47</v>
      </c>
      <c r="H932" s="36">
        <v>127856</v>
      </c>
      <c r="I932" s="34">
        <v>0</v>
      </c>
      <c r="J932" s="36">
        <v>0</v>
      </c>
      <c r="K932" s="31">
        <v>0.7</v>
      </c>
    </row>
    <row r="933" spans="1:11">
      <c r="A933" s="34" t="s">
        <v>1003</v>
      </c>
      <c r="B933" s="34" t="s">
        <v>6</v>
      </c>
      <c r="C933" s="34" t="s">
        <v>42</v>
      </c>
      <c r="D933" s="21">
        <f ca="1">RANDBETWEEN(DATE(2022,7,1),DATE(2022,9,30))</f>
        <v>44754</v>
      </c>
      <c r="E933" s="35">
        <v>155709</v>
      </c>
      <c r="F933" s="34">
        <v>7.23</v>
      </c>
      <c r="G933" s="34">
        <v>10</v>
      </c>
      <c r="H933" s="36">
        <v>80980</v>
      </c>
      <c r="I933" s="34">
        <v>0</v>
      </c>
      <c r="J933" s="36">
        <v>0</v>
      </c>
      <c r="K933" s="31">
        <v>0.73</v>
      </c>
    </row>
    <row r="934" spans="1:11">
      <c r="A934" s="34" t="s">
        <v>1004</v>
      </c>
      <c r="B934" s="34" t="s">
        <v>10</v>
      </c>
      <c r="C934" s="34" t="s">
        <v>35</v>
      </c>
      <c r="D934" s="21">
        <f ca="1">RANDBETWEEN(DATE(2020,10,1),DATE(2020,12,31))</f>
        <v>44133</v>
      </c>
      <c r="E934" s="35">
        <v>824434</v>
      </c>
      <c r="F934" s="34">
        <v>9.56</v>
      </c>
      <c r="G934" s="34">
        <v>16</v>
      </c>
      <c r="H934" s="36">
        <v>373009</v>
      </c>
      <c r="I934" s="34">
        <v>0</v>
      </c>
      <c r="J934" s="36">
        <v>0</v>
      </c>
      <c r="K934" s="31">
        <v>0.68</v>
      </c>
    </row>
    <row r="935" spans="1:11">
      <c r="A935" s="34" t="s">
        <v>1005</v>
      </c>
      <c r="B935" s="34" t="s">
        <v>8</v>
      </c>
      <c r="C935" s="34" t="s">
        <v>33</v>
      </c>
      <c r="D935" s="21">
        <f ca="1">RANDBETWEEN(DATE(2020,4,1),DATE(2020,6,30))</f>
        <v>43942</v>
      </c>
      <c r="E935" s="35">
        <v>5912308</v>
      </c>
      <c r="F935" s="34">
        <v>8.19</v>
      </c>
      <c r="G935" s="34">
        <v>200</v>
      </c>
      <c r="H935" s="36">
        <v>5152841</v>
      </c>
      <c r="I935" s="34">
        <v>0</v>
      </c>
      <c r="J935" s="36">
        <v>0</v>
      </c>
      <c r="K935" s="31">
        <v>0.72</v>
      </c>
    </row>
    <row r="936" spans="1:11">
      <c r="A936" s="34" t="s">
        <v>1006</v>
      </c>
      <c r="B936" s="34" t="s">
        <v>8</v>
      </c>
      <c r="C936" s="34" t="s">
        <v>34</v>
      </c>
      <c r="D936" s="21">
        <f ca="1">RANDBETWEEN(DATE(2020,7,1),DATE(2020,9,30))</f>
        <v>44048</v>
      </c>
      <c r="E936" s="35">
        <v>1459621</v>
      </c>
      <c r="F936" s="34">
        <v>7.74</v>
      </c>
      <c r="G936" s="34">
        <v>232</v>
      </c>
      <c r="H936" s="36">
        <v>491872</v>
      </c>
      <c r="I936" s="34">
        <v>0</v>
      </c>
      <c r="J936" s="36">
        <v>0</v>
      </c>
      <c r="K936" s="31">
        <v>0.68</v>
      </c>
    </row>
    <row r="937" spans="1:11">
      <c r="A937" s="34" t="s">
        <v>1007</v>
      </c>
      <c r="B937" s="34" t="s">
        <v>6</v>
      </c>
      <c r="C937" s="34" t="s">
        <v>37</v>
      </c>
      <c r="D937" s="21">
        <f ca="1">RANDBETWEEN(DATE(2021,4,1),DATE(2021,6,30))</f>
        <v>44366</v>
      </c>
      <c r="E937" s="35">
        <v>109782</v>
      </c>
      <c r="F937" s="34">
        <v>7.38</v>
      </c>
      <c r="G937" s="34">
        <v>12</v>
      </c>
      <c r="H937" s="36">
        <v>22677</v>
      </c>
      <c r="I937" s="34">
        <v>0</v>
      </c>
      <c r="J937" s="36">
        <v>0</v>
      </c>
      <c r="K937" s="31">
        <v>0.72</v>
      </c>
    </row>
    <row r="938" spans="1:11">
      <c r="A938" s="34" t="s">
        <v>1008</v>
      </c>
      <c r="B938" s="34" t="s">
        <v>10</v>
      </c>
      <c r="C938" s="34" t="s">
        <v>38</v>
      </c>
      <c r="D938" s="21">
        <f ca="1">RANDBETWEEN(DATE(2021,7,1),DATE(2021,9,30))</f>
        <v>44393</v>
      </c>
      <c r="E938" s="35">
        <v>1057799</v>
      </c>
      <c r="F938" s="34">
        <v>10.89</v>
      </c>
      <c r="G938" s="34">
        <v>95</v>
      </c>
      <c r="H938" s="36">
        <v>658045</v>
      </c>
      <c r="I938" s="34">
        <v>0</v>
      </c>
      <c r="J938" s="36">
        <v>0</v>
      </c>
      <c r="K938" s="33">
        <v>0.68</v>
      </c>
    </row>
    <row r="939" spans="1:11">
      <c r="A939" s="34" t="s">
        <v>1009</v>
      </c>
      <c r="B939" s="34" t="s">
        <v>6</v>
      </c>
      <c r="C939" s="34" t="s">
        <v>44</v>
      </c>
      <c r="D939" s="21">
        <f ca="1">RANDBETWEEN(DATE(2023,1,1),DATE(2023,3,31))</f>
        <v>44927</v>
      </c>
      <c r="E939" s="35">
        <v>539608</v>
      </c>
      <c r="F939" s="34">
        <v>7.65</v>
      </c>
      <c r="G939" s="34">
        <v>45</v>
      </c>
      <c r="H939" s="36">
        <v>483654</v>
      </c>
      <c r="I939" s="34">
        <v>1</v>
      </c>
      <c r="J939" s="36">
        <v>216241</v>
      </c>
      <c r="K939" s="31">
        <v>0.73</v>
      </c>
    </row>
    <row r="940" spans="1:11">
      <c r="A940" s="34" t="s">
        <v>1010</v>
      </c>
      <c r="B940" s="34" t="s">
        <v>10</v>
      </c>
      <c r="C940" s="34" t="s">
        <v>40</v>
      </c>
      <c r="D940" s="21">
        <f ca="1">RANDBETWEEN(DATE(2022,1,1),DATE(2022,3,31))</f>
        <v>44643</v>
      </c>
      <c r="E940" s="35">
        <v>3288243</v>
      </c>
      <c r="F940" s="34">
        <v>9.72</v>
      </c>
      <c r="G940" s="34">
        <v>39</v>
      </c>
      <c r="H940" s="36">
        <v>2843500</v>
      </c>
      <c r="I940" s="34">
        <v>1</v>
      </c>
      <c r="J940" s="36">
        <v>541889</v>
      </c>
      <c r="K940" s="31">
        <v>0.71</v>
      </c>
    </row>
    <row r="941" spans="1:11">
      <c r="A941" s="34" t="s">
        <v>1011</v>
      </c>
      <c r="B941" s="34" t="s">
        <v>10</v>
      </c>
      <c r="C941" s="34" t="s">
        <v>41</v>
      </c>
      <c r="D941" s="21">
        <f ca="1">RANDBETWEEN(DATE(2022,4,1),DATE(2022,6,30))</f>
        <v>44711</v>
      </c>
      <c r="E941" s="35">
        <v>4735845</v>
      </c>
      <c r="F941" s="34">
        <v>10.47</v>
      </c>
      <c r="G941" s="34">
        <v>65</v>
      </c>
      <c r="H941" s="36">
        <v>2597229</v>
      </c>
      <c r="I941" s="34">
        <v>0</v>
      </c>
      <c r="J941" s="36">
        <v>0</v>
      </c>
      <c r="K941" s="30">
        <v>0.727</v>
      </c>
    </row>
    <row r="942" spans="1:11">
      <c r="A942" s="34" t="s">
        <v>1012</v>
      </c>
      <c r="B942" s="34" t="s">
        <v>9</v>
      </c>
      <c r="C942" s="34" t="s">
        <v>35</v>
      </c>
      <c r="D942" s="21">
        <f ca="1">RANDBETWEEN(DATE(2020,10,1),DATE(2020,12,31))</f>
        <v>44147</v>
      </c>
      <c r="E942" s="35">
        <v>1725021</v>
      </c>
      <c r="F942" s="37">
        <v>10.93</v>
      </c>
      <c r="G942" s="34">
        <v>29</v>
      </c>
      <c r="H942" s="36">
        <v>1454941</v>
      </c>
      <c r="I942" s="34">
        <v>1</v>
      </c>
      <c r="J942" s="36">
        <v>965396</v>
      </c>
      <c r="K942" s="31">
        <v>0.68</v>
      </c>
    </row>
    <row r="943" spans="1:11">
      <c r="A943" s="34" t="s">
        <v>1013</v>
      </c>
      <c r="B943" s="34" t="s">
        <v>10</v>
      </c>
      <c r="C943" s="34" t="s">
        <v>37</v>
      </c>
      <c r="D943" s="21">
        <f ca="1">RANDBETWEEN(DATE(2021,4,1),DATE(2021,6,30))</f>
        <v>44317</v>
      </c>
      <c r="E943" s="35">
        <v>4997832</v>
      </c>
      <c r="F943" s="34">
        <v>9.32</v>
      </c>
      <c r="G943" s="34">
        <v>8</v>
      </c>
      <c r="H943" s="36">
        <v>1881218</v>
      </c>
      <c r="I943" s="34">
        <v>1</v>
      </c>
      <c r="J943" s="36">
        <v>554700</v>
      </c>
      <c r="K943" s="31">
        <v>0.72</v>
      </c>
    </row>
    <row r="944" spans="1:11">
      <c r="A944" s="34" t="s">
        <v>1014</v>
      </c>
      <c r="B944" s="34" t="s">
        <v>9</v>
      </c>
      <c r="C944" s="34" t="s">
        <v>46</v>
      </c>
      <c r="D944" s="21">
        <f ca="1">RANDBETWEEN(DATE(2023,7,1),DATE(2023,9,30))</f>
        <v>45188</v>
      </c>
      <c r="E944" s="35">
        <v>1609858</v>
      </c>
      <c r="F944" s="37">
        <v>11.95</v>
      </c>
      <c r="G944" s="34">
        <v>19</v>
      </c>
      <c r="H944" s="36">
        <v>1166410</v>
      </c>
      <c r="I944" s="34">
        <v>0</v>
      </c>
      <c r="J944" s="36">
        <v>0</v>
      </c>
      <c r="K944" s="31">
        <v>0.76</v>
      </c>
    </row>
    <row r="945" spans="1:11">
      <c r="A945" s="34" t="s">
        <v>1015</v>
      </c>
      <c r="B945" s="34" t="s">
        <v>8</v>
      </c>
      <c r="C945" s="34" t="s">
        <v>43</v>
      </c>
      <c r="D945" s="21">
        <f ca="1">RANDBETWEEN(DATE(2022,10,1),DATE(2022,12,31))</f>
        <v>44897</v>
      </c>
      <c r="E945" s="35">
        <v>7114592</v>
      </c>
      <c r="F945" s="34">
        <v>7.73</v>
      </c>
      <c r="G945" s="34">
        <v>288</v>
      </c>
      <c r="H945" s="36">
        <v>5311717</v>
      </c>
      <c r="I945" s="34">
        <v>0</v>
      </c>
      <c r="J945" s="36">
        <v>0</v>
      </c>
      <c r="K945" s="31">
        <v>0.71</v>
      </c>
    </row>
    <row r="946" spans="1:11">
      <c r="A946" s="34" t="s">
        <v>1016</v>
      </c>
      <c r="B946" s="19" t="s">
        <v>7</v>
      </c>
      <c r="C946" s="34" t="s">
        <v>39</v>
      </c>
      <c r="D946" s="21">
        <f ca="1">RANDBETWEEN(DATE(2021,10,1),DATE(2021,12,31))</f>
        <v>44530</v>
      </c>
      <c r="E946" s="35">
        <v>152894</v>
      </c>
      <c r="F946" s="34">
        <v>12.47</v>
      </c>
      <c r="G946" s="34">
        <v>40</v>
      </c>
      <c r="H946" s="36">
        <v>73455</v>
      </c>
      <c r="I946" s="34">
        <v>0</v>
      </c>
      <c r="J946" s="36">
        <v>0</v>
      </c>
      <c r="K946" s="31">
        <v>0.71</v>
      </c>
    </row>
    <row r="947" spans="1:11">
      <c r="A947" s="34" t="s">
        <v>1017</v>
      </c>
      <c r="B947" s="34" t="s">
        <v>6</v>
      </c>
      <c r="C947" s="34" t="s">
        <v>29</v>
      </c>
      <c r="D947" s="21">
        <f ca="1">RANDBETWEEN(DATE(2019,4,1),DATE(2019,6,30))</f>
        <v>43630</v>
      </c>
      <c r="E947" s="35">
        <v>271622</v>
      </c>
      <c r="F947" s="34">
        <v>8.11</v>
      </c>
      <c r="G947" s="34">
        <v>38</v>
      </c>
      <c r="H947" s="36">
        <v>150726</v>
      </c>
      <c r="I947" s="34">
        <v>0</v>
      </c>
      <c r="J947" s="36">
        <v>0</v>
      </c>
      <c r="K947" s="31">
        <v>0.71</v>
      </c>
    </row>
    <row r="948" spans="1:11">
      <c r="A948" s="34" t="s">
        <v>1018</v>
      </c>
      <c r="B948" s="34" t="s">
        <v>10</v>
      </c>
      <c r="C948" s="34" t="s">
        <v>31</v>
      </c>
      <c r="D948" s="21">
        <f ca="1">RANDBETWEEN(DATE(2019,10,1),DATE(2019,12,31))</f>
        <v>43813</v>
      </c>
      <c r="E948" s="35">
        <v>280127</v>
      </c>
      <c r="F948" s="34">
        <v>10.68</v>
      </c>
      <c r="G948" s="34">
        <v>64</v>
      </c>
      <c r="H948" s="36">
        <v>117904</v>
      </c>
      <c r="I948" s="34">
        <v>0</v>
      </c>
      <c r="J948" s="36">
        <v>0</v>
      </c>
      <c r="K948" s="31">
        <v>0.7</v>
      </c>
    </row>
    <row r="949" spans="1:11">
      <c r="A949" s="34" t="s">
        <v>1019</v>
      </c>
      <c r="B949" s="19" t="s">
        <v>7</v>
      </c>
      <c r="C949" s="34" t="s">
        <v>45</v>
      </c>
      <c r="D949" s="21">
        <f ca="1">RANDBETWEEN(DATE(2023,4,1),DATE(2023,6,30))</f>
        <v>45064</v>
      </c>
      <c r="E949" s="35">
        <v>1882852</v>
      </c>
      <c r="F949" s="34">
        <v>10.69</v>
      </c>
      <c r="G949" s="34">
        <v>8</v>
      </c>
      <c r="H949" s="36">
        <v>813975</v>
      </c>
      <c r="I949" s="34">
        <v>0</v>
      </c>
      <c r="J949" s="36">
        <v>0</v>
      </c>
      <c r="K949" s="31">
        <v>0.73</v>
      </c>
    </row>
    <row r="950" spans="1:11">
      <c r="A950" s="34" t="s">
        <v>1020</v>
      </c>
      <c r="B950" s="34" t="s">
        <v>10</v>
      </c>
      <c r="C950" s="34" t="s">
        <v>34</v>
      </c>
      <c r="D950" s="21">
        <f ca="1">RANDBETWEEN(DATE(2020,7,1),DATE(2020,9,30))</f>
        <v>44084</v>
      </c>
      <c r="E950" s="35">
        <v>520179</v>
      </c>
      <c r="F950" s="34">
        <v>10.15</v>
      </c>
      <c r="G950" s="34">
        <v>70</v>
      </c>
      <c r="H950" s="36">
        <v>213953</v>
      </c>
      <c r="I950" s="34">
        <v>0</v>
      </c>
      <c r="J950" s="36">
        <v>0</v>
      </c>
      <c r="K950" s="31">
        <v>0.68</v>
      </c>
    </row>
    <row r="951" spans="1:11">
      <c r="A951" s="34" t="s">
        <v>1021</v>
      </c>
      <c r="B951" s="19" t="s">
        <v>7</v>
      </c>
      <c r="C951" s="34" t="s">
        <v>36</v>
      </c>
      <c r="D951" s="21">
        <f ca="1">RANDBETWEEN(DATE(2021,1,1),DATE(2021,3,31))</f>
        <v>44221</v>
      </c>
      <c r="E951" s="35">
        <v>414431</v>
      </c>
      <c r="F951" s="34">
        <v>11.38</v>
      </c>
      <c r="G951" s="34">
        <v>8</v>
      </c>
      <c r="H951" s="36">
        <v>81928</v>
      </c>
      <c r="I951" s="34">
        <v>0</v>
      </c>
      <c r="J951" s="36">
        <v>0</v>
      </c>
      <c r="K951" s="30">
        <v>0.744</v>
      </c>
    </row>
    <row r="952" spans="1:11">
      <c r="A952" s="34" t="s">
        <v>1022</v>
      </c>
      <c r="B952" s="34" t="s">
        <v>6</v>
      </c>
      <c r="C952" s="34" t="s">
        <v>39</v>
      </c>
      <c r="D952" s="21">
        <f ca="1">RANDBETWEEN(DATE(2021,10,1),DATE(2021,12,31))</f>
        <v>44476</v>
      </c>
      <c r="E952" s="35">
        <v>283882</v>
      </c>
      <c r="F952" s="34">
        <v>7.81</v>
      </c>
      <c r="G952" s="34">
        <v>9</v>
      </c>
      <c r="H952" s="36">
        <v>150759</v>
      </c>
      <c r="I952" s="34">
        <v>1</v>
      </c>
      <c r="J952" s="36">
        <v>18494</v>
      </c>
      <c r="K952" s="31">
        <v>0.71</v>
      </c>
    </row>
    <row r="953" spans="1:11">
      <c r="A953" s="34" t="s">
        <v>1023</v>
      </c>
      <c r="B953" s="34" t="s">
        <v>10</v>
      </c>
      <c r="C953" s="34" t="s">
        <v>42</v>
      </c>
      <c r="D953" s="21">
        <f ca="1">RANDBETWEEN(DATE(2022,7,1),DATE(2022,9,30))</f>
        <v>44762</v>
      </c>
      <c r="E953" s="35">
        <v>3981352</v>
      </c>
      <c r="F953" s="34">
        <v>10.39</v>
      </c>
      <c r="G953" s="34">
        <v>21</v>
      </c>
      <c r="H953" s="36">
        <v>1236851</v>
      </c>
      <c r="I953" s="34">
        <v>0</v>
      </c>
      <c r="J953" s="36">
        <v>0</v>
      </c>
      <c r="K953" s="31">
        <v>0.73</v>
      </c>
    </row>
    <row r="954" spans="1:11">
      <c r="A954" s="34" t="s">
        <v>1024</v>
      </c>
      <c r="B954" s="19" t="s">
        <v>7</v>
      </c>
      <c r="C954" s="34" t="s">
        <v>35</v>
      </c>
      <c r="D954" s="21">
        <f ca="1">RANDBETWEEN(DATE(2020,10,1),DATE(2020,12,31))</f>
        <v>44112</v>
      </c>
      <c r="E954" s="35">
        <v>1943413</v>
      </c>
      <c r="F954" s="34">
        <v>11.36</v>
      </c>
      <c r="G954" s="34">
        <v>10</v>
      </c>
      <c r="H954" s="36">
        <v>1504664</v>
      </c>
      <c r="I954" s="34">
        <v>0</v>
      </c>
      <c r="J954" s="36">
        <v>0</v>
      </c>
      <c r="K954" s="31">
        <v>0.68</v>
      </c>
    </row>
    <row r="955" spans="1:11">
      <c r="A955" s="34" t="s">
        <v>1025</v>
      </c>
      <c r="B955" s="34" t="s">
        <v>8</v>
      </c>
      <c r="C955" s="34" t="s">
        <v>33</v>
      </c>
      <c r="D955" s="21">
        <f ca="1">RANDBETWEEN(DATE(2020,4,1),DATE(2020,6,30))</f>
        <v>44012</v>
      </c>
      <c r="E955" s="35">
        <v>8188641</v>
      </c>
      <c r="F955" s="34">
        <v>7.89</v>
      </c>
      <c r="G955" s="34">
        <v>98</v>
      </c>
      <c r="H955" s="36">
        <v>6042071</v>
      </c>
      <c r="I955" s="34">
        <v>0</v>
      </c>
      <c r="J955" s="36">
        <v>0</v>
      </c>
      <c r="K955" s="31">
        <v>0.72</v>
      </c>
    </row>
    <row r="956" spans="1:11">
      <c r="A956" s="34" t="s">
        <v>1026</v>
      </c>
      <c r="B956" s="19" t="s">
        <v>7</v>
      </c>
      <c r="C956" s="34" t="s">
        <v>32</v>
      </c>
      <c r="D956" s="21">
        <f ca="1">RANDBETWEEN(DATE(2020,1,1),DATE(2020,3,31))</f>
        <v>43905</v>
      </c>
      <c r="E956" s="35">
        <v>736261</v>
      </c>
      <c r="F956" s="34">
        <v>10.59</v>
      </c>
      <c r="G956" s="34">
        <v>8</v>
      </c>
      <c r="H956" s="36">
        <v>357899</v>
      </c>
      <c r="I956" s="34">
        <v>0</v>
      </c>
      <c r="J956" s="36">
        <v>0</v>
      </c>
      <c r="K956" s="31">
        <v>0.68</v>
      </c>
    </row>
    <row r="957" spans="1:11">
      <c r="A957" s="34" t="s">
        <v>1027</v>
      </c>
      <c r="B957" s="34" t="s">
        <v>10</v>
      </c>
      <c r="C957" s="34" t="s">
        <v>35</v>
      </c>
      <c r="D957" s="21">
        <f ca="1">RANDBETWEEN(DATE(2020,10,1),DATE(2020,12,31))</f>
        <v>44112</v>
      </c>
      <c r="E957" s="35">
        <v>4695108</v>
      </c>
      <c r="F957" s="34">
        <v>10.35</v>
      </c>
      <c r="G957" s="34">
        <v>107</v>
      </c>
      <c r="H957" s="36">
        <v>1300081</v>
      </c>
      <c r="I957" s="34">
        <v>0</v>
      </c>
      <c r="J957" s="36">
        <v>0</v>
      </c>
      <c r="K957" s="31">
        <v>0.68</v>
      </c>
    </row>
    <row r="958" spans="1:11">
      <c r="A958" s="34" t="s">
        <v>1028</v>
      </c>
      <c r="B958" s="34" t="s">
        <v>6</v>
      </c>
      <c r="C958" s="34" t="s">
        <v>48</v>
      </c>
      <c r="D958" s="21">
        <f ca="1">RANDBETWEEN(DATE(2024,1,1),DATE(2024,3,31))</f>
        <v>45372</v>
      </c>
      <c r="E958" s="35">
        <v>63913</v>
      </c>
      <c r="F958" s="34">
        <v>8.44</v>
      </c>
      <c r="G958" s="34">
        <v>15</v>
      </c>
      <c r="H958" s="36">
        <v>34028</v>
      </c>
      <c r="I958" s="34">
        <v>0</v>
      </c>
      <c r="J958" s="36">
        <v>0</v>
      </c>
      <c r="K958" s="31">
        <v>0.75</v>
      </c>
    </row>
    <row r="959" spans="1:11">
      <c r="A959" s="34" t="s">
        <v>1029</v>
      </c>
      <c r="B959" s="34" t="s">
        <v>10</v>
      </c>
      <c r="C959" s="34" t="s">
        <v>32</v>
      </c>
      <c r="D959" s="21">
        <f ca="1">RANDBETWEEN(DATE(2020,1,1),DATE(2020,3,31))</f>
        <v>43919</v>
      </c>
      <c r="E959" s="35">
        <v>4947964</v>
      </c>
      <c r="F959" s="34">
        <v>9.14</v>
      </c>
      <c r="G959" s="34">
        <v>6</v>
      </c>
      <c r="H959" s="36">
        <v>4434714</v>
      </c>
      <c r="I959" s="34">
        <v>0</v>
      </c>
      <c r="J959" s="36">
        <v>0</v>
      </c>
      <c r="K959" s="31">
        <v>0.68</v>
      </c>
    </row>
    <row r="960" spans="1:11">
      <c r="A960" s="34" t="s">
        <v>1030</v>
      </c>
      <c r="B960" s="34" t="s">
        <v>10</v>
      </c>
      <c r="C960" s="34" t="s">
        <v>34</v>
      </c>
      <c r="D960" s="21">
        <f ca="1">RANDBETWEEN(DATE(2020,7,1),DATE(2020,9,30))</f>
        <v>44069</v>
      </c>
      <c r="E960" s="35">
        <v>4392489</v>
      </c>
      <c r="F960" s="34">
        <v>9.47</v>
      </c>
      <c r="G960" s="34">
        <v>6</v>
      </c>
      <c r="H960" s="36">
        <v>2368895</v>
      </c>
      <c r="I960" s="34">
        <v>0</v>
      </c>
      <c r="J960" s="36">
        <v>0</v>
      </c>
      <c r="K960" s="31">
        <v>0.68</v>
      </c>
    </row>
    <row r="961" spans="1:11">
      <c r="A961" s="34" t="s">
        <v>1031</v>
      </c>
      <c r="B961" s="34" t="s">
        <v>10</v>
      </c>
      <c r="C961" s="34" t="s">
        <v>30</v>
      </c>
      <c r="D961" s="21">
        <f ca="1">RANDBETWEEN(DATE(2019,7,1),DATE(2019,9,30))</f>
        <v>43660</v>
      </c>
      <c r="E961" s="35">
        <v>3553081</v>
      </c>
      <c r="F961" s="34">
        <v>8.57</v>
      </c>
      <c r="G961" s="34">
        <v>11</v>
      </c>
      <c r="H961" s="36">
        <v>304612</v>
      </c>
      <c r="I961" s="34">
        <v>0</v>
      </c>
      <c r="J961" s="36">
        <v>0</v>
      </c>
      <c r="K961" s="31">
        <v>0.71</v>
      </c>
    </row>
    <row r="962" spans="1:11">
      <c r="A962" s="34" t="s">
        <v>1032</v>
      </c>
      <c r="B962" s="19" t="s">
        <v>7</v>
      </c>
      <c r="C962" s="34" t="s">
        <v>48</v>
      </c>
      <c r="D962" s="21">
        <f ca="1">RANDBETWEEN(DATE(2024,1,1),DATE(2024,3,31))</f>
        <v>45326</v>
      </c>
      <c r="E962" s="35">
        <v>541703</v>
      </c>
      <c r="F962" s="34">
        <v>12.8</v>
      </c>
      <c r="G962" s="34">
        <v>59</v>
      </c>
      <c r="H962" s="36">
        <v>450824</v>
      </c>
      <c r="I962" s="34">
        <v>1</v>
      </c>
      <c r="J962" s="36">
        <v>250698</v>
      </c>
      <c r="K962" s="31">
        <v>0.75</v>
      </c>
    </row>
    <row r="963" spans="1:11">
      <c r="A963" s="34" t="s">
        <v>1033</v>
      </c>
      <c r="B963" s="34" t="s">
        <v>8</v>
      </c>
      <c r="C963" s="34" t="s">
        <v>42</v>
      </c>
      <c r="D963" s="21">
        <f ca="1">RANDBETWEEN(DATE(2022,7,1),DATE(2022,9,30))</f>
        <v>44791</v>
      </c>
      <c r="E963" s="35">
        <v>3364123</v>
      </c>
      <c r="F963" s="34">
        <v>8</v>
      </c>
      <c r="G963" s="34">
        <v>163</v>
      </c>
      <c r="H963" s="36">
        <v>708258</v>
      </c>
      <c r="I963" s="34">
        <v>0</v>
      </c>
      <c r="J963" s="36">
        <v>0</v>
      </c>
      <c r="K963" s="31">
        <v>0.73</v>
      </c>
    </row>
    <row r="964" spans="1:11">
      <c r="A964" s="34" t="s">
        <v>1034</v>
      </c>
      <c r="B964" s="34" t="s">
        <v>9</v>
      </c>
      <c r="C964" s="34" t="s">
        <v>45</v>
      </c>
      <c r="D964" s="21">
        <f ca="1">RANDBETWEEN(DATE(2023,4,1),DATE(2023,6,30))</f>
        <v>45080</v>
      </c>
      <c r="E964" s="35">
        <v>942289</v>
      </c>
      <c r="F964" s="37">
        <v>10.14</v>
      </c>
      <c r="G964" s="34">
        <v>37</v>
      </c>
      <c r="H964" s="36">
        <v>182788</v>
      </c>
      <c r="I964" s="34">
        <v>0</v>
      </c>
      <c r="J964" s="36">
        <v>0</v>
      </c>
      <c r="K964" s="31">
        <v>0.73</v>
      </c>
    </row>
    <row r="965" spans="1:11">
      <c r="A965" s="34" t="s">
        <v>1035</v>
      </c>
      <c r="B965" s="34" t="s">
        <v>10</v>
      </c>
      <c r="C965" s="34" t="s">
        <v>39</v>
      </c>
      <c r="D965" s="21">
        <f ca="1">RANDBETWEEN(DATE(2021,10,1),DATE(2021,12,31))</f>
        <v>44491</v>
      </c>
      <c r="E965" s="35">
        <v>1408288</v>
      </c>
      <c r="F965" s="34">
        <v>9</v>
      </c>
      <c r="G965" s="34">
        <v>9</v>
      </c>
      <c r="H965" s="36">
        <v>855168</v>
      </c>
      <c r="I965" s="34">
        <v>1</v>
      </c>
      <c r="J965" s="36">
        <v>520776</v>
      </c>
      <c r="K965" s="31">
        <v>0.71</v>
      </c>
    </row>
    <row r="966" spans="1:11">
      <c r="A966" s="34" t="s">
        <v>1036</v>
      </c>
      <c r="B966" s="34" t="s">
        <v>6</v>
      </c>
      <c r="C966" s="34" t="s">
        <v>48</v>
      </c>
      <c r="D966" s="21">
        <f ca="1">RANDBETWEEN(DATE(2024,1,1),DATE(2024,3,31))</f>
        <v>45357</v>
      </c>
      <c r="E966" s="35">
        <v>521896</v>
      </c>
      <c r="F966" s="34">
        <v>8.13</v>
      </c>
      <c r="G966" s="34">
        <v>26</v>
      </c>
      <c r="H966" s="36">
        <v>280951</v>
      </c>
      <c r="I966" s="34">
        <v>0</v>
      </c>
      <c r="J966" s="36">
        <v>0</v>
      </c>
      <c r="K966" s="31">
        <v>0.75</v>
      </c>
    </row>
    <row r="967" spans="1:11">
      <c r="A967" s="34" t="s">
        <v>1037</v>
      </c>
      <c r="B967" s="34" t="s">
        <v>8</v>
      </c>
      <c r="C967" s="34" t="s">
        <v>35</v>
      </c>
      <c r="D967" s="21">
        <f ca="1">RANDBETWEEN(DATE(2020,10,1),DATE(2020,12,31))</f>
        <v>44179</v>
      </c>
      <c r="E967" s="35">
        <v>2262245</v>
      </c>
      <c r="F967" s="34">
        <v>7.81</v>
      </c>
      <c r="G967" s="34">
        <v>141</v>
      </c>
      <c r="H967" s="36">
        <v>697947</v>
      </c>
      <c r="I967" s="34">
        <v>0</v>
      </c>
      <c r="J967" s="36">
        <v>0</v>
      </c>
      <c r="K967" s="31">
        <v>0.68</v>
      </c>
    </row>
    <row r="968" spans="1:11">
      <c r="A968" s="34" t="s">
        <v>1038</v>
      </c>
      <c r="B968" s="34" t="s">
        <v>6</v>
      </c>
      <c r="C968" s="34" t="s">
        <v>31</v>
      </c>
      <c r="D968" s="21">
        <f ca="1">RANDBETWEEN(DATE(2019,10,1),DATE(2019,12,31))</f>
        <v>43742</v>
      </c>
      <c r="E968" s="35">
        <v>558318</v>
      </c>
      <c r="F968" s="34">
        <v>7.47</v>
      </c>
      <c r="G968" s="34">
        <v>10</v>
      </c>
      <c r="H968" s="36">
        <v>359120</v>
      </c>
      <c r="I968" s="34">
        <v>1</v>
      </c>
      <c r="J968" s="36">
        <v>84564</v>
      </c>
      <c r="K968" s="31">
        <v>0.7</v>
      </c>
    </row>
    <row r="969" spans="1:11">
      <c r="A969" s="34" t="s">
        <v>1039</v>
      </c>
      <c r="B969" s="34" t="s">
        <v>10</v>
      </c>
      <c r="C969" s="34" t="s">
        <v>40</v>
      </c>
      <c r="D969" s="21">
        <f ca="1">RANDBETWEEN(DATE(2022,1,1),DATE(2022,3,31))</f>
        <v>44612</v>
      </c>
      <c r="E969" s="35">
        <v>2414522</v>
      </c>
      <c r="F969" s="34">
        <v>9.19</v>
      </c>
      <c r="G969" s="34">
        <v>10</v>
      </c>
      <c r="H969" s="36">
        <v>701116</v>
      </c>
      <c r="I969" s="34">
        <v>1</v>
      </c>
      <c r="J969" s="36">
        <v>75605</v>
      </c>
      <c r="K969" s="31">
        <v>0.71</v>
      </c>
    </row>
    <row r="970" spans="1:11">
      <c r="A970" s="34" t="s">
        <v>1040</v>
      </c>
      <c r="B970" s="34" t="s">
        <v>8</v>
      </c>
      <c r="C970" s="34" t="s">
        <v>33</v>
      </c>
      <c r="D970" s="21">
        <f ca="1">RANDBETWEEN(DATE(2020,4,1),DATE(2020,6,30))</f>
        <v>43922</v>
      </c>
      <c r="E970" s="35">
        <v>6566553</v>
      </c>
      <c r="F970" s="34">
        <v>8.15</v>
      </c>
      <c r="G970" s="34">
        <v>113</v>
      </c>
      <c r="H970" s="36">
        <v>2557002</v>
      </c>
      <c r="I970" s="34">
        <v>0</v>
      </c>
      <c r="J970" s="36">
        <v>0</v>
      </c>
      <c r="K970" s="31">
        <v>0.72</v>
      </c>
    </row>
    <row r="971" spans="1:11">
      <c r="A971" s="34" t="s">
        <v>1041</v>
      </c>
      <c r="B971" s="34" t="s">
        <v>9</v>
      </c>
      <c r="C971" s="34" t="s">
        <v>41</v>
      </c>
      <c r="D971" s="21">
        <f ca="1">RANDBETWEEN(DATE(2022,4,1),DATE(2022,6,30))</f>
        <v>44679</v>
      </c>
      <c r="E971" s="35">
        <v>1659523</v>
      </c>
      <c r="F971" s="37">
        <v>11.12</v>
      </c>
      <c r="G971" s="34">
        <v>14</v>
      </c>
      <c r="H971" s="36">
        <v>719058</v>
      </c>
      <c r="I971" s="34">
        <v>0</v>
      </c>
      <c r="J971" s="36">
        <v>0</v>
      </c>
      <c r="K971" s="30">
        <v>0.727</v>
      </c>
    </row>
    <row r="972" spans="1:11">
      <c r="A972" s="34" t="s">
        <v>1042</v>
      </c>
      <c r="B972" s="34" t="s">
        <v>10</v>
      </c>
      <c r="C972" s="34" t="s">
        <v>30</v>
      </c>
      <c r="D972" s="21">
        <f ca="1">RANDBETWEEN(DATE(2019,7,1),DATE(2019,9,30))</f>
        <v>43699</v>
      </c>
      <c r="E972" s="35">
        <v>4377431</v>
      </c>
      <c r="F972" s="34">
        <v>10.02</v>
      </c>
      <c r="G972" s="34">
        <v>87</v>
      </c>
      <c r="H972" s="36">
        <v>1151233</v>
      </c>
      <c r="I972" s="34">
        <v>1</v>
      </c>
      <c r="J972" s="36">
        <v>346804</v>
      </c>
      <c r="K972" s="31">
        <v>0.71</v>
      </c>
    </row>
    <row r="973" spans="1:11">
      <c r="A973" s="34" t="s">
        <v>1043</v>
      </c>
      <c r="B973" s="34" t="s">
        <v>9</v>
      </c>
      <c r="C973" s="34" t="s">
        <v>45</v>
      </c>
      <c r="D973" s="21">
        <f ca="1">RANDBETWEEN(DATE(2023,4,1),DATE(2023,6,30))</f>
        <v>45054</v>
      </c>
      <c r="E973" s="35">
        <v>1253552</v>
      </c>
      <c r="F973" s="37">
        <v>10.38</v>
      </c>
      <c r="G973" s="34">
        <v>26</v>
      </c>
      <c r="H973" s="36">
        <v>1058070</v>
      </c>
      <c r="I973" s="34">
        <v>1</v>
      </c>
      <c r="J973" s="36">
        <v>718152</v>
      </c>
      <c r="K973" s="31">
        <v>0.73</v>
      </c>
    </row>
    <row r="974" spans="1:11">
      <c r="A974" s="34" t="s">
        <v>1044</v>
      </c>
      <c r="B974" s="19" t="s">
        <v>7</v>
      </c>
      <c r="C974" s="34" t="s">
        <v>40</v>
      </c>
      <c r="D974" s="21">
        <f ca="1">RANDBETWEEN(DATE(2022,1,1),DATE(2022,3,31))</f>
        <v>44617</v>
      </c>
      <c r="E974" s="35">
        <v>59307</v>
      </c>
      <c r="F974" s="34">
        <v>12.77</v>
      </c>
      <c r="G974" s="34">
        <v>22</v>
      </c>
      <c r="H974" s="36">
        <v>27423</v>
      </c>
      <c r="I974" s="34">
        <v>0</v>
      </c>
      <c r="J974" s="36">
        <v>0</v>
      </c>
      <c r="K974" s="31">
        <v>0.71</v>
      </c>
    </row>
    <row r="975" spans="1:11">
      <c r="A975" s="34" t="s">
        <v>1045</v>
      </c>
      <c r="B975" s="34" t="s">
        <v>9</v>
      </c>
      <c r="C975" s="34" t="s">
        <v>43</v>
      </c>
      <c r="D975" s="21">
        <f ca="1">RANDBETWEEN(DATE(2022,10,1),DATE(2022,12,31))</f>
        <v>44883</v>
      </c>
      <c r="E975" s="35">
        <v>399351</v>
      </c>
      <c r="F975" s="37">
        <v>10.49</v>
      </c>
      <c r="G975" s="34">
        <v>24</v>
      </c>
      <c r="H975" s="36">
        <v>241119</v>
      </c>
      <c r="I975" s="34">
        <v>1</v>
      </c>
      <c r="J975" s="36">
        <v>148047</v>
      </c>
      <c r="K975" s="31">
        <v>0.71</v>
      </c>
    </row>
    <row r="976" spans="1:11">
      <c r="A976" s="34" t="s">
        <v>1046</v>
      </c>
      <c r="B976" s="34" t="s">
        <v>9</v>
      </c>
      <c r="C976" s="34" t="s">
        <v>37</v>
      </c>
      <c r="D976" s="21">
        <f ca="1">RANDBETWEEN(DATE(2021,4,1),DATE(2021,6,30))</f>
        <v>44342</v>
      </c>
      <c r="E976" s="35">
        <v>1635857</v>
      </c>
      <c r="F976" s="37">
        <v>11.54</v>
      </c>
      <c r="G976" s="34">
        <v>40</v>
      </c>
      <c r="H976" s="36">
        <v>868222</v>
      </c>
      <c r="I976" s="34">
        <v>0</v>
      </c>
      <c r="J976" s="36">
        <v>0</v>
      </c>
      <c r="K976" s="31">
        <v>0.72</v>
      </c>
    </row>
    <row r="977" spans="1:11">
      <c r="A977" s="34" t="s">
        <v>1047</v>
      </c>
      <c r="B977" s="34" t="s">
        <v>8</v>
      </c>
      <c r="C977" s="34" t="s">
        <v>44</v>
      </c>
      <c r="D977" s="21">
        <f ca="1">RANDBETWEEN(DATE(2023,1,1),DATE(2023,3,31))</f>
        <v>44952</v>
      </c>
      <c r="E977" s="35">
        <v>8850490</v>
      </c>
      <c r="F977" s="34">
        <v>8.06</v>
      </c>
      <c r="G977" s="34">
        <v>229</v>
      </c>
      <c r="H977" s="36">
        <v>6164684</v>
      </c>
      <c r="I977" s="34">
        <v>0</v>
      </c>
      <c r="J977" s="36">
        <v>0</v>
      </c>
      <c r="K977" s="31">
        <v>0.73</v>
      </c>
    </row>
    <row r="978" spans="1:11">
      <c r="A978" s="34" t="s">
        <v>1048</v>
      </c>
      <c r="B978" s="34" t="s">
        <v>10</v>
      </c>
      <c r="C978" s="34" t="s">
        <v>32</v>
      </c>
      <c r="D978" s="21">
        <f ca="1">RANDBETWEEN(DATE(2020,1,1),DATE(2020,3,31))</f>
        <v>43890</v>
      </c>
      <c r="E978" s="35">
        <v>2790402</v>
      </c>
      <c r="F978" s="34">
        <v>10.8</v>
      </c>
      <c r="G978" s="34">
        <v>71</v>
      </c>
      <c r="H978" s="36">
        <v>819306</v>
      </c>
      <c r="I978" s="34">
        <v>1</v>
      </c>
      <c r="J978" s="36">
        <v>268412</v>
      </c>
      <c r="K978" s="31">
        <v>0.68</v>
      </c>
    </row>
    <row r="979" spans="1:11">
      <c r="A979" s="34" t="s">
        <v>1049</v>
      </c>
      <c r="B979" s="34" t="s">
        <v>8</v>
      </c>
      <c r="C979" s="34" t="s">
        <v>35</v>
      </c>
      <c r="D979" s="21">
        <f ca="1">RANDBETWEEN(DATE(2020,10,1),DATE(2020,12,31))</f>
        <v>44116</v>
      </c>
      <c r="E979" s="35">
        <v>2822088</v>
      </c>
      <c r="F979" s="34">
        <v>7.58</v>
      </c>
      <c r="G979" s="34">
        <v>180</v>
      </c>
      <c r="H979" s="36">
        <v>2461743</v>
      </c>
      <c r="I979" s="34">
        <v>0</v>
      </c>
      <c r="J979" s="36">
        <v>0</v>
      </c>
      <c r="K979" s="31">
        <v>0.68</v>
      </c>
    </row>
    <row r="980" spans="1:11">
      <c r="A980" s="34" t="s">
        <v>1050</v>
      </c>
      <c r="B980" s="34" t="s">
        <v>6</v>
      </c>
      <c r="C980" s="34" t="s">
        <v>32</v>
      </c>
      <c r="D980" s="21">
        <f ca="1">RANDBETWEEN(DATE(2020,1,1),DATE(2020,3,31))</f>
        <v>43899</v>
      </c>
      <c r="E980" s="35">
        <v>93375</v>
      </c>
      <c r="F980" s="34">
        <v>7.64</v>
      </c>
      <c r="G980" s="34">
        <v>13</v>
      </c>
      <c r="H980" s="36">
        <v>20654</v>
      </c>
      <c r="I980" s="34">
        <v>1</v>
      </c>
      <c r="J980" s="36">
        <v>2116</v>
      </c>
      <c r="K980" s="31">
        <v>0.68</v>
      </c>
    </row>
    <row r="981" spans="1:11">
      <c r="A981" s="34" t="s">
        <v>1051</v>
      </c>
      <c r="B981" s="34" t="s">
        <v>6</v>
      </c>
      <c r="C981" s="34" t="s">
        <v>47</v>
      </c>
      <c r="D981" s="21">
        <f ca="1">RANDBETWEEN(DATE(2023,10,1),DATE(2023,12,31))</f>
        <v>45232</v>
      </c>
      <c r="E981" s="35">
        <v>975693</v>
      </c>
      <c r="F981" s="34">
        <v>7.4</v>
      </c>
      <c r="G981" s="34">
        <v>11</v>
      </c>
      <c r="H981" s="36">
        <v>291388</v>
      </c>
      <c r="I981" s="34">
        <v>0</v>
      </c>
      <c r="J981" s="36">
        <v>0</v>
      </c>
      <c r="K981" s="32">
        <v>0.74</v>
      </c>
    </row>
    <row r="982" spans="1:11">
      <c r="A982" s="34" t="s">
        <v>1052</v>
      </c>
      <c r="B982" s="34" t="s">
        <v>6</v>
      </c>
      <c r="C982" s="34" t="s">
        <v>45</v>
      </c>
      <c r="D982" s="21">
        <f ca="1">RANDBETWEEN(DATE(2023,4,1),DATE(2023,6,30))</f>
        <v>45019</v>
      </c>
      <c r="E982" s="35">
        <v>343963</v>
      </c>
      <c r="F982" s="34">
        <v>7.68</v>
      </c>
      <c r="G982" s="34">
        <v>39</v>
      </c>
      <c r="H982" s="36">
        <v>273830</v>
      </c>
      <c r="I982" s="34">
        <v>0</v>
      </c>
      <c r="J982" s="36">
        <v>0</v>
      </c>
      <c r="K982" s="31">
        <v>0.73</v>
      </c>
    </row>
    <row r="983" spans="1:11">
      <c r="A983" s="34" t="s">
        <v>1053</v>
      </c>
      <c r="B983" s="34" t="s">
        <v>6</v>
      </c>
      <c r="C983" s="34" t="s">
        <v>30</v>
      </c>
      <c r="D983" s="21">
        <f ca="1">RANDBETWEEN(DATE(2019,7,1),DATE(2019,9,30))</f>
        <v>43647</v>
      </c>
      <c r="E983" s="35">
        <v>764999</v>
      </c>
      <c r="F983" s="34">
        <v>8</v>
      </c>
      <c r="G983" s="34">
        <v>15</v>
      </c>
      <c r="H983" s="36">
        <v>224526</v>
      </c>
      <c r="I983" s="34">
        <v>0</v>
      </c>
      <c r="J983" s="36">
        <v>0</v>
      </c>
      <c r="K983" s="31">
        <v>0.71</v>
      </c>
    </row>
    <row r="984" spans="1:11">
      <c r="A984" s="34" t="s">
        <v>1054</v>
      </c>
      <c r="B984" s="34" t="s">
        <v>6</v>
      </c>
      <c r="C984" s="34" t="s">
        <v>46</v>
      </c>
      <c r="D984" s="21">
        <f ca="1">RANDBETWEEN(DATE(2023,7,1),DATE(2023,9,30))</f>
        <v>45173</v>
      </c>
      <c r="E984" s="35">
        <v>870690</v>
      </c>
      <c r="F984" s="34">
        <v>7.14</v>
      </c>
      <c r="G984" s="34">
        <v>7</v>
      </c>
      <c r="H984" s="36">
        <v>312560</v>
      </c>
      <c r="I984" s="34">
        <v>1</v>
      </c>
      <c r="J984" s="36">
        <v>246185</v>
      </c>
      <c r="K984" s="31">
        <v>0.76</v>
      </c>
    </row>
    <row r="985" spans="1:11">
      <c r="A985" s="34" t="s">
        <v>1055</v>
      </c>
      <c r="B985" s="19" t="s">
        <v>7</v>
      </c>
      <c r="C985" s="34" t="s">
        <v>38</v>
      </c>
      <c r="D985" s="21">
        <f ca="1">RANDBETWEEN(DATE(2021,7,1),DATE(2021,9,30))</f>
        <v>44385</v>
      </c>
      <c r="E985" s="35">
        <v>1340143</v>
      </c>
      <c r="F985" s="34">
        <v>12.91</v>
      </c>
      <c r="G985" s="34">
        <v>29</v>
      </c>
      <c r="H985" s="36">
        <v>284575</v>
      </c>
      <c r="I985" s="34">
        <v>0</v>
      </c>
      <c r="J985" s="36">
        <v>0</v>
      </c>
      <c r="K985" s="33">
        <v>0.68</v>
      </c>
    </row>
    <row r="986" spans="1:11">
      <c r="A986" s="34" t="s">
        <v>1056</v>
      </c>
      <c r="B986" s="34" t="s">
        <v>6</v>
      </c>
      <c r="C986" s="34" t="s">
        <v>34</v>
      </c>
      <c r="D986" s="21">
        <f ca="1">RANDBETWEEN(DATE(2020,7,1),DATE(2020,9,30))</f>
        <v>44079</v>
      </c>
      <c r="E986" s="35">
        <v>911977</v>
      </c>
      <c r="F986" s="34">
        <v>8.3</v>
      </c>
      <c r="G986" s="34">
        <v>30</v>
      </c>
      <c r="H986" s="36">
        <v>839446</v>
      </c>
      <c r="I986" s="34">
        <v>1</v>
      </c>
      <c r="J986" s="36">
        <v>308041</v>
      </c>
      <c r="K986" s="31">
        <v>0.68</v>
      </c>
    </row>
    <row r="987" spans="1:11">
      <c r="A987" s="34" t="s">
        <v>1057</v>
      </c>
      <c r="B987" s="34" t="s">
        <v>10</v>
      </c>
      <c r="C987" s="34" t="s">
        <v>45</v>
      </c>
      <c r="D987" s="21">
        <f ca="1">RANDBETWEEN(DATE(2023,4,1),DATE(2023,6,30))</f>
        <v>45046</v>
      </c>
      <c r="E987" s="35">
        <v>1414059</v>
      </c>
      <c r="F987" s="34">
        <v>10.06</v>
      </c>
      <c r="G987" s="34">
        <v>61</v>
      </c>
      <c r="H987" s="36">
        <v>1267242</v>
      </c>
      <c r="I987" s="34">
        <v>0</v>
      </c>
      <c r="J987" s="36">
        <v>0</v>
      </c>
      <c r="K987" s="31">
        <v>0.73</v>
      </c>
    </row>
    <row r="988" spans="1:11">
      <c r="A988" s="34" t="s">
        <v>1058</v>
      </c>
      <c r="B988" s="34" t="s">
        <v>6</v>
      </c>
      <c r="C988" s="34" t="s">
        <v>45</v>
      </c>
      <c r="D988" s="21">
        <f ca="1">RANDBETWEEN(DATE(2023,4,1),DATE(2023,6,30))</f>
        <v>45104</v>
      </c>
      <c r="E988" s="35">
        <v>603155</v>
      </c>
      <c r="F988" s="34">
        <v>7.58</v>
      </c>
      <c r="G988" s="34">
        <v>21</v>
      </c>
      <c r="H988" s="36">
        <v>411197</v>
      </c>
      <c r="I988" s="34">
        <v>0</v>
      </c>
      <c r="J988" s="36">
        <v>0</v>
      </c>
      <c r="K988" s="31">
        <v>0.73</v>
      </c>
    </row>
    <row r="989" spans="1:11">
      <c r="A989" s="34" t="s">
        <v>1059</v>
      </c>
      <c r="B989" s="34" t="s">
        <v>8</v>
      </c>
      <c r="C989" s="34" t="s">
        <v>30</v>
      </c>
      <c r="D989" s="21">
        <f ca="1">RANDBETWEEN(DATE(2019,7,1),DATE(2019,9,30))</f>
        <v>43668</v>
      </c>
      <c r="E989" s="35">
        <v>4466947</v>
      </c>
      <c r="F989" s="34">
        <v>8.31</v>
      </c>
      <c r="G989" s="34">
        <v>220</v>
      </c>
      <c r="H989" s="36">
        <v>1263870</v>
      </c>
      <c r="I989" s="34">
        <v>0</v>
      </c>
      <c r="J989" s="36">
        <v>0</v>
      </c>
      <c r="K989" s="31">
        <v>0.71</v>
      </c>
    </row>
    <row r="990" spans="1:11">
      <c r="A990" s="34" t="s">
        <v>1060</v>
      </c>
      <c r="B990" s="34" t="s">
        <v>10</v>
      </c>
      <c r="C990" s="34" t="s">
        <v>31</v>
      </c>
      <c r="D990" s="21">
        <f ca="1">RANDBETWEEN(DATE(2019,10,1),DATE(2019,12,31))</f>
        <v>43801</v>
      </c>
      <c r="E990" s="35">
        <v>4312640</v>
      </c>
      <c r="F990" s="34">
        <v>10.3</v>
      </c>
      <c r="G990" s="34">
        <v>26</v>
      </c>
      <c r="H990" s="36">
        <v>1434076</v>
      </c>
      <c r="I990" s="34">
        <v>0</v>
      </c>
      <c r="J990" s="36">
        <v>0</v>
      </c>
      <c r="K990" s="31">
        <v>0.7</v>
      </c>
    </row>
    <row r="991" spans="1:11">
      <c r="A991" s="34" t="s">
        <v>1061</v>
      </c>
      <c r="B991" s="19" t="s">
        <v>7</v>
      </c>
      <c r="C991" s="34" t="s">
        <v>35</v>
      </c>
      <c r="D991" s="21">
        <f ca="1">RANDBETWEEN(DATE(2020,10,1),DATE(2020,12,31))</f>
        <v>44153</v>
      </c>
      <c r="E991" s="35">
        <v>1353476</v>
      </c>
      <c r="F991" s="34">
        <v>11.38</v>
      </c>
      <c r="G991" s="34">
        <v>6</v>
      </c>
      <c r="H991" s="36">
        <v>137108</v>
      </c>
      <c r="I991" s="34">
        <v>0</v>
      </c>
      <c r="J991" s="36">
        <v>0</v>
      </c>
      <c r="K991" s="31">
        <v>0.68</v>
      </c>
    </row>
    <row r="992" spans="1:11">
      <c r="A992" s="34" t="s">
        <v>1062</v>
      </c>
      <c r="B992" s="19" t="s">
        <v>7</v>
      </c>
      <c r="C992" s="34" t="s">
        <v>45</v>
      </c>
      <c r="D992" s="21">
        <f ca="1">RANDBETWEEN(DATE(2023,4,1),DATE(2023,6,30))</f>
        <v>45042</v>
      </c>
      <c r="E992" s="35">
        <v>1150160</v>
      </c>
      <c r="F992" s="34">
        <v>11.61</v>
      </c>
      <c r="G992" s="34">
        <v>46</v>
      </c>
      <c r="H992" s="36">
        <v>751008</v>
      </c>
      <c r="I992" s="34">
        <v>0</v>
      </c>
      <c r="J992" s="36">
        <v>0</v>
      </c>
      <c r="K992" s="31">
        <v>0.73</v>
      </c>
    </row>
    <row r="993" spans="1:11">
      <c r="A993" s="34" t="s">
        <v>1063</v>
      </c>
      <c r="B993" s="34" t="s">
        <v>9</v>
      </c>
      <c r="C993" s="34" t="s">
        <v>45</v>
      </c>
      <c r="D993" s="21">
        <f ca="1">RANDBETWEEN(DATE(2023,4,1),DATE(2023,6,30))</f>
        <v>45099</v>
      </c>
      <c r="E993" s="35">
        <v>1540677</v>
      </c>
      <c r="F993" s="37">
        <v>9.16</v>
      </c>
      <c r="G993" s="34">
        <v>12</v>
      </c>
      <c r="H993" s="36">
        <v>91902</v>
      </c>
      <c r="I993" s="34">
        <v>0</v>
      </c>
      <c r="J993" s="36">
        <v>0</v>
      </c>
      <c r="K993" s="31">
        <v>0.73</v>
      </c>
    </row>
    <row r="994" spans="1:11">
      <c r="A994" s="34" t="s">
        <v>1064</v>
      </c>
      <c r="B994" s="19" t="s">
        <v>7</v>
      </c>
      <c r="C994" s="34" t="s">
        <v>29</v>
      </c>
      <c r="D994" s="21">
        <f ca="1">RANDBETWEEN(DATE(2019,4,1),DATE(2019,6,30))</f>
        <v>43610</v>
      </c>
      <c r="E994" s="35">
        <v>1579570</v>
      </c>
      <c r="F994" s="34">
        <v>11.85</v>
      </c>
      <c r="G994" s="34">
        <v>33</v>
      </c>
      <c r="H994" s="36">
        <v>1140662</v>
      </c>
      <c r="I994" s="34">
        <v>0</v>
      </c>
      <c r="J994" s="36">
        <v>0</v>
      </c>
      <c r="K994" s="31">
        <v>0.71</v>
      </c>
    </row>
    <row r="995" spans="1:11">
      <c r="A995" s="34" t="s">
        <v>1065</v>
      </c>
      <c r="B995" s="19" t="s">
        <v>7</v>
      </c>
      <c r="C995" s="34" t="s">
        <v>38</v>
      </c>
      <c r="D995" s="21">
        <f ca="1">RANDBETWEEN(DATE(2021,7,1),DATE(2021,9,30))</f>
        <v>44435</v>
      </c>
      <c r="E995" s="35">
        <v>770285</v>
      </c>
      <c r="F995" s="34">
        <v>12.45</v>
      </c>
      <c r="G995" s="34">
        <v>39</v>
      </c>
      <c r="H995" s="36">
        <v>343365</v>
      </c>
      <c r="I995" s="34">
        <v>0</v>
      </c>
      <c r="J995" s="36">
        <v>0</v>
      </c>
      <c r="K995" s="33">
        <v>0.68</v>
      </c>
    </row>
    <row r="996" spans="1:11">
      <c r="A996" s="34" t="s">
        <v>1066</v>
      </c>
      <c r="B996" s="34" t="s">
        <v>6</v>
      </c>
      <c r="C996" s="34" t="s">
        <v>36</v>
      </c>
      <c r="D996" s="21">
        <f ca="1">RANDBETWEEN(DATE(2021,1,1),DATE(2021,3,31))</f>
        <v>44214</v>
      </c>
      <c r="E996" s="35">
        <v>222810</v>
      </c>
      <c r="F996" s="34">
        <v>7.71</v>
      </c>
      <c r="G996" s="34">
        <v>7</v>
      </c>
      <c r="H996" s="36">
        <v>51622</v>
      </c>
      <c r="I996" s="34">
        <v>0</v>
      </c>
      <c r="J996" s="36">
        <v>0</v>
      </c>
      <c r="K996" s="30">
        <v>0.744</v>
      </c>
    </row>
    <row r="997" spans="1:11">
      <c r="A997" s="34" t="s">
        <v>1067</v>
      </c>
      <c r="B997" s="19" t="s">
        <v>7</v>
      </c>
      <c r="C997" s="34" t="s">
        <v>37</v>
      </c>
      <c r="D997" s="21">
        <f ca="1">RANDBETWEEN(DATE(2021,4,1),DATE(2021,6,30))</f>
        <v>44316</v>
      </c>
      <c r="E997" s="35">
        <v>716596</v>
      </c>
      <c r="F997" s="34">
        <v>11.39</v>
      </c>
      <c r="G997" s="34">
        <v>7</v>
      </c>
      <c r="H997" s="36">
        <v>700244</v>
      </c>
      <c r="I997" s="34">
        <v>1</v>
      </c>
      <c r="J997" s="36">
        <v>268459</v>
      </c>
      <c r="K997" s="31">
        <v>0.72</v>
      </c>
    </row>
    <row r="998" spans="1:11">
      <c r="A998" s="34" t="s">
        <v>1068</v>
      </c>
      <c r="B998" s="34" t="s">
        <v>9</v>
      </c>
      <c r="C998" s="34" t="s">
        <v>32</v>
      </c>
      <c r="D998" s="21">
        <f ca="1">RANDBETWEEN(DATE(2020,1,1),DATE(2020,3,31))</f>
        <v>43857</v>
      </c>
      <c r="E998" s="35">
        <v>1056598</v>
      </c>
      <c r="F998" s="37">
        <v>10.53</v>
      </c>
      <c r="G998" s="34">
        <v>30</v>
      </c>
      <c r="H998" s="36">
        <v>675630</v>
      </c>
      <c r="I998" s="34">
        <v>0</v>
      </c>
      <c r="J998" s="36">
        <v>0</v>
      </c>
      <c r="K998" s="31">
        <v>0.68</v>
      </c>
    </row>
    <row r="999" spans="1:11">
      <c r="A999" s="34" t="s">
        <v>1069</v>
      </c>
      <c r="B999" s="34" t="s">
        <v>9</v>
      </c>
      <c r="C999" s="34" t="s">
        <v>41</v>
      </c>
      <c r="D999" s="21">
        <f ca="1">RANDBETWEEN(DATE(2022,4,1),DATE(2022,6,30))</f>
        <v>44706</v>
      </c>
      <c r="E999" s="35">
        <v>377716</v>
      </c>
      <c r="F999" s="37">
        <v>9.15</v>
      </c>
      <c r="G999" s="34">
        <v>12</v>
      </c>
      <c r="H999" s="36">
        <v>27739</v>
      </c>
      <c r="I999" s="34">
        <v>1</v>
      </c>
      <c r="J999" s="36">
        <v>5018</v>
      </c>
      <c r="K999" s="30">
        <v>0.727</v>
      </c>
    </row>
    <row r="1000" spans="1:11">
      <c r="A1000" s="34" t="s">
        <v>1070</v>
      </c>
      <c r="B1000" s="34" t="s">
        <v>6</v>
      </c>
      <c r="C1000" s="34" t="s">
        <v>34</v>
      </c>
      <c r="D1000" s="21">
        <f ca="1">RANDBETWEEN(DATE(2020,7,1),DATE(2020,9,30))</f>
        <v>44103</v>
      </c>
      <c r="E1000" s="35">
        <v>638163</v>
      </c>
      <c r="F1000" s="34">
        <v>7.72</v>
      </c>
      <c r="G1000" s="34">
        <v>11</v>
      </c>
      <c r="H1000" s="36">
        <v>492999</v>
      </c>
      <c r="I1000" s="34">
        <v>1</v>
      </c>
      <c r="J1000" s="36">
        <v>223082</v>
      </c>
      <c r="K1000" s="31">
        <v>0.68</v>
      </c>
    </row>
    <row r="1001" spans="1:11">
      <c r="A1001" s="34" t="s">
        <v>1071</v>
      </c>
      <c r="B1001" s="34" t="s">
        <v>6</v>
      </c>
      <c r="C1001" s="34" t="s">
        <v>42</v>
      </c>
      <c r="D1001" s="21">
        <f ca="1">RANDBETWEEN(DATE(2022,7,1),DATE(2022,9,30))</f>
        <v>44814</v>
      </c>
      <c r="E1001" s="35">
        <v>932373</v>
      </c>
      <c r="F1001" s="34">
        <v>8.22</v>
      </c>
      <c r="G1001" s="34">
        <v>32</v>
      </c>
      <c r="H1001" s="36">
        <v>674410</v>
      </c>
      <c r="I1001" s="34">
        <v>1</v>
      </c>
      <c r="J1001" s="36">
        <v>348163</v>
      </c>
      <c r="K1001" s="31">
        <v>0.73</v>
      </c>
    </row>
    <row r="1002" spans="1:11">
      <c r="A1002" s="34" t="s">
        <v>1072</v>
      </c>
      <c r="B1002" s="19" t="s">
        <v>7</v>
      </c>
      <c r="C1002" s="34" t="s">
        <v>30</v>
      </c>
      <c r="D1002" s="21">
        <f ca="1">RANDBETWEEN(DATE(2019,7,1),DATE(2019,9,30))</f>
        <v>43725</v>
      </c>
      <c r="E1002" s="35">
        <v>785194</v>
      </c>
      <c r="F1002" s="34">
        <v>10.94</v>
      </c>
      <c r="G1002" s="34">
        <v>7</v>
      </c>
      <c r="H1002" s="36">
        <v>621353</v>
      </c>
      <c r="I1002" s="34">
        <v>1</v>
      </c>
      <c r="J1002" s="38">
        <v>250000</v>
      </c>
      <c r="K1002" s="31">
        <v>0.71</v>
      </c>
    </row>
    <row r="1003" spans="1:11">
      <c r="A1003" s="34" t="s">
        <v>1073</v>
      </c>
      <c r="B1003" s="19" t="s">
        <v>7</v>
      </c>
      <c r="C1003" s="34" t="s">
        <v>46</v>
      </c>
      <c r="D1003" s="21">
        <f ca="1">RANDBETWEEN(DATE(2023,7,1),DATE(2023,9,30))</f>
        <v>45173</v>
      </c>
      <c r="E1003" s="35">
        <v>912623</v>
      </c>
      <c r="F1003" s="34">
        <v>12.59</v>
      </c>
      <c r="G1003" s="34">
        <v>56</v>
      </c>
      <c r="H1003" s="36">
        <v>509280</v>
      </c>
      <c r="I1003" s="34">
        <v>0</v>
      </c>
      <c r="J1003" s="36">
        <v>0</v>
      </c>
      <c r="K1003" s="31">
        <v>0.76</v>
      </c>
    </row>
    <row r="1004" spans="1:11">
      <c r="A1004" s="34" t="s">
        <v>1074</v>
      </c>
      <c r="B1004" s="34" t="s">
        <v>8</v>
      </c>
      <c r="C1004" s="34" t="s">
        <v>34</v>
      </c>
      <c r="D1004" s="21">
        <f ca="1">RANDBETWEEN(DATE(2020,7,1),DATE(2020,9,30))</f>
        <v>44091</v>
      </c>
      <c r="E1004" s="35">
        <v>6121139</v>
      </c>
      <c r="F1004" s="34">
        <v>7.53</v>
      </c>
      <c r="G1004" s="34">
        <v>110</v>
      </c>
      <c r="H1004" s="36">
        <v>2424399</v>
      </c>
      <c r="I1004" s="34">
        <v>0</v>
      </c>
      <c r="J1004" s="36">
        <v>0</v>
      </c>
      <c r="K1004" s="31">
        <v>0.68</v>
      </c>
    </row>
    <row r="1005" spans="1:11">
      <c r="A1005" s="34" t="s">
        <v>1075</v>
      </c>
      <c r="B1005" s="34" t="s">
        <v>10</v>
      </c>
      <c r="C1005" s="34" t="s">
        <v>45</v>
      </c>
      <c r="D1005" s="21">
        <f ca="1">RANDBETWEEN(DATE(2023,4,1),DATE(2023,6,30))</f>
        <v>45072</v>
      </c>
      <c r="E1005" s="35">
        <v>1988078</v>
      </c>
      <c r="F1005" s="34">
        <v>10.22</v>
      </c>
      <c r="G1005" s="34">
        <v>18</v>
      </c>
      <c r="H1005" s="36">
        <v>619074</v>
      </c>
      <c r="I1005" s="34">
        <v>0</v>
      </c>
      <c r="J1005" s="36">
        <v>0</v>
      </c>
      <c r="K1005" s="31">
        <v>0.73</v>
      </c>
    </row>
    <row r="1006" spans="1:11">
      <c r="A1006" s="34" t="s">
        <v>1076</v>
      </c>
      <c r="B1006" s="34" t="s">
        <v>9</v>
      </c>
      <c r="C1006" s="34" t="s">
        <v>37</v>
      </c>
      <c r="D1006" s="21">
        <f ca="1">RANDBETWEEN(DATE(2021,4,1),DATE(2021,6,30))</f>
        <v>44325</v>
      </c>
      <c r="E1006" s="35">
        <v>738712</v>
      </c>
      <c r="F1006" s="37">
        <v>11.38</v>
      </c>
      <c r="G1006" s="34">
        <v>18</v>
      </c>
      <c r="H1006" s="36">
        <v>310855</v>
      </c>
      <c r="I1006" s="34">
        <v>0</v>
      </c>
      <c r="J1006" s="36">
        <v>0</v>
      </c>
      <c r="K1006" s="31">
        <v>0.72</v>
      </c>
    </row>
    <row r="1007" spans="1:11">
      <c r="A1007" s="34" t="s">
        <v>1077</v>
      </c>
      <c r="B1007" s="34" t="s">
        <v>10</v>
      </c>
      <c r="C1007" s="34" t="s">
        <v>38</v>
      </c>
      <c r="D1007" s="21">
        <f ca="1">RANDBETWEEN(DATE(2021,7,1),DATE(2021,9,30))</f>
        <v>44429</v>
      </c>
      <c r="E1007" s="35">
        <v>4642835</v>
      </c>
      <c r="F1007" s="34">
        <v>10.58</v>
      </c>
      <c r="G1007" s="34">
        <v>107</v>
      </c>
      <c r="H1007" s="36">
        <v>1957920</v>
      </c>
      <c r="I1007" s="34">
        <v>0</v>
      </c>
      <c r="J1007" s="36">
        <v>0</v>
      </c>
      <c r="K1007" s="33">
        <v>0.68</v>
      </c>
    </row>
    <row r="1008" spans="1:11">
      <c r="A1008" s="34" t="s">
        <v>1078</v>
      </c>
      <c r="B1008" s="34" t="s">
        <v>6</v>
      </c>
      <c r="C1008" s="34" t="s">
        <v>30</v>
      </c>
      <c r="D1008" s="21">
        <f ca="1">RANDBETWEEN(DATE(2019,7,1),DATE(2019,9,30))</f>
        <v>43684</v>
      </c>
      <c r="E1008" s="35">
        <v>364475</v>
      </c>
      <c r="F1008" s="34">
        <v>7.76</v>
      </c>
      <c r="G1008" s="34">
        <v>11</v>
      </c>
      <c r="H1008" s="36">
        <v>343170</v>
      </c>
      <c r="I1008" s="34">
        <v>0</v>
      </c>
      <c r="J1008" s="36">
        <v>0</v>
      </c>
      <c r="K1008" s="31">
        <v>0.71</v>
      </c>
    </row>
    <row r="1009" spans="1:11">
      <c r="A1009" s="34" t="s">
        <v>1079</v>
      </c>
      <c r="B1009" s="34" t="s">
        <v>6</v>
      </c>
      <c r="C1009" s="34" t="s">
        <v>32</v>
      </c>
      <c r="D1009" s="21">
        <f ca="1">RANDBETWEEN(DATE(2020,1,1),DATE(2020,3,31))</f>
        <v>43856</v>
      </c>
      <c r="E1009" s="35">
        <v>808466</v>
      </c>
      <c r="F1009" s="34">
        <v>7.68</v>
      </c>
      <c r="G1009" s="34">
        <v>43</v>
      </c>
      <c r="H1009" s="36">
        <v>595321</v>
      </c>
      <c r="I1009" s="34">
        <v>0</v>
      </c>
      <c r="J1009" s="36">
        <v>0</v>
      </c>
      <c r="K1009" s="31">
        <v>0.68</v>
      </c>
    </row>
    <row r="1010" spans="1:11">
      <c r="A1010" s="34" t="s">
        <v>1080</v>
      </c>
      <c r="B1010" s="34" t="s">
        <v>10</v>
      </c>
      <c r="C1010" s="34" t="s">
        <v>48</v>
      </c>
      <c r="D1010" s="21">
        <f ca="1">RANDBETWEEN(DATE(2024,1,1),DATE(2024,3,31))</f>
        <v>45321</v>
      </c>
      <c r="E1010" s="35">
        <v>2168508</v>
      </c>
      <c r="F1010" s="34">
        <v>9</v>
      </c>
      <c r="G1010" s="34">
        <v>10</v>
      </c>
      <c r="H1010" s="36">
        <v>114303</v>
      </c>
      <c r="I1010" s="34">
        <v>0</v>
      </c>
      <c r="J1010" s="36">
        <v>0</v>
      </c>
      <c r="K1010" s="31">
        <v>0.75</v>
      </c>
    </row>
    <row r="1011" spans="1:11">
      <c r="A1011" s="34" t="s">
        <v>1081</v>
      </c>
      <c r="B1011" s="34" t="s">
        <v>8</v>
      </c>
      <c r="C1011" s="34" t="s">
        <v>41</v>
      </c>
      <c r="D1011" s="21">
        <f ca="1">RANDBETWEEN(DATE(2022,4,1),DATE(2022,6,30))</f>
        <v>44711</v>
      </c>
      <c r="E1011" s="35">
        <v>6233236</v>
      </c>
      <c r="F1011" s="34">
        <v>8.17</v>
      </c>
      <c r="G1011" s="34">
        <v>266</v>
      </c>
      <c r="H1011" s="36">
        <v>2934543</v>
      </c>
      <c r="I1011" s="34">
        <v>0</v>
      </c>
      <c r="J1011" s="36">
        <v>0</v>
      </c>
      <c r="K1011" s="30">
        <v>0.727</v>
      </c>
    </row>
    <row r="1012" spans="1:11">
      <c r="A1012" s="34" t="s">
        <v>1082</v>
      </c>
      <c r="B1012" s="34" t="s">
        <v>6</v>
      </c>
      <c r="C1012" s="34" t="s">
        <v>46</v>
      </c>
      <c r="D1012" s="21">
        <f ca="1">RANDBETWEEN(DATE(2023,7,1),DATE(2023,9,30))</f>
        <v>45113</v>
      </c>
      <c r="E1012" s="35">
        <v>599618</v>
      </c>
      <c r="F1012" s="34">
        <v>7.86</v>
      </c>
      <c r="G1012" s="34">
        <v>41</v>
      </c>
      <c r="H1012" s="36">
        <v>544596</v>
      </c>
      <c r="I1012" s="34">
        <v>1</v>
      </c>
      <c r="J1012" s="36">
        <v>209942</v>
      </c>
      <c r="K1012" s="31">
        <v>0.76</v>
      </c>
    </row>
    <row r="1013" spans="1:11">
      <c r="A1013" s="34" t="s">
        <v>1083</v>
      </c>
      <c r="B1013" s="34" t="s">
        <v>9</v>
      </c>
      <c r="C1013" s="34" t="s">
        <v>47</v>
      </c>
      <c r="D1013" s="21">
        <f ca="1">RANDBETWEEN(DATE(2023,10,1),DATE(2023,12,31))</f>
        <v>45251</v>
      </c>
      <c r="E1013" s="35">
        <v>869418</v>
      </c>
      <c r="F1013" s="37">
        <v>10.29</v>
      </c>
      <c r="G1013" s="34">
        <v>17</v>
      </c>
      <c r="H1013" s="36">
        <v>213546</v>
      </c>
      <c r="I1013" s="34">
        <v>1</v>
      </c>
      <c r="J1013" s="36">
        <v>78208</v>
      </c>
      <c r="K1013" s="32">
        <v>0.74</v>
      </c>
    </row>
    <row r="1014" spans="1:11">
      <c r="A1014" s="34" t="s">
        <v>1084</v>
      </c>
      <c r="B1014" s="19" t="s">
        <v>7</v>
      </c>
      <c r="C1014" s="34" t="s">
        <v>37</v>
      </c>
      <c r="D1014" s="21">
        <f ca="1">RANDBETWEEN(DATE(2021,4,1),DATE(2021,6,30))</f>
        <v>44342</v>
      </c>
      <c r="E1014" s="35">
        <v>417306</v>
      </c>
      <c r="F1014" s="34">
        <v>11.96</v>
      </c>
      <c r="G1014" s="34">
        <v>28</v>
      </c>
      <c r="H1014" s="36">
        <v>178360</v>
      </c>
      <c r="I1014" s="34">
        <v>0</v>
      </c>
      <c r="J1014" s="36">
        <v>0</v>
      </c>
      <c r="K1014" s="31">
        <v>0.72</v>
      </c>
    </row>
    <row r="1015" spans="1:11">
      <c r="A1015" s="34" t="s">
        <v>1085</v>
      </c>
      <c r="B1015" s="34" t="s">
        <v>9</v>
      </c>
      <c r="C1015" s="34" t="s">
        <v>44</v>
      </c>
      <c r="D1015" s="21">
        <f ca="1">RANDBETWEEN(DATE(2023,1,1),DATE(2023,3,31))</f>
        <v>44956</v>
      </c>
      <c r="E1015" s="35">
        <v>255635</v>
      </c>
      <c r="F1015" s="37">
        <v>10.66</v>
      </c>
      <c r="G1015" s="34">
        <v>15</v>
      </c>
      <c r="H1015" s="36">
        <v>135492</v>
      </c>
      <c r="I1015" s="34">
        <v>0</v>
      </c>
      <c r="J1015" s="36">
        <v>0</v>
      </c>
      <c r="K1015" s="31">
        <v>0.73</v>
      </c>
    </row>
    <row r="1016" spans="1:11">
      <c r="A1016" s="34" t="s">
        <v>1086</v>
      </c>
      <c r="B1016" s="34" t="s">
        <v>8</v>
      </c>
      <c r="C1016" s="34" t="s">
        <v>42</v>
      </c>
      <c r="D1016" s="21">
        <f ca="1">RANDBETWEEN(DATE(2022,7,1),DATE(2022,9,30))</f>
        <v>44824</v>
      </c>
      <c r="E1016" s="35">
        <v>620735</v>
      </c>
      <c r="F1016" s="34">
        <v>8.02</v>
      </c>
      <c r="G1016" s="34">
        <v>249</v>
      </c>
      <c r="H1016" s="36">
        <v>296332</v>
      </c>
      <c r="I1016" s="34">
        <v>1</v>
      </c>
      <c r="J1016" s="36">
        <v>236204</v>
      </c>
      <c r="K1016" s="31">
        <v>0.73</v>
      </c>
    </row>
    <row r="1017" spans="1:11">
      <c r="A1017" s="34" t="s">
        <v>1087</v>
      </c>
      <c r="B1017" s="34" t="s">
        <v>10</v>
      </c>
      <c r="C1017" s="34" t="s">
        <v>41</v>
      </c>
      <c r="D1017" s="21">
        <f ca="1">RANDBETWEEN(DATE(2022,4,1),DATE(2022,6,30))</f>
        <v>44695</v>
      </c>
      <c r="E1017" s="35">
        <v>2142732</v>
      </c>
      <c r="F1017" s="34">
        <v>8.94</v>
      </c>
      <c r="G1017" s="34">
        <v>10</v>
      </c>
      <c r="H1017" s="36">
        <v>1085110</v>
      </c>
      <c r="I1017" s="34">
        <v>0</v>
      </c>
      <c r="J1017" s="36">
        <v>0</v>
      </c>
      <c r="K1017" s="30">
        <v>0.727</v>
      </c>
    </row>
    <row r="1018" spans="1:11">
      <c r="A1018" s="34" t="s">
        <v>1088</v>
      </c>
      <c r="B1018" s="34" t="s">
        <v>10</v>
      </c>
      <c r="C1018" s="34" t="s">
        <v>33</v>
      </c>
      <c r="D1018" s="21">
        <f ca="1">RANDBETWEEN(DATE(2020,4,1),DATE(2020,6,30))</f>
        <v>43965</v>
      </c>
      <c r="E1018" s="35">
        <v>1524657</v>
      </c>
      <c r="F1018" s="34">
        <v>9.27</v>
      </c>
      <c r="G1018" s="34">
        <v>10</v>
      </c>
      <c r="H1018" s="36">
        <v>1433872</v>
      </c>
      <c r="I1018" s="34">
        <v>0</v>
      </c>
      <c r="J1018" s="36">
        <v>0</v>
      </c>
      <c r="K1018" s="31">
        <v>0.72</v>
      </c>
    </row>
    <row r="1019" spans="1:11">
      <c r="A1019" s="34" t="s">
        <v>1089</v>
      </c>
      <c r="B1019" s="34" t="s">
        <v>6</v>
      </c>
      <c r="C1019" s="34" t="s">
        <v>31</v>
      </c>
      <c r="D1019" s="21">
        <f ca="1">RANDBETWEEN(DATE(2019,10,1),DATE(2019,12,31))</f>
        <v>43824</v>
      </c>
      <c r="E1019" s="35">
        <v>289275</v>
      </c>
      <c r="F1019" s="34">
        <v>7.58</v>
      </c>
      <c r="G1019" s="34">
        <v>12</v>
      </c>
      <c r="H1019" s="36">
        <v>72058</v>
      </c>
      <c r="I1019" s="34">
        <v>0</v>
      </c>
      <c r="J1019" s="36">
        <v>0</v>
      </c>
      <c r="K1019" s="31">
        <v>0.7</v>
      </c>
    </row>
    <row r="1020" spans="1:11">
      <c r="A1020" s="34" t="s">
        <v>1090</v>
      </c>
      <c r="B1020" s="34" t="s">
        <v>6</v>
      </c>
      <c r="C1020" s="34" t="s">
        <v>37</v>
      </c>
      <c r="D1020" s="21">
        <f ca="1">RANDBETWEEN(DATE(2021,4,1),DATE(2021,6,30))</f>
        <v>44287</v>
      </c>
      <c r="E1020" s="35">
        <v>482525</v>
      </c>
      <c r="F1020" s="34">
        <v>7.68</v>
      </c>
      <c r="G1020" s="34">
        <v>6</v>
      </c>
      <c r="H1020" s="36">
        <v>149623</v>
      </c>
      <c r="I1020" s="34">
        <v>1</v>
      </c>
      <c r="J1020" s="36">
        <v>50309</v>
      </c>
      <c r="K1020" s="31">
        <v>0.72</v>
      </c>
    </row>
    <row r="1021" spans="1:11">
      <c r="A1021" s="34" t="s">
        <v>1091</v>
      </c>
      <c r="B1021" s="34" t="s">
        <v>6</v>
      </c>
      <c r="C1021" s="34" t="s">
        <v>30</v>
      </c>
      <c r="D1021" s="21">
        <f ca="1">RANDBETWEEN(DATE(2019,7,1),DATE(2019,9,30))</f>
        <v>43709</v>
      </c>
      <c r="E1021" s="35">
        <v>49063</v>
      </c>
      <c r="F1021" s="34">
        <v>7.92</v>
      </c>
      <c r="G1021" s="34">
        <v>6</v>
      </c>
      <c r="H1021" s="36">
        <v>26832</v>
      </c>
      <c r="I1021" s="34">
        <v>1</v>
      </c>
      <c r="J1021" s="36">
        <v>16173</v>
      </c>
      <c r="K1021" s="31">
        <v>0.71</v>
      </c>
    </row>
    <row r="1022" spans="1:11">
      <c r="A1022" s="34" t="s">
        <v>1092</v>
      </c>
      <c r="B1022" s="34" t="s">
        <v>10</v>
      </c>
      <c r="C1022" s="34" t="s">
        <v>42</v>
      </c>
      <c r="D1022" s="21">
        <f ca="1">RANDBETWEEN(DATE(2022,7,1),DATE(2022,9,30))</f>
        <v>44833</v>
      </c>
      <c r="E1022" s="35">
        <v>2648849</v>
      </c>
      <c r="F1022" s="34">
        <v>10.73</v>
      </c>
      <c r="G1022" s="34">
        <v>63</v>
      </c>
      <c r="H1022" s="36">
        <v>2390189</v>
      </c>
      <c r="I1022" s="34">
        <v>0</v>
      </c>
      <c r="J1022" s="36">
        <v>0</v>
      </c>
      <c r="K1022" s="31">
        <v>0.73</v>
      </c>
    </row>
    <row r="1023" spans="1:11">
      <c r="A1023" s="34" t="s">
        <v>1093</v>
      </c>
      <c r="B1023" s="34" t="s">
        <v>8</v>
      </c>
      <c r="C1023" s="34" t="s">
        <v>48</v>
      </c>
      <c r="D1023" s="21">
        <f ca="1">RANDBETWEEN(DATE(2024,1,1),DATE(2024,3,31))</f>
        <v>45356</v>
      </c>
      <c r="E1023" s="35">
        <v>6709881</v>
      </c>
      <c r="F1023" s="34">
        <v>8.28</v>
      </c>
      <c r="G1023" s="34">
        <v>230</v>
      </c>
      <c r="H1023" s="36">
        <v>3618856</v>
      </c>
      <c r="I1023" s="34">
        <v>0</v>
      </c>
      <c r="J1023" s="36">
        <v>0</v>
      </c>
      <c r="K1023" s="31">
        <v>0.75</v>
      </c>
    </row>
    <row r="1024" spans="1:11">
      <c r="A1024" s="34" t="s">
        <v>1094</v>
      </c>
      <c r="B1024" s="34" t="s">
        <v>6</v>
      </c>
      <c r="C1024" s="34" t="s">
        <v>36</v>
      </c>
      <c r="D1024" s="21">
        <f ca="1">RANDBETWEEN(DATE(2021,1,1),DATE(2021,3,31))</f>
        <v>44227</v>
      </c>
      <c r="E1024" s="35">
        <v>37043</v>
      </c>
      <c r="F1024" s="34">
        <v>8.22</v>
      </c>
      <c r="G1024" s="34">
        <v>46</v>
      </c>
      <c r="H1024" s="36">
        <v>13765</v>
      </c>
      <c r="I1024" s="34">
        <v>0</v>
      </c>
      <c r="J1024" s="36">
        <v>0</v>
      </c>
      <c r="K1024" s="30">
        <v>0.744</v>
      </c>
    </row>
    <row r="1025" spans="1:11">
      <c r="A1025" s="34" t="s">
        <v>1095</v>
      </c>
      <c r="B1025" s="34" t="s">
        <v>8</v>
      </c>
      <c r="C1025" s="34" t="s">
        <v>33</v>
      </c>
      <c r="D1025" s="21">
        <f ca="1">RANDBETWEEN(DATE(2020,4,1),DATE(2020,6,30))</f>
        <v>43979</v>
      </c>
      <c r="E1025" s="35">
        <v>952160</v>
      </c>
      <c r="F1025" s="34">
        <v>8.35</v>
      </c>
      <c r="G1025" s="34">
        <v>300</v>
      </c>
      <c r="H1025" s="36">
        <v>136966</v>
      </c>
      <c r="I1025" s="34">
        <v>0</v>
      </c>
      <c r="J1025" s="36">
        <v>0</v>
      </c>
      <c r="K1025" s="31">
        <v>0.72</v>
      </c>
    </row>
    <row r="1026" spans="1:11">
      <c r="A1026" s="34" t="s">
        <v>1096</v>
      </c>
      <c r="B1026" s="34" t="s">
        <v>9</v>
      </c>
      <c r="C1026" s="34" t="s">
        <v>32</v>
      </c>
      <c r="D1026" s="21">
        <f ca="1">RANDBETWEEN(DATE(2020,1,1),DATE(2020,3,31))</f>
        <v>43856</v>
      </c>
      <c r="E1026" s="35">
        <v>521496</v>
      </c>
      <c r="F1026" s="37">
        <v>11.3</v>
      </c>
      <c r="G1026" s="34">
        <v>55</v>
      </c>
      <c r="H1026" s="36">
        <v>52583</v>
      </c>
      <c r="I1026" s="34">
        <v>1</v>
      </c>
      <c r="J1026" s="36">
        <v>19629</v>
      </c>
      <c r="K1026" s="31">
        <v>0.68</v>
      </c>
    </row>
    <row r="1027" spans="1:11">
      <c r="A1027" s="34" t="s">
        <v>1097</v>
      </c>
      <c r="B1027" s="34" t="s">
        <v>10</v>
      </c>
      <c r="C1027" s="34" t="s">
        <v>44</v>
      </c>
      <c r="D1027" s="21">
        <f ca="1">RANDBETWEEN(DATE(2023,1,1),DATE(2023,3,31))</f>
        <v>44988</v>
      </c>
      <c r="E1027" s="35">
        <v>3915008</v>
      </c>
      <c r="F1027" s="34">
        <v>9.6</v>
      </c>
      <c r="G1027" s="34">
        <v>27</v>
      </c>
      <c r="H1027" s="36">
        <v>1791798</v>
      </c>
      <c r="I1027" s="34">
        <v>1</v>
      </c>
      <c r="J1027" s="36">
        <v>437614</v>
      </c>
      <c r="K1027" s="31">
        <v>0.73</v>
      </c>
    </row>
    <row r="1028" spans="1:11">
      <c r="A1028" s="34" t="s">
        <v>1098</v>
      </c>
      <c r="B1028" s="34" t="s">
        <v>8</v>
      </c>
      <c r="C1028" s="34" t="s">
        <v>48</v>
      </c>
      <c r="D1028" s="21">
        <f ca="1">RANDBETWEEN(DATE(2024,1,1),DATE(2024,3,31))</f>
        <v>45297</v>
      </c>
      <c r="E1028" s="35">
        <v>2535353</v>
      </c>
      <c r="F1028" s="34">
        <v>7.91</v>
      </c>
      <c r="G1028" s="34">
        <v>95</v>
      </c>
      <c r="H1028" s="36">
        <v>1267942</v>
      </c>
      <c r="I1028" s="34">
        <v>0</v>
      </c>
      <c r="J1028" s="36">
        <v>0</v>
      </c>
      <c r="K1028" s="31">
        <v>0.75</v>
      </c>
    </row>
    <row r="1029" spans="1:11">
      <c r="A1029" s="34" t="s">
        <v>1099</v>
      </c>
      <c r="B1029" s="34" t="s">
        <v>6</v>
      </c>
      <c r="C1029" s="34" t="s">
        <v>36</v>
      </c>
      <c r="D1029" s="21">
        <f ca="1">RANDBETWEEN(DATE(2021,1,1),DATE(2021,3,31))</f>
        <v>44247</v>
      </c>
      <c r="E1029" s="35">
        <v>554478</v>
      </c>
      <c r="F1029" s="34">
        <v>7.53</v>
      </c>
      <c r="G1029" s="34">
        <v>11</v>
      </c>
      <c r="H1029" s="36">
        <v>67276</v>
      </c>
      <c r="I1029" s="34">
        <v>0</v>
      </c>
      <c r="J1029" s="36">
        <v>0</v>
      </c>
      <c r="K1029" s="30">
        <v>0.744</v>
      </c>
    </row>
    <row r="1030" spans="1:11">
      <c r="A1030" s="34" t="s">
        <v>1100</v>
      </c>
      <c r="B1030" s="19" t="s">
        <v>7</v>
      </c>
      <c r="C1030" s="34" t="s">
        <v>45</v>
      </c>
      <c r="D1030" s="21">
        <f ca="1">RANDBETWEEN(DATE(2023,4,1),DATE(2023,6,30))</f>
        <v>45049</v>
      </c>
      <c r="E1030" s="35">
        <v>129436</v>
      </c>
      <c r="F1030" s="34">
        <v>10.57</v>
      </c>
      <c r="G1030" s="34">
        <v>9</v>
      </c>
      <c r="H1030" s="36">
        <v>125004</v>
      </c>
      <c r="I1030" s="34">
        <v>0</v>
      </c>
      <c r="J1030" s="36">
        <v>0</v>
      </c>
      <c r="K1030" s="31">
        <v>0.73</v>
      </c>
    </row>
    <row r="1031" spans="1:11">
      <c r="A1031" s="34" t="s">
        <v>1101</v>
      </c>
      <c r="B1031" s="34" t="s">
        <v>9</v>
      </c>
      <c r="C1031" s="34" t="s">
        <v>42</v>
      </c>
      <c r="D1031" s="21">
        <f ca="1">RANDBETWEEN(DATE(2022,7,1),DATE(2022,9,30))</f>
        <v>44834</v>
      </c>
      <c r="E1031" s="35">
        <v>452564</v>
      </c>
      <c r="F1031" s="37">
        <v>10.89</v>
      </c>
      <c r="G1031" s="34">
        <v>34</v>
      </c>
      <c r="H1031" s="36">
        <v>385810</v>
      </c>
      <c r="I1031" s="34">
        <v>0</v>
      </c>
      <c r="J1031" s="36">
        <v>0</v>
      </c>
      <c r="K1031" s="31">
        <v>0.73</v>
      </c>
    </row>
    <row r="1032" spans="1:11">
      <c r="A1032" s="34" t="s">
        <v>1102</v>
      </c>
      <c r="B1032" s="34" t="s">
        <v>9</v>
      </c>
      <c r="C1032" s="34" t="s">
        <v>34</v>
      </c>
      <c r="D1032" s="21">
        <f ca="1">RANDBETWEEN(DATE(2020,7,1),DATE(2020,9,30))</f>
        <v>44081</v>
      </c>
      <c r="E1032" s="35">
        <v>1180319</v>
      </c>
      <c r="F1032" s="37">
        <v>10.46</v>
      </c>
      <c r="G1032" s="34">
        <v>58</v>
      </c>
      <c r="H1032" s="36">
        <v>459306</v>
      </c>
      <c r="I1032" s="34">
        <v>0</v>
      </c>
      <c r="J1032" s="36">
        <v>0</v>
      </c>
      <c r="K1032" s="31">
        <v>0.68</v>
      </c>
    </row>
    <row r="1033" spans="1:11">
      <c r="A1033" s="34" t="s">
        <v>1103</v>
      </c>
      <c r="B1033" s="34" t="s">
        <v>8</v>
      </c>
      <c r="C1033" s="34" t="s">
        <v>45</v>
      </c>
      <c r="D1033" s="21">
        <f ca="1">RANDBETWEEN(DATE(2023,4,1),DATE(2023,6,30))</f>
        <v>45102</v>
      </c>
      <c r="E1033" s="35">
        <v>8811084</v>
      </c>
      <c r="F1033" s="34">
        <v>8.2</v>
      </c>
      <c r="G1033" s="34">
        <v>191</v>
      </c>
      <c r="H1033" s="36">
        <v>4470192</v>
      </c>
      <c r="I1033" s="34">
        <v>0</v>
      </c>
      <c r="J1033" s="36">
        <v>0</v>
      </c>
      <c r="K1033" s="31">
        <v>0.73</v>
      </c>
    </row>
    <row r="1034" spans="1:11">
      <c r="A1034" s="34" t="s">
        <v>1104</v>
      </c>
      <c r="B1034" s="34" t="s">
        <v>9</v>
      </c>
      <c r="C1034" s="34" t="s">
        <v>44</v>
      </c>
      <c r="D1034" s="21">
        <f ca="1">RANDBETWEEN(DATE(2023,1,1),DATE(2023,3,31))</f>
        <v>44983</v>
      </c>
      <c r="E1034" s="35">
        <v>228120</v>
      </c>
      <c r="F1034" s="37">
        <v>11.25</v>
      </c>
      <c r="G1034" s="34">
        <v>22</v>
      </c>
      <c r="H1034" s="36">
        <v>48215</v>
      </c>
      <c r="I1034" s="34">
        <v>0</v>
      </c>
      <c r="J1034" s="36">
        <v>0</v>
      </c>
      <c r="K1034" s="31">
        <v>0.73</v>
      </c>
    </row>
    <row r="1035" spans="1:11">
      <c r="A1035" s="34" t="s">
        <v>1105</v>
      </c>
      <c r="B1035" s="34" t="s">
        <v>6</v>
      </c>
      <c r="C1035" s="34" t="s">
        <v>44</v>
      </c>
      <c r="D1035" s="21">
        <f ca="1">RANDBETWEEN(DATE(2023,1,1),DATE(2023,3,31))</f>
        <v>44984</v>
      </c>
      <c r="E1035" s="35">
        <v>231282</v>
      </c>
      <c r="F1035" s="34">
        <v>8.18</v>
      </c>
      <c r="G1035" s="34">
        <v>47</v>
      </c>
      <c r="H1035" s="36">
        <v>70577</v>
      </c>
      <c r="I1035" s="34">
        <v>0</v>
      </c>
      <c r="J1035" s="36">
        <v>0</v>
      </c>
      <c r="K1035" s="31">
        <v>0.73</v>
      </c>
    </row>
    <row r="1036" spans="1:11">
      <c r="A1036" s="34" t="s">
        <v>1106</v>
      </c>
      <c r="B1036" s="19" t="s">
        <v>7</v>
      </c>
      <c r="C1036" s="34" t="s">
        <v>38</v>
      </c>
      <c r="D1036" s="21">
        <f ca="1">RANDBETWEEN(DATE(2021,7,1),DATE(2021,9,30))</f>
        <v>44451</v>
      </c>
      <c r="E1036" s="35">
        <v>1293584</v>
      </c>
      <c r="F1036" s="34">
        <v>12.49</v>
      </c>
      <c r="G1036" s="34">
        <v>24</v>
      </c>
      <c r="H1036" s="36">
        <v>1144501</v>
      </c>
      <c r="I1036" s="34">
        <v>0</v>
      </c>
      <c r="J1036" s="36">
        <v>0</v>
      </c>
      <c r="K1036" s="33">
        <v>0.68</v>
      </c>
    </row>
    <row r="1037" spans="1:11">
      <c r="A1037" s="34" t="s">
        <v>1107</v>
      </c>
      <c r="B1037" s="34" t="s">
        <v>10</v>
      </c>
      <c r="C1037" s="34" t="s">
        <v>30</v>
      </c>
      <c r="D1037" s="21">
        <f ca="1">RANDBETWEEN(DATE(2019,7,1),DATE(2019,9,30))</f>
        <v>43721</v>
      </c>
      <c r="E1037" s="35">
        <v>4484872</v>
      </c>
      <c r="F1037" s="34">
        <v>10.28</v>
      </c>
      <c r="G1037" s="34">
        <v>37</v>
      </c>
      <c r="H1037" s="36">
        <v>1532378</v>
      </c>
      <c r="I1037" s="34">
        <v>0</v>
      </c>
      <c r="J1037" s="36">
        <v>0</v>
      </c>
      <c r="K1037" s="31">
        <v>0.71</v>
      </c>
    </row>
    <row r="1038" spans="1:11">
      <c r="A1038" s="34" t="s">
        <v>1108</v>
      </c>
      <c r="B1038" s="34" t="s">
        <v>10</v>
      </c>
      <c r="C1038" s="34" t="s">
        <v>36</v>
      </c>
      <c r="D1038" s="21">
        <f ca="1">RANDBETWEEN(DATE(2021,1,1),DATE(2021,3,31))</f>
        <v>44239</v>
      </c>
      <c r="E1038" s="35">
        <v>3132029</v>
      </c>
      <c r="F1038" s="34">
        <v>10.42</v>
      </c>
      <c r="G1038" s="34">
        <v>44</v>
      </c>
      <c r="H1038" s="36">
        <v>2542211</v>
      </c>
      <c r="I1038" s="34">
        <v>1</v>
      </c>
      <c r="J1038" s="36">
        <v>1872119</v>
      </c>
      <c r="K1038" s="30">
        <v>0.744</v>
      </c>
    </row>
    <row r="1039" spans="1:11">
      <c r="A1039" s="34" t="s">
        <v>1109</v>
      </c>
      <c r="B1039" s="34" t="s">
        <v>9</v>
      </c>
      <c r="C1039" s="34" t="s">
        <v>41</v>
      </c>
      <c r="D1039" s="21">
        <f ca="1">RANDBETWEEN(DATE(2022,4,1),DATE(2022,6,30))</f>
        <v>44657</v>
      </c>
      <c r="E1039" s="35">
        <v>995709</v>
      </c>
      <c r="F1039" s="37">
        <v>11.72</v>
      </c>
      <c r="G1039" s="34">
        <v>19</v>
      </c>
      <c r="H1039" s="36">
        <v>945955</v>
      </c>
      <c r="I1039" s="34">
        <v>0</v>
      </c>
      <c r="J1039" s="36">
        <v>0</v>
      </c>
      <c r="K1039" s="30">
        <v>0.727</v>
      </c>
    </row>
    <row r="1040" spans="1:11">
      <c r="A1040" s="34" t="s">
        <v>1110</v>
      </c>
      <c r="B1040" s="34" t="s">
        <v>9</v>
      </c>
      <c r="C1040" s="34" t="s">
        <v>32</v>
      </c>
      <c r="D1040" s="21">
        <f ca="1">RANDBETWEEN(DATE(2020,1,1),DATE(2020,3,31))</f>
        <v>43920</v>
      </c>
      <c r="E1040" s="35">
        <v>820580</v>
      </c>
      <c r="F1040" s="37">
        <v>10.24</v>
      </c>
      <c r="G1040" s="34">
        <v>31</v>
      </c>
      <c r="H1040" s="36">
        <v>99431</v>
      </c>
      <c r="I1040" s="34">
        <v>0</v>
      </c>
      <c r="J1040" s="36">
        <v>0</v>
      </c>
      <c r="K1040" s="31">
        <v>0.68</v>
      </c>
    </row>
    <row r="1041" spans="1:11">
      <c r="A1041" s="34" t="s">
        <v>1111</v>
      </c>
      <c r="B1041" s="34" t="s">
        <v>9</v>
      </c>
      <c r="C1041" s="34" t="s">
        <v>32</v>
      </c>
      <c r="D1041" s="21">
        <f ca="1">RANDBETWEEN(DATE(2020,1,1),DATE(2020,3,31))</f>
        <v>43860</v>
      </c>
      <c r="E1041" s="35">
        <v>1100399</v>
      </c>
      <c r="F1041" s="37">
        <v>10.97</v>
      </c>
      <c r="G1041" s="34">
        <v>17</v>
      </c>
      <c r="H1041" s="36">
        <v>371553</v>
      </c>
      <c r="I1041" s="34">
        <v>0</v>
      </c>
      <c r="J1041" s="36">
        <v>0</v>
      </c>
      <c r="K1041" s="31">
        <v>0.68</v>
      </c>
    </row>
    <row r="1042" spans="1:11">
      <c r="A1042" s="34" t="s">
        <v>1112</v>
      </c>
      <c r="B1042" s="34" t="s">
        <v>10</v>
      </c>
      <c r="C1042" s="34" t="s">
        <v>39</v>
      </c>
      <c r="D1042" s="21">
        <f ca="1">RANDBETWEEN(DATE(2021,10,1),DATE(2021,12,31))</f>
        <v>44543</v>
      </c>
      <c r="E1042" s="35">
        <v>892560</v>
      </c>
      <c r="F1042" s="34">
        <v>10.27</v>
      </c>
      <c r="G1042" s="34">
        <v>20</v>
      </c>
      <c r="H1042" s="36">
        <v>872768</v>
      </c>
      <c r="I1042" s="34">
        <v>1</v>
      </c>
      <c r="J1042" s="36">
        <v>695902</v>
      </c>
      <c r="K1042" s="31">
        <v>0.71</v>
      </c>
    </row>
    <row r="1043" spans="1:11">
      <c r="A1043" s="34" t="s">
        <v>1113</v>
      </c>
      <c r="B1043" s="34" t="s">
        <v>8</v>
      </c>
      <c r="C1043" s="34" t="s">
        <v>44</v>
      </c>
      <c r="D1043" s="21">
        <f ca="1">RANDBETWEEN(DATE(2023,1,1),DATE(2023,3,31))</f>
        <v>44974</v>
      </c>
      <c r="E1043" s="35">
        <v>456366</v>
      </c>
      <c r="F1043" s="34">
        <v>8.28</v>
      </c>
      <c r="G1043" s="34">
        <v>100</v>
      </c>
      <c r="H1043" s="36">
        <v>335236</v>
      </c>
      <c r="I1043" s="34">
        <v>1</v>
      </c>
      <c r="J1043" s="36">
        <v>204678</v>
      </c>
      <c r="K1043" s="31">
        <v>0.73</v>
      </c>
    </row>
    <row r="1044" spans="1:11">
      <c r="A1044" s="34" t="s">
        <v>1114</v>
      </c>
      <c r="B1044" s="34" t="s">
        <v>6</v>
      </c>
      <c r="C1044" s="34" t="s">
        <v>31</v>
      </c>
      <c r="D1044" s="21">
        <f ca="1">RANDBETWEEN(DATE(2019,10,1),DATE(2019,12,31))</f>
        <v>43810</v>
      </c>
      <c r="E1044" s="35">
        <v>445324</v>
      </c>
      <c r="F1044" s="34">
        <v>7.11</v>
      </c>
      <c r="G1044" s="34">
        <v>10</v>
      </c>
      <c r="H1044" s="36">
        <v>74838</v>
      </c>
      <c r="I1044" s="34">
        <v>0</v>
      </c>
      <c r="J1044" s="36">
        <v>0</v>
      </c>
      <c r="K1044" s="31">
        <v>0.7</v>
      </c>
    </row>
    <row r="1045" spans="1:11">
      <c r="A1045" s="34" t="s">
        <v>1115</v>
      </c>
      <c r="B1045" s="34" t="s">
        <v>10</v>
      </c>
      <c r="C1045" s="34" t="s">
        <v>42</v>
      </c>
      <c r="D1045" s="21">
        <f ca="1">RANDBETWEEN(DATE(2022,7,1),DATE(2022,9,30))</f>
        <v>44834</v>
      </c>
      <c r="E1045" s="35">
        <v>1018228</v>
      </c>
      <c r="F1045" s="34">
        <v>10.4</v>
      </c>
      <c r="G1045" s="34">
        <v>40</v>
      </c>
      <c r="H1045" s="36">
        <v>332113</v>
      </c>
      <c r="I1045" s="34">
        <v>1</v>
      </c>
      <c r="J1045" s="36">
        <v>102918</v>
      </c>
      <c r="K1045" s="31">
        <v>0.73</v>
      </c>
    </row>
    <row r="1046" spans="1:11">
      <c r="A1046" s="34" t="s">
        <v>1116</v>
      </c>
      <c r="B1046" s="34" t="s">
        <v>10</v>
      </c>
      <c r="C1046" s="34" t="s">
        <v>44</v>
      </c>
      <c r="D1046" s="21">
        <f ca="1">RANDBETWEEN(DATE(2023,1,1),DATE(2023,3,31))</f>
        <v>44974</v>
      </c>
      <c r="E1046" s="35">
        <v>2902036</v>
      </c>
      <c r="F1046" s="34">
        <v>9.01</v>
      </c>
      <c r="G1046" s="34">
        <v>10</v>
      </c>
      <c r="H1046" s="36">
        <v>1901113</v>
      </c>
      <c r="I1046" s="34">
        <v>0</v>
      </c>
      <c r="J1046" s="36">
        <v>0</v>
      </c>
      <c r="K1046" s="31">
        <v>0.73</v>
      </c>
    </row>
    <row r="1047" spans="1:11">
      <c r="A1047" s="34" t="s">
        <v>1117</v>
      </c>
      <c r="B1047" s="34" t="s">
        <v>10</v>
      </c>
      <c r="C1047" s="34" t="s">
        <v>41</v>
      </c>
      <c r="D1047" s="21">
        <f ca="1">RANDBETWEEN(DATE(2022,4,1),DATE(2022,6,30))</f>
        <v>44679</v>
      </c>
      <c r="E1047" s="35">
        <v>4781452</v>
      </c>
      <c r="F1047" s="34">
        <v>9.4</v>
      </c>
      <c r="G1047" s="34">
        <v>11</v>
      </c>
      <c r="H1047" s="36">
        <v>3928876</v>
      </c>
      <c r="I1047" s="34">
        <v>1</v>
      </c>
      <c r="J1047" s="36">
        <v>986655</v>
      </c>
      <c r="K1047" s="30">
        <v>0.727</v>
      </c>
    </row>
    <row r="1048" spans="1:11">
      <c r="A1048" s="34" t="s">
        <v>1118</v>
      </c>
      <c r="B1048" s="34" t="s">
        <v>6</v>
      </c>
      <c r="C1048" s="34" t="s">
        <v>44</v>
      </c>
      <c r="D1048" s="21">
        <f ca="1">RANDBETWEEN(DATE(2023,1,1),DATE(2023,3,31))</f>
        <v>44936</v>
      </c>
      <c r="E1048" s="35">
        <v>434802</v>
      </c>
      <c r="F1048" s="34">
        <v>7.66</v>
      </c>
      <c r="G1048" s="34">
        <v>43</v>
      </c>
      <c r="H1048" s="36">
        <v>413853</v>
      </c>
      <c r="I1048" s="34">
        <v>0</v>
      </c>
      <c r="J1048" s="36">
        <v>0</v>
      </c>
      <c r="K1048" s="31">
        <v>0.73</v>
      </c>
    </row>
    <row r="1049" spans="1:11">
      <c r="A1049" s="34" t="s">
        <v>1119</v>
      </c>
      <c r="B1049" s="34" t="s">
        <v>10</v>
      </c>
      <c r="C1049" s="34" t="s">
        <v>36</v>
      </c>
      <c r="D1049" s="21">
        <f ca="1">RANDBETWEEN(DATE(2021,1,1),DATE(2021,3,31))</f>
        <v>44216</v>
      </c>
      <c r="E1049" s="35">
        <v>3906600</v>
      </c>
      <c r="F1049" s="34">
        <v>10.5</v>
      </c>
      <c r="G1049" s="34">
        <v>105</v>
      </c>
      <c r="H1049" s="36">
        <v>3579640</v>
      </c>
      <c r="I1049" s="34">
        <v>1</v>
      </c>
      <c r="J1049" s="36">
        <v>808390</v>
      </c>
      <c r="K1049" s="30">
        <v>0.744</v>
      </c>
    </row>
    <row r="1050" spans="1:11">
      <c r="A1050" s="34" t="s">
        <v>1120</v>
      </c>
      <c r="B1050" s="34" t="s">
        <v>6</v>
      </c>
      <c r="C1050" s="34" t="s">
        <v>34</v>
      </c>
      <c r="D1050" s="21">
        <f ca="1">RANDBETWEEN(DATE(2020,7,1),DATE(2020,9,30))</f>
        <v>44080</v>
      </c>
      <c r="E1050" s="35">
        <v>664951</v>
      </c>
      <c r="F1050" s="34">
        <v>8.01</v>
      </c>
      <c r="G1050" s="34">
        <v>45</v>
      </c>
      <c r="H1050" s="36">
        <v>428330</v>
      </c>
      <c r="I1050" s="34">
        <v>0</v>
      </c>
      <c r="J1050" s="36">
        <v>0</v>
      </c>
      <c r="K1050" s="31">
        <v>0.68</v>
      </c>
    </row>
    <row r="1051" spans="1:11">
      <c r="A1051" s="34" t="s">
        <v>1121</v>
      </c>
      <c r="B1051" s="34" t="s">
        <v>9</v>
      </c>
      <c r="C1051" s="34" t="s">
        <v>35</v>
      </c>
      <c r="D1051" s="21">
        <f ca="1">RANDBETWEEN(DATE(2020,10,1),DATE(2020,12,31))</f>
        <v>44186</v>
      </c>
      <c r="E1051" s="35">
        <v>1190796</v>
      </c>
      <c r="F1051" s="37">
        <v>11.53</v>
      </c>
      <c r="G1051" s="34">
        <v>34</v>
      </c>
      <c r="H1051" s="36">
        <v>692026</v>
      </c>
      <c r="I1051" s="34">
        <v>0</v>
      </c>
      <c r="J1051" s="36">
        <v>0</v>
      </c>
      <c r="K1051" s="31">
        <v>0.68</v>
      </c>
    </row>
    <row r="1052" spans="1:11">
      <c r="A1052" s="34" t="s">
        <v>1122</v>
      </c>
      <c r="B1052" s="34" t="s">
        <v>6</v>
      </c>
      <c r="C1052" s="34" t="s">
        <v>41</v>
      </c>
      <c r="D1052" s="21">
        <f ca="1">RANDBETWEEN(DATE(2022,4,1),DATE(2022,6,30))</f>
        <v>44738</v>
      </c>
      <c r="E1052" s="35">
        <v>43306</v>
      </c>
      <c r="F1052" s="34">
        <v>7.47</v>
      </c>
      <c r="G1052" s="34">
        <v>6</v>
      </c>
      <c r="H1052" s="36">
        <v>28996</v>
      </c>
      <c r="I1052" s="34">
        <v>1</v>
      </c>
      <c r="J1052" s="36">
        <v>20640</v>
      </c>
      <c r="K1052" s="30">
        <v>0.727</v>
      </c>
    </row>
    <row r="1053" spans="1:11">
      <c r="A1053" s="34" t="s">
        <v>1123</v>
      </c>
      <c r="B1053" s="34" t="s">
        <v>9</v>
      </c>
      <c r="C1053" s="34" t="s">
        <v>44</v>
      </c>
      <c r="D1053" s="21">
        <f ca="1">RANDBETWEEN(DATE(2023,1,1),DATE(2023,3,31))</f>
        <v>44955</v>
      </c>
      <c r="E1053" s="35">
        <v>716322</v>
      </c>
      <c r="F1053" s="37">
        <v>10.57</v>
      </c>
      <c r="G1053" s="34">
        <v>16</v>
      </c>
      <c r="H1053" s="36">
        <v>666495</v>
      </c>
      <c r="I1053" s="34">
        <v>0</v>
      </c>
      <c r="J1053" s="36">
        <v>0</v>
      </c>
      <c r="K1053" s="31">
        <v>0.73</v>
      </c>
    </row>
    <row r="1054" spans="1:11">
      <c r="A1054" s="34" t="s">
        <v>1124</v>
      </c>
      <c r="B1054" s="34" t="s">
        <v>9</v>
      </c>
      <c r="C1054" s="34" t="s">
        <v>41</v>
      </c>
      <c r="D1054" s="21">
        <f ca="1">RANDBETWEEN(DATE(2022,4,1),DATE(2022,6,30))</f>
        <v>44664</v>
      </c>
      <c r="E1054" s="35">
        <v>1125907</v>
      </c>
      <c r="F1054" s="37">
        <v>9.98</v>
      </c>
      <c r="G1054" s="34">
        <v>7</v>
      </c>
      <c r="H1054" s="36">
        <v>390734</v>
      </c>
      <c r="I1054" s="34">
        <v>0</v>
      </c>
      <c r="J1054" s="36">
        <v>0</v>
      </c>
      <c r="K1054" s="30">
        <v>0.727</v>
      </c>
    </row>
    <row r="1055" spans="1:11">
      <c r="A1055" s="34" t="s">
        <v>1125</v>
      </c>
      <c r="B1055" s="19" t="s">
        <v>7</v>
      </c>
      <c r="C1055" s="34" t="s">
        <v>47</v>
      </c>
      <c r="D1055" s="21">
        <f ca="1">RANDBETWEEN(DATE(2023,10,1),DATE(2023,12,31))</f>
        <v>45270</v>
      </c>
      <c r="E1055" s="35">
        <v>454236</v>
      </c>
      <c r="F1055" s="34">
        <v>10.81</v>
      </c>
      <c r="G1055" s="34">
        <v>9</v>
      </c>
      <c r="H1055" s="36">
        <v>340111</v>
      </c>
      <c r="I1055" s="34">
        <v>0</v>
      </c>
      <c r="J1055" s="36">
        <v>0</v>
      </c>
      <c r="K1055" s="32">
        <v>0.74</v>
      </c>
    </row>
    <row r="1056" spans="1:11">
      <c r="A1056" s="34" t="s">
        <v>1126</v>
      </c>
      <c r="B1056" s="34" t="s">
        <v>9</v>
      </c>
      <c r="C1056" s="34" t="s">
        <v>38</v>
      </c>
      <c r="D1056" s="21">
        <f ca="1">RANDBETWEEN(DATE(2021,7,1),DATE(2021,9,30))</f>
        <v>44402</v>
      </c>
      <c r="E1056" s="35">
        <v>676534</v>
      </c>
      <c r="F1056" s="37">
        <v>11.03</v>
      </c>
      <c r="G1056" s="34">
        <v>19</v>
      </c>
      <c r="H1056" s="36">
        <v>226094</v>
      </c>
      <c r="I1056" s="34">
        <v>1</v>
      </c>
      <c r="J1056" s="36">
        <v>85894</v>
      </c>
      <c r="K1056" s="33">
        <v>0.68</v>
      </c>
    </row>
    <row r="1057" spans="1:11">
      <c r="A1057" s="34" t="s">
        <v>1127</v>
      </c>
      <c r="B1057" s="34" t="s">
        <v>10</v>
      </c>
      <c r="C1057" s="34" t="s">
        <v>37</v>
      </c>
      <c r="D1057" s="21">
        <f ca="1">RANDBETWEEN(DATE(2021,4,1),DATE(2021,6,30))</f>
        <v>44293</v>
      </c>
      <c r="E1057" s="35">
        <v>2432003</v>
      </c>
      <c r="F1057" s="34">
        <v>8.84</v>
      </c>
      <c r="G1057" s="34">
        <v>7</v>
      </c>
      <c r="H1057" s="36">
        <v>1507149</v>
      </c>
      <c r="I1057" s="34">
        <v>1</v>
      </c>
      <c r="J1057" s="36">
        <v>1075087</v>
      </c>
      <c r="K1057" s="31">
        <v>0.72</v>
      </c>
    </row>
    <row r="1058" spans="1:11">
      <c r="A1058" s="34" t="s">
        <v>1128</v>
      </c>
      <c r="B1058" s="34" t="s">
        <v>10</v>
      </c>
      <c r="C1058" s="34" t="s">
        <v>47</v>
      </c>
      <c r="D1058" s="21">
        <f ca="1">RANDBETWEEN(DATE(2023,10,1),DATE(2023,12,31))</f>
        <v>45243</v>
      </c>
      <c r="E1058" s="35">
        <v>3692164</v>
      </c>
      <c r="F1058" s="34">
        <v>9.14</v>
      </c>
      <c r="G1058" s="34">
        <v>8</v>
      </c>
      <c r="H1058" s="36">
        <v>408309</v>
      </c>
      <c r="I1058" s="34">
        <v>0</v>
      </c>
      <c r="J1058" s="36">
        <v>0</v>
      </c>
      <c r="K1058" s="32">
        <v>0.74</v>
      </c>
    </row>
    <row r="1059" spans="1:11">
      <c r="A1059" s="34" t="s">
        <v>1129</v>
      </c>
      <c r="B1059" s="34" t="s">
        <v>6</v>
      </c>
      <c r="C1059" s="34" t="s">
        <v>48</v>
      </c>
      <c r="D1059" s="21">
        <f ca="1">RANDBETWEEN(DATE(2024,1,1),DATE(2024,3,31))</f>
        <v>45321</v>
      </c>
      <c r="E1059" s="35">
        <v>225890</v>
      </c>
      <c r="F1059" s="34">
        <v>8.06</v>
      </c>
      <c r="G1059" s="34">
        <v>47</v>
      </c>
      <c r="H1059" s="36">
        <v>75082</v>
      </c>
      <c r="I1059" s="34">
        <v>0</v>
      </c>
      <c r="J1059" s="36">
        <v>0</v>
      </c>
      <c r="K1059" s="31">
        <v>0.75</v>
      </c>
    </row>
    <row r="1060" spans="1:11">
      <c r="A1060" s="34" t="s">
        <v>1130</v>
      </c>
      <c r="B1060" s="34" t="s">
        <v>6</v>
      </c>
      <c r="C1060" s="34" t="s">
        <v>43</v>
      </c>
      <c r="D1060" s="21">
        <f ca="1">RANDBETWEEN(DATE(2022,10,1),DATE(2022,12,31))</f>
        <v>44892</v>
      </c>
      <c r="E1060" s="35">
        <v>600337</v>
      </c>
      <c r="F1060" s="34">
        <v>8.22</v>
      </c>
      <c r="G1060" s="34">
        <v>23</v>
      </c>
      <c r="H1060" s="36">
        <v>215364</v>
      </c>
      <c r="I1060" s="34">
        <v>0</v>
      </c>
      <c r="J1060" s="36">
        <v>0</v>
      </c>
      <c r="K1060" s="31">
        <v>0.71</v>
      </c>
    </row>
    <row r="1061" spans="1:11">
      <c r="A1061" s="34" t="s">
        <v>1131</v>
      </c>
      <c r="B1061" s="34" t="s">
        <v>8</v>
      </c>
      <c r="C1061" s="34" t="s">
        <v>44</v>
      </c>
      <c r="D1061" s="21">
        <f ca="1">RANDBETWEEN(DATE(2023,1,1),DATE(2023,3,31))</f>
        <v>44937</v>
      </c>
      <c r="E1061" s="35">
        <v>2662403</v>
      </c>
      <c r="F1061" s="34">
        <v>8.48</v>
      </c>
      <c r="G1061" s="34">
        <v>96</v>
      </c>
      <c r="H1061" s="36">
        <v>1671458</v>
      </c>
      <c r="I1061" s="34">
        <v>0</v>
      </c>
      <c r="J1061" s="36">
        <v>0</v>
      </c>
      <c r="K1061" s="31">
        <v>0.73</v>
      </c>
    </row>
    <row r="1062" spans="1:11">
      <c r="A1062" s="34" t="s">
        <v>1132</v>
      </c>
      <c r="B1062" s="34" t="s">
        <v>9</v>
      </c>
      <c r="C1062" s="34" t="s">
        <v>32</v>
      </c>
      <c r="D1062" s="21">
        <f ca="1">RANDBETWEEN(DATE(2020,1,1),DATE(2020,3,31))</f>
        <v>43898</v>
      </c>
      <c r="E1062" s="35">
        <v>1271292</v>
      </c>
      <c r="F1062" s="37">
        <v>9.88</v>
      </c>
      <c r="G1062" s="34">
        <v>6</v>
      </c>
      <c r="H1062" s="36">
        <v>114704</v>
      </c>
      <c r="I1062" s="34">
        <v>1</v>
      </c>
      <c r="J1062" s="36">
        <v>65156</v>
      </c>
      <c r="K1062" s="31">
        <v>0.68</v>
      </c>
    </row>
    <row r="1063" spans="1:11">
      <c r="A1063" s="34" t="s">
        <v>1133</v>
      </c>
      <c r="B1063" s="34" t="s">
        <v>6</v>
      </c>
      <c r="C1063" s="34" t="s">
        <v>47</v>
      </c>
      <c r="D1063" s="21">
        <f ca="1">RANDBETWEEN(DATE(2023,10,1),DATE(2023,12,31))</f>
        <v>45227</v>
      </c>
      <c r="E1063" s="35">
        <v>928783</v>
      </c>
      <c r="F1063" s="34">
        <v>8.01</v>
      </c>
      <c r="G1063" s="34">
        <v>27</v>
      </c>
      <c r="H1063" s="36">
        <v>234984</v>
      </c>
      <c r="I1063" s="34">
        <v>0</v>
      </c>
      <c r="J1063" s="36">
        <v>0</v>
      </c>
      <c r="K1063" s="32">
        <v>0.74</v>
      </c>
    </row>
    <row r="1064" spans="1:11">
      <c r="A1064" s="34" t="s">
        <v>1134</v>
      </c>
      <c r="B1064" s="19" t="s">
        <v>7</v>
      </c>
      <c r="C1064" s="34" t="s">
        <v>33</v>
      </c>
      <c r="D1064" s="21">
        <f ca="1">RANDBETWEEN(DATE(2020,4,1),DATE(2020,6,30))</f>
        <v>43942</v>
      </c>
      <c r="E1064" s="35">
        <v>1537997</v>
      </c>
      <c r="F1064" s="34">
        <v>12.91</v>
      </c>
      <c r="G1064" s="34">
        <v>24</v>
      </c>
      <c r="H1064" s="36">
        <v>139754</v>
      </c>
      <c r="I1064" s="34">
        <v>0</v>
      </c>
      <c r="J1064" s="36">
        <v>0</v>
      </c>
      <c r="K1064" s="31">
        <v>0.72</v>
      </c>
    </row>
    <row r="1065" spans="1:11">
      <c r="A1065" s="34" t="s">
        <v>1135</v>
      </c>
      <c r="B1065" s="34" t="s">
        <v>6</v>
      </c>
      <c r="C1065" s="34" t="s">
        <v>37</v>
      </c>
      <c r="D1065" s="21">
        <f ca="1">RANDBETWEEN(DATE(2021,4,1),DATE(2021,6,30))</f>
        <v>44300</v>
      </c>
      <c r="E1065" s="35">
        <v>712563</v>
      </c>
      <c r="F1065" s="34">
        <v>7.6</v>
      </c>
      <c r="G1065" s="34">
        <v>8</v>
      </c>
      <c r="H1065" s="36">
        <v>124646</v>
      </c>
      <c r="I1065" s="34">
        <v>0</v>
      </c>
      <c r="J1065" s="36">
        <v>0</v>
      </c>
      <c r="K1065" s="31">
        <v>0.72</v>
      </c>
    </row>
    <row r="1066" spans="1:11">
      <c r="A1066" s="34" t="s">
        <v>1136</v>
      </c>
      <c r="B1066" s="19" t="s">
        <v>7</v>
      </c>
      <c r="C1066" s="34" t="s">
        <v>47</v>
      </c>
      <c r="D1066" s="21">
        <f ca="1">RANDBETWEEN(DATE(2023,10,1),DATE(2023,12,31))</f>
        <v>45206</v>
      </c>
      <c r="E1066" s="35">
        <v>564036</v>
      </c>
      <c r="F1066" s="34">
        <v>12.12</v>
      </c>
      <c r="G1066" s="34">
        <v>38</v>
      </c>
      <c r="H1066" s="36">
        <v>73552</v>
      </c>
      <c r="I1066" s="34">
        <v>0</v>
      </c>
      <c r="J1066" s="36">
        <v>0</v>
      </c>
      <c r="K1066" s="32">
        <v>0.74</v>
      </c>
    </row>
    <row r="1067" spans="1:11">
      <c r="A1067" s="34" t="s">
        <v>1137</v>
      </c>
      <c r="B1067" s="34" t="s">
        <v>10</v>
      </c>
      <c r="C1067" s="34" t="s">
        <v>46</v>
      </c>
      <c r="D1067" s="21">
        <f ca="1">RANDBETWEEN(DATE(2023,7,1),DATE(2023,9,30))</f>
        <v>45170</v>
      </c>
      <c r="E1067" s="35">
        <v>513670</v>
      </c>
      <c r="F1067" s="34">
        <v>9.8</v>
      </c>
      <c r="G1067" s="34">
        <v>36</v>
      </c>
      <c r="H1067" s="36">
        <v>189125</v>
      </c>
      <c r="I1067" s="34">
        <v>0</v>
      </c>
      <c r="J1067" s="36">
        <v>0</v>
      </c>
      <c r="K1067" s="31">
        <v>0.76</v>
      </c>
    </row>
    <row r="1068" spans="1:11">
      <c r="A1068" s="34" t="s">
        <v>1138</v>
      </c>
      <c r="B1068" s="34" t="s">
        <v>6</v>
      </c>
      <c r="C1068" s="34" t="s">
        <v>37</v>
      </c>
      <c r="D1068" s="21">
        <f ca="1">RANDBETWEEN(DATE(2021,4,1),DATE(2021,6,30))</f>
        <v>44312</v>
      </c>
      <c r="E1068" s="35">
        <v>340473</v>
      </c>
      <c r="F1068" s="34">
        <v>7.79</v>
      </c>
      <c r="G1068" s="34">
        <v>7</v>
      </c>
      <c r="H1068" s="36">
        <v>293924</v>
      </c>
      <c r="I1068" s="34">
        <v>0</v>
      </c>
      <c r="J1068" s="36">
        <v>0</v>
      </c>
      <c r="K1068" s="31">
        <v>0.72</v>
      </c>
    </row>
    <row r="1069" spans="1:11">
      <c r="A1069" s="34" t="s">
        <v>1139</v>
      </c>
      <c r="B1069" s="34" t="s">
        <v>8</v>
      </c>
      <c r="C1069" s="34" t="s">
        <v>42</v>
      </c>
      <c r="D1069" s="21">
        <f ca="1">RANDBETWEEN(DATE(2022,7,1),DATE(2022,9,30))</f>
        <v>44810</v>
      </c>
      <c r="E1069" s="35">
        <v>4746070</v>
      </c>
      <c r="F1069" s="34">
        <v>8.01</v>
      </c>
      <c r="G1069" s="34">
        <v>87</v>
      </c>
      <c r="H1069" s="36">
        <v>4661679</v>
      </c>
      <c r="I1069" s="34">
        <v>0</v>
      </c>
      <c r="J1069" s="36">
        <v>0</v>
      </c>
      <c r="K1069" s="31">
        <v>0.73</v>
      </c>
    </row>
    <row r="1070" spans="1:11">
      <c r="A1070" s="34" t="s">
        <v>1140</v>
      </c>
      <c r="B1070" s="34" t="s">
        <v>6</v>
      </c>
      <c r="C1070" s="34" t="s">
        <v>33</v>
      </c>
      <c r="D1070" s="21">
        <f ca="1">RANDBETWEEN(DATE(2020,4,1),DATE(2020,6,30))</f>
        <v>43989</v>
      </c>
      <c r="E1070" s="35">
        <v>32574</v>
      </c>
      <c r="F1070" s="34">
        <v>7.04</v>
      </c>
      <c r="G1070" s="34">
        <v>9</v>
      </c>
      <c r="H1070" s="36">
        <v>14625</v>
      </c>
      <c r="I1070" s="34">
        <v>0</v>
      </c>
      <c r="J1070" s="36">
        <v>0</v>
      </c>
      <c r="K1070" s="31">
        <v>0.72</v>
      </c>
    </row>
    <row r="1071" spans="1:11">
      <c r="A1071" s="34" t="s">
        <v>1141</v>
      </c>
      <c r="B1071" s="34" t="s">
        <v>9</v>
      </c>
      <c r="C1071" s="34" t="s">
        <v>29</v>
      </c>
      <c r="D1071" s="21">
        <f ca="1">RANDBETWEEN(DATE(2019,4,1),DATE(2019,6,30))</f>
        <v>43612</v>
      </c>
      <c r="E1071" s="35">
        <v>1587354</v>
      </c>
      <c r="F1071" s="37">
        <v>11.74</v>
      </c>
      <c r="G1071" s="34">
        <v>37</v>
      </c>
      <c r="H1071" s="36">
        <v>652296</v>
      </c>
      <c r="I1071" s="34">
        <v>1</v>
      </c>
      <c r="J1071" s="36">
        <v>442869</v>
      </c>
      <c r="K1071" s="31">
        <v>0.71</v>
      </c>
    </row>
    <row r="1072" spans="1:11">
      <c r="A1072" s="34" t="s">
        <v>1142</v>
      </c>
      <c r="B1072" s="34" t="s">
        <v>9</v>
      </c>
      <c r="C1072" s="34" t="s">
        <v>41</v>
      </c>
      <c r="D1072" s="21">
        <f ca="1">RANDBETWEEN(DATE(2022,4,1),DATE(2022,6,30))</f>
        <v>44729</v>
      </c>
      <c r="E1072" s="35">
        <v>1792886</v>
      </c>
      <c r="F1072" s="37">
        <v>10.67</v>
      </c>
      <c r="G1072" s="34">
        <v>15</v>
      </c>
      <c r="H1072" s="36">
        <v>1602379</v>
      </c>
      <c r="I1072" s="34">
        <v>0</v>
      </c>
      <c r="J1072" s="36">
        <v>0</v>
      </c>
      <c r="K1072" s="30">
        <v>0.727</v>
      </c>
    </row>
    <row r="1073" spans="1:11">
      <c r="A1073" s="34" t="s">
        <v>1143</v>
      </c>
      <c r="B1073" s="34" t="s">
        <v>10</v>
      </c>
      <c r="C1073" s="34" t="s">
        <v>33</v>
      </c>
      <c r="D1073" s="21">
        <f ca="1">RANDBETWEEN(DATE(2020,4,1),DATE(2020,6,30))</f>
        <v>43996</v>
      </c>
      <c r="E1073" s="35">
        <v>2784126</v>
      </c>
      <c r="F1073" s="34">
        <v>10.09</v>
      </c>
      <c r="G1073" s="34">
        <v>55</v>
      </c>
      <c r="H1073" s="36">
        <v>1276975</v>
      </c>
      <c r="I1073" s="34">
        <v>0</v>
      </c>
      <c r="J1073" s="36">
        <v>0</v>
      </c>
      <c r="K1073" s="31">
        <v>0.72</v>
      </c>
    </row>
    <row r="1074" spans="1:11">
      <c r="A1074" s="34" t="s">
        <v>1144</v>
      </c>
      <c r="B1074" s="34" t="s">
        <v>6</v>
      </c>
      <c r="C1074" s="34" t="s">
        <v>37</v>
      </c>
      <c r="D1074" s="21">
        <f ca="1">RANDBETWEEN(DATE(2021,4,1),DATE(2021,6,30))</f>
        <v>44327</v>
      </c>
      <c r="E1074" s="35">
        <v>133651</v>
      </c>
      <c r="F1074" s="34">
        <v>7.72</v>
      </c>
      <c r="G1074" s="34">
        <v>37</v>
      </c>
      <c r="H1074" s="36">
        <v>76685</v>
      </c>
      <c r="I1074" s="34">
        <v>0</v>
      </c>
      <c r="J1074" s="36">
        <v>0</v>
      </c>
      <c r="K1074" s="31">
        <v>0.72</v>
      </c>
    </row>
    <row r="1075" spans="1:11">
      <c r="A1075" s="34" t="s">
        <v>1145</v>
      </c>
      <c r="B1075" s="34" t="s">
        <v>10</v>
      </c>
      <c r="C1075" s="34" t="s">
        <v>41</v>
      </c>
      <c r="D1075" s="21">
        <f ca="1">RANDBETWEEN(DATE(2022,4,1),DATE(2022,6,30))</f>
        <v>44669</v>
      </c>
      <c r="E1075" s="35">
        <v>2096258</v>
      </c>
      <c r="F1075" s="34">
        <v>9.89</v>
      </c>
      <c r="G1075" s="34">
        <v>43</v>
      </c>
      <c r="H1075" s="36">
        <v>1735141</v>
      </c>
      <c r="I1075" s="34">
        <v>0</v>
      </c>
      <c r="J1075" s="36">
        <v>0</v>
      </c>
      <c r="K1075" s="30">
        <v>0.727</v>
      </c>
    </row>
    <row r="1076" spans="1:11">
      <c r="A1076" s="34" t="s">
        <v>1146</v>
      </c>
      <c r="B1076" s="34" t="s">
        <v>6</v>
      </c>
      <c r="C1076" s="34" t="s">
        <v>48</v>
      </c>
      <c r="D1076" s="21">
        <f ca="1">RANDBETWEEN(DATE(2024,1,1),DATE(2024,3,31))</f>
        <v>45312</v>
      </c>
      <c r="E1076" s="35">
        <v>139649</v>
      </c>
      <c r="F1076" s="34">
        <v>7.5</v>
      </c>
      <c r="G1076" s="34">
        <v>12</v>
      </c>
      <c r="H1076" s="36">
        <v>116728</v>
      </c>
      <c r="I1076" s="34">
        <v>1</v>
      </c>
      <c r="J1076" s="36">
        <v>92541</v>
      </c>
      <c r="K1076" s="31">
        <v>0.75</v>
      </c>
    </row>
    <row r="1077" spans="1:11">
      <c r="A1077" s="34" t="s">
        <v>1147</v>
      </c>
      <c r="B1077" s="34" t="s">
        <v>10</v>
      </c>
      <c r="C1077" s="34" t="s">
        <v>40</v>
      </c>
      <c r="D1077" s="21">
        <f ca="1">RANDBETWEEN(DATE(2022,1,1),DATE(2022,3,31))</f>
        <v>44619</v>
      </c>
      <c r="E1077" s="35">
        <v>3567816</v>
      </c>
      <c r="F1077" s="34">
        <v>10.03</v>
      </c>
      <c r="G1077" s="34">
        <v>119</v>
      </c>
      <c r="H1077" s="36">
        <v>3209611</v>
      </c>
      <c r="I1077" s="34">
        <v>0</v>
      </c>
      <c r="J1077" s="36">
        <v>0</v>
      </c>
      <c r="K1077" s="31">
        <v>0.71</v>
      </c>
    </row>
    <row r="1078" spans="1:11">
      <c r="A1078" s="34" t="s">
        <v>1148</v>
      </c>
      <c r="B1078" s="19" t="s">
        <v>7</v>
      </c>
      <c r="C1078" s="34" t="s">
        <v>42</v>
      </c>
      <c r="D1078" s="21">
        <f ca="1">RANDBETWEEN(DATE(2022,7,1),DATE(2022,9,30))</f>
        <v>44823</v>
      </c>
      <c r="E1078" s="35">
        <v>1577788</v>
      </c>
      <c r="F1078" s="34">
        <v>11.48</v>
      </c>
      <c r="G1078" s="34">
        <v>12</v>
      </c>
      <c r="H1078" s="36">
        <v>169383</v>
      </c>
      <c r="I1078" s="34">
        <v>0</v>
      </c>
      <c r="J1078" s="36">
        <v>0</v>
      </c>
      <c r="K1078" s="31">
        <v>0.73</v>
      </c>
    </row>
    <row r="1079" spans="1:11">
      <c r="A1079" s="34" t="s">
        <v>1149</v>
      </c>
      <c r="B1079" s="34" t="s">
        <v>6</v>
      </c>
      <c r="C1079" s="34" t="s">
        <v>35</v>
      </c>
      <c r="D1079" s="21">
        <f ca="1">RANDBETWEEN(DATE(2020,10,1),DATE(2020,12,31))</f>
        <v>44159</v>
      </c>
      <c r="E1079" s="35">
        <v>138565</v>
      </c>
      <c r="F1079" s="34">
        <v>8.27</v>
      </c>
      <c r="G1079" s="34">
        <v>22</v>
      </c>
      <c r="H1079" s="36">
        <v>84135</v>
      </c>
      <c r="I1079" s="34">
        <v>1</v>
      </c>
      <c r="J1079" s="36">
        <v>28544</v>
      </c>
      <c r="K1079" s="31">
        <v>0.68</v>
      </c>
    </row>
    <row r="1080" spans="1:11">
      <c r="A1080" s="34" t="s">
        <v>1150</v>
      </c>
      <c r="B1080" s="34" t="s">
        <v>10</v>
      </c>
      <c r="C1080" s="34" t="s">
        <v>38</v>
      </c>
      <c r="D1080" s="21">
        <f ca="1">RANDBETWEEN(DATE(2021,7,1),DATE(2021,9,30))</f>
        <v>44439</v>
      </c>
      <c r="E1080" s="35">
        <v>3505601</v>
      </c>
      <c r="F1080" s="34">
        <v>9.32</v>
      </c>
      <c r="G1080" s="34">
        <v>9</v>
      </c>
      <c r="H1080" s="36">
        <v>472702</v>
      </c>
      <c r="I1080" s="34">
        <v>1</v>
      </c>
      <c r="J1080" s="36">
        <v>104384</v>
      </c>
      <c r="K1080" s="33">
        <v>0.68</v>
      </c>
    </row>
    <row r="1081" spans="1:11">
      <c r="A1081" s="34" t="s">
        <v>1151</v>
      </c>
      <c r="B1081" s="19" t="s">
        <v>7</v>
      </c>
      <c r="C1081" s="34" t="s">
        <v>33</v>
      </c>
      <c r="D1081" s="21">
        <f ca="1">RANDBETWEEN(DATE(2020,4,1),DATE(2020,6,30))</f>
        <v>43972</v>
      </c>
      <c r="E1081" s="35">
        <v>1863834</v>
      </c>
      <c r="F1081" s="34">
        <v>11.28</v>
      </c>
      <c r="G1081" s="34">
        <v>10</v>
      </c>
      <c r="H1081" s="36">
        <v>410812</v>
      </c>
      <c r="I1081" s="34">
        <v>0</v>
      </c>
      <c r="J1081" s="36">
        <v>0</v>
      </c>
      <c r="K1081" s="31">
        <v>0.72</v>
      </c>
    </row>
    <row r="1082" spans="1:11">
      <c r="A1082" s="34" t="s">
        <v>1152</v>
      </c>
      <c r="B1082" s="34" t="s">
        <v>6</v>
      </c>
      <c r="C1082" s="34" t="s">
        <v>39</v>
      </c>
      <c r="D1082" s="21">
        <f ca="1">RANDBETWEEN(DATE(2021,10,1),DATE(2021,12,31))</f>
        <v>44475</v>
      </c>
      <c r="E1082" s="35">
        <v>162600</v>
      </c>
      <c r="F1082" s="34">
        <v>7.94</v>
      </c>
      <c r="G1082" s="34">
        <v>7</v>
      </c>
      <c r="H1082" s="36">
        <v>120167</v>
      </c>
      <c r="I1082" s="34">
        <v>0</v>
      </c>
      <c r="J1082" s="36">
        <v>0</v>
      </c>
      <c r="K1082" s="31">
        <v>0.71</v>
      </c>
    </row>
    <row r="1083" spans="1:11">
      <c r="A1083" s="34" t="s">
        <v>1153</v>
      </c>
      <c r="B1083" s="19" t="s">
        <v>7</v>
      </c>
      <c r="C1083" s="34" t="s">
        <v>43</v>
      </c>
      <c r="D1083" s="21">
        <f ca="1">RANDBETWEEN(DATE(2022,10,1),DATE(2022,12,31))</f>
        <v>44908</v>
      </c>
      <c r="E1083" s="35">
        <v>371488</v>
      </c>
      <c r="F1083" s="34">
        <v>11.48</v>
      </c>
      <c r="G1083" s="34">
        <v>10</v>
      </c>
      <c r="H1083" s="36">
        <v>346108</v>
      </c>
      <c r="I1083" s="34">
        <v>0</v>
      </c>
      <c r="J1083" s="36">
        <v>0</v>
      </c>
      <c r="K1083" s="31">
        <v>0.71</v>
      </c>
    </row>
    <row r="1084" spans="1:11">
      <c r="A1084" s="34" t="s">
        <v>1154</v>
      </c>
      <c r="B1084" s="34" t="s">
        <v>9</v>
      </c>
      <c r="C1084" s="34" t="s">
        <v>46</v>
      </c>
      <c r="D1084" s="21">
        <f ca="1">RANDBETWEEN(DATE(2023,7,1),DATE(2023,9,30))</f>
        <v>45132</v>
      </c>
      <c r="E1084" s="35">
        <v>730395</v>
      </c>
      <c r="F1084" s="37">
        <v>10.89</v>
      </c>
      <c r="G1084" s="34">
        <v>26</v>
      </c>
      <c r="H1084" s="36">
        <v>712598</v>
      </c>
      <c r="I1084" s="34">
        <v>1</v>
      </c>
      <c r="J1084" s="36">
        <v>478229</v>
      </c>
      <c r="K1084" s="31">
        <v>0.76</v>
      </c>
    </row>
    <row r="1085" spans="1:11">
      <c r="A1085" s="34" t="s">
        <v>1155</v>
      </c>
      <c r="B1085" s="34" t="s">
        <v>10</v>
      </c>
      <c r="C1085" s="34" t="s">
        <v>31</v>
      </c>
      <c r="D1085" s="21">
        <f ca="1">RANDBETWEEN(DATE(2019,10,1),DATE(2019,12,31))</f>
        <v>43767</v>
      </c>
      <c r="E1085" s="35">
        <v>4147124</v>
      </c>
      <c r="F1085" s="34">
        <v>8.68</v>
      </c>
      <c r="G1085" s="34">
        <v>10</v>
      </c>
      <c r="H1085" s="36">
        <v>2954241</v>
      </c>
      <c r="I1085" s="34">
        <v>0</v>
      </c>
      <c r="J1085" s="36">
        <v>0</v>
      </c>
      <c r="K1085" s="31">
        <v>0.7</v>
      </c>
    </row>
    <row r="1086" spans="1:11">
      <c r="A1086" s="34" t="s">
        <v>1156</v>
      </c>
      <c r="B1086" s="34" t="s">
        <v>9</v>
      </c>
      <c r="C1086" s="34" t="s">
        <v>32</v>
      </c>
      <c r="D1086" s="21">
        <f ca="1">RANDBETWEEN(DATE(2020,1,1),DATE(2020,3,31))</f>
        <v>43909</v>
      </c>
      <c r="E1086" s="35">
        <v>1708784</v>
      </c>
      <c r="F1086" s="37">
        <v>10.69</v>
      </c>
      <c r="G1086" s="34">
        <v>31</v>
      </c>
      <c r="H1086" s="36">
        <v>483290</v>
      </c>
      <c r="I1086" s="34">
        <v>0</v>
      </c>
      <c r="J1086" s="36">
        <v>0</v>
      </c>
      <c r="K1086" s="31">
        <v>0.68</v>
      </c>
    </row>
    <row r="1087" spans="1:11">
      <c r="A1087" s="34" t="s">
        <v>1157</v>
      </c>
      <c r="B1087" s="34" t="s">
        <v>8</v>
      </c>
      <c r="C1087" s="34" t="s">
        <v>48</v>
      </c>
      <c r="D1087" s="21">
        <f ca="1">RANDBETWEEN(DATE(2024,1,1),DATE(2024,3,31))</f>
        <v>45319</v>
      </c>
      <c r="E1087" s="35">
        <v>3276781</v>
      </c>
      <c r="F1087" s="34">
        <v>8.15</v>
      </c>
      <c r="G1087" s="34">
        <v>248</v>
      </c>
      <c r="H1087" s="36">
        <v>2476447</v>
      </c>
      <c r="I1087" s="34">
        <v>0</v>
      </c>
      <c r="J1087" s="36">
        <v>0</v>
      </c>
      <c r="K1087" s="31">
        <v>0.75</v>
      </c>
    </row>
    <row r="1088" spans="1:11">
      <c r="A1088" s="34" t="s">
        <v>1158</v>
      </c>
      <c r="B1088" s="19" t="s">
        <v>7</v>
      </c>
      <c r="C1088" s="34" t="s">
        <v>39</v>
      </c>
      <c r="D1088" s="21">
        <f ca="1">RANDBETWEEN(DATE(2021,10,1),DATE(2021,12,31))</f>
        <v>44490</v>
      </c>
      <c r="E1088" s="35">
        <v>178769</v>
      </c>
      <c r="F1088" s="34">
        <v>12.58</v>
      </c>
      <c r="G1088" s="34">
        <v>42</v>
      </c>
      <c r="H1088" s="36">
        <v>14738</v>
      </c>
      <c r="I1088" s="34">
        <v>0</v>
      </c>
      <c r="J1088" s="36">
        <v>0</v>
      </c>
      <c r="K1088" s="31">
        <v>0.71</v>
      </c>
    </row>
    <row r="1089" spans="1:11">
      <c r="A1089" s="34" t="s">
        <v>1159</v>
      </c>
      <c r="B1089" s="34" t="s">
        <v>10</v>
      </c>
      <c r="C1089" s="34" t="s">
        <v>36</v>
      </c>
      <c r="D1089" s="21">
        <f ca="1">RANDBETWEEN(DATE(2021,1,1),DATE(2021,3,31))</f>
        <v>44262</v>
      </c>
      <c r="E1089" s="35">
        <v>224721</v>
      </c>
      <c r="F1089" s="34">
        <v>11.15</v>
      </c>
      <c r="G1089" s="34">
        <v>76</v>
      </c>
      <c r="H1089" s="36">
        <v>141503</v>
      </c>
      <c r="I1089" s="34">
        <v>1</v>
      </c>
      <c r="J1089" s="36">
        <v>89175</v>
      </c>
      <c r="K1089" s="30">
        <v>0.744</v>
      </c>
    </row>
    <row r="1090" spans="1:11">
      <c r="A1090" s="34" t="s">
        <v>1160</v>
      </c>
      <c r="B1090" s="19" t="s">
        <v>7</v>
      </c>
      <c r="C1090" s="34" t="s">
        <v>48</v>
      </c>
      <c r="D1090" s="21">
        <f ca="1">RANDBETWEEN(DATE(2024,1,1),DATE(2024,3,31))</f>
        <v>45340</v>
      </c>
      <c r="E1090" s="35">
        <v>1001389</v>
      </c>
      <c r="F1090" s="34">
        <v>10.59</v>
      </c>
      <c r="G1090" s="34">
        <v>11</v>
      </c>
      <c r="H1090" s="36">
        <v>195963</v>
      </c>
      <c r="I1090" s="34">
        <v>0</v>
      </c>
      <c r="J1090" s="36">
        <v>0</v>
      </c>
      <c r="K1090" s="31">
        <v>0.75</v>
      </c>
    </row>
    <row r="1091" spans="1:11">
      <c r="A1091" s="34" t="s">
        <v>1161</v>
      </c>
      <c r="B1091" s="34" t="s">
        <v>8</v>
      </c>
      <c r="C1091" s="34" t="s">
        <v>42</v>
      </c>
      <c r="D1091" s="21">
        <f ca="1">RANDBETWEEN(DATE(2022,7,1),DATE(2022,9,30))</f>
        <v>44791</v>
      </c>
      <c r="E1091" s="35">
        <v>6797553</v>
      </c>
      <c r="F1091" s="34">
        <v>7.73</v>
      </c>
      <c r="G1091" s="34">
        <v>148</v>
      </c>
      <c r="H1091" s="36">
        <v>477878</v>
      </c>
      <c r="I1091" s="34">
        <v>0</v>
      </c>
      <c r="J1091" s="36">
        <v>0</v>
      </c>
      <c r="K1091" s="31">
        <v>0.73</v>
      </c>
    </row>
    <row r="1092" spans="1:11">
      <c r="A1092" s="34" t="s">
        <v>1162</v>
      </c>
      <c r="B1092" s="19" t="s">
        <v>7</v>
      </c>
      <c r="C1092" s="34" t="s">
        <v>29</v>
      </c>
      <c r="D1092" s="21">
        <f ca="1">RANDBETWEEN(DATE(2019,4,1),DATE(2019,6,30))</f>
        <v>43617</v>
      </c>
      <c r="E1092" s="35">
        <v>1374721</v>
      </c>
      <c r="F1092" s="34">
        <v>12.25</v>
      </c>
      <c r="G1092" s="34">
        <v>22</v>
      </c>
      <c r="H1092" s="36">
        <v>313699</v>
      </c>
      <c r="I1092" s="34">
        <v>0</v>
      </c>
      <c r="J1092" s="36">
        <v>0</v>
      </c>
      <c r="K1092" s="31">
        <v>0.71</v>
      </c>
    </row>
    <row r="1093" spans="1:11">
      <c r="A1093" s="34" t="s">
        <v>1163</v>
      </c>
      <c r="B1093" s="19" t="s">
        <v>7</v>
      </c>
      <c r="C1093" s="34" t="s">
        <v>46</v>
      </c>
      <c r="D1093" s="21">
        <f ca="1">RANDBETWEEN(DATE(2023,7,1),DATE(2023,9,30))</f>
        <v>45158</v>
      </c>
      <c r="E1093" s="35">
        <v>800628</v>
      </c>
      <c r="F1093" s="34">
        <v>11.59</v>
      </c>
      <c r="G1093" s="34">
        <v>23</v>
      </c>
      <c r="H1093" s="36">
        <v>275774</v>
      </c>
      <c r="I1093" s="34">
        <v>0</v>
      </c>
      <c r="J1093" s="36">
        <v>0</v>
      </c>
      <c r="K1093" s="31">
        <v>0.76</v>
      </c>
    </row>
    <row r="1094" spans="1:11">
      <c r="A1094" s="34" t="s">
        <v>1164</v>
      </c>
      <c r="B1094" s="19" t="s">
        <v>7</v>
      </c>
      <c r="C1094" s="34" t="s">
        <v>38</v>
      </c>
      <c r="D1094" s="21">
        <f ca="1">RANDBETWEEN(DATE(2021,7,1),DATE(2021,9,30))</f>
        <v>44431</v>
      </c>
      <c r="E1094" s="35">
        <v>857716</v>
      </c>
      <c r="F1094" s="34">
        <v>10.84</v>
      </c>
      <c r="G1094" s="34">
        <v>9</v>
      </c>
      <c r="H1094" s="36">
        <v>801001</v>
      </c>
      <c r="I1094" s="34">
        <v>0</v>
      </c>
      <c r="J1094" s="36">
        <v>0</v>
      </c>
      <c r="K1094" s="33">
        <v>0.68</v>
      </c>
    </row>
    <row r="1095" spans="1:11">
      <c r="A1095" s="34" t="s">
        <v>1165</v>
      </c>
      <c r="B1095" s="34" t="s">
        <v>10</v>
      </c>
      <c r="C1095" s="34" t="s">
        <v>43</v>
      </c>
      <c r="D1095" s="21">
        <f ca="1">RANDBETWEEN(DATE(2022,10,1),DATE(2022,12,31))</f>
        <v>44892</v>
      </c>
      <c r="E1095" s="35">
        <v>4717449</v>
      </c>
      <c r="F1095" s="34">
        <v>11.46</v>
      </c>
      <c r="G1095" s="34">
        <v>116</v>
      </c>
      <c r="H1095" s="36">
        <v>2140799</v>
      </c>
      <c r="I1095" s="34">
        <v>0</v>
      </c>
      <c r="J1095" s="36">
        <v>0</v>
      </c>
      <c r="K1095" s="31">
        <v>0.71</v>
      </c>
    </row>
    <row r="1096" spans="1:11">
      <c r="A1096" s="34" t="s">
        <v>1166</v>
      </c>
      <c r="B1096" s="34" t="s">
        <v>8</v>
      </c>
      <c r="C1096" s="34" t="s">
        <v>37</v>
      </c>
      <c r="D1096" s="21">
        <f ca="1">RANDBETWEEN(DATE(2021,4,1),DATE(2021,6,30))</f>
        <v>44292</v>
      </c>
      <c r="E1096" s="35">
        <v>7788387</v>
      </c>
      <c r="F1096" s="34">
        <v>7.94</v>
      </c>
      <c r="G1096" s="34">
        <v>165</v>
      </c>
      <c r="H1096" s="36">
        <v>2827899</v>
      </c>
      <c r="I1096" s="34">
        <v>0</v>
      </c>
      <c r="J1096" s="36">
        <v>0</v>
      </c>
      <c r="K1096" s="31">
        <v>0.72</v>
      </c>
    </row>
    <row r="1097" spans="1:11">
      <c r="A1097" s="34" t="s">
        <v>1167</v>
      </c>
      <c r="B1097" s="34" t="s">
        <v>10</v>
      </c>
      <c r="C1097" s="34" t="s">
        <v>32</v>
      </c>
      <c r="D1097" s="21">
        <f ca="1">RANDBETWEEN(DATE(2020,1,1),DATE(2020,3,31))</f>
        <v>43870</v>
      </c>
      <c r="E1097" s="35">
        <v>4605552</v>
      </c>
      <c r="F1097" s="34">
        <v>10.37</v>
      </c>
      <c r="G1097" s="34">
        <v>84</v>
      </c>
      <c r="H1097" s="36">
        <v>1269048</v>
      </c>
      <c r="I1097" s="34">
        <v>1</v>
      </c>
      <c r="J1097" s="36">
        <v>569736</v>
      </c>
      <c r="K1097" s="31">
        <v>0.68</v>
      </c>
    </row>
    <row r="1098" spans="1:11">
      <c r="A1098" s="34" t="s">
        <v>1168</v>
      </c>
      <c r="B1098" s="34" t="s">
        <v>6</v>
      </c>
      <c r="C1098" s="34" t="s">
        <v>45</v>
      </c>
      <c r="D1098" s="21">
        <f ca="1">RANDBETWEEN(DATE(2023,4,1),DATE(2023,6,30))</f>
        <v>45055</v>
      </c>
      <c r="E1098" s="35">
        <v>175387</v>
      </c>
      <c r="F1098" s="34">
        <v>7.69</v>
      </c>
      <c r="G1098" s="34">
        <v>11</v>
      </c>
      <c r="H1098" s="36">
        <v>79230</v>
      </c>
      <c r="I1098" s="34">
        <v>1</v>
      </c>
      <c r="J1098" s="36">
        <v>45234</v>
      </c>
      <c r="K1098" s="31">
        <v>0.73</v>
      </c>
    </row>
    <row r="1099" spans="1:11">
      <c r="A1099" s="34" t="s">
        <v>1169</v>
      </c>
      <c r="B1099" s="34" t="s">
        <v>9</v>
      </c>
      <c r="C1099" s="34" t="s">
        <v>44</v>
      </c>
      <c r="D1099" s="21">
        <f ca="1">RANDBETWEEN(DATE(2023,1,1),DATE(2023,3,31))</f>
        <v>44968</v>
      </c>
      <c r="E1099" s="35">
        <v>752487</v>
      </c>
      <c r="F1099" s="37">
        <v>9.47</v>
      </c>
      <c r="G1099" s="34">
        <v>10</v>
      </c>
      <c r="H1099" s="36">
        <v>398951</v>
      </c>
      <c r="I1099" s="34">
        <v>1</v>
      </c>
      <c r="J1099" s="36">
        <v>85364</v>
      </c>
      <c r="K1099" s="31">
        <v>0.73</v>
      </c>
    </row>
    <row r="1100" spans="1:11">
      <c r="A1100" s="34" t="s">
        <v>1170</v>
      </c>
      <c r="B1100" s="34" t="s">
        <v>10</v>
      </c>
      <c r="C1100" s="34" t="s">
        <v>48</v>
      </c>
      <c r="D1100" s="21">
        <f ca="1">RANDBETWEEN(DATE(2024,1,1),DATE(2024,3,31))</f>
        <v>45372</v>
      </c>
      <c r="E1100" s="35">
        <v>3016904</v>
      </c>
      <c r="F1100" s="34">
        <v>10.34</v>
      </c>
      <c r="G1100" s="34">
        <v>18</v>
      </c>
      <c r="H1100" s="36">
        <v>1379129</v>
      </c>
      <c r="I1100" s="34">
        <v>0</v>
      </c>
      <c r="J1100" s="36">
        <v>0</v>
      </c>
      <c r="K1100" s="31">
        <v>0.75</v>
      </c>
    </row>
    <row r="1101" spans="1:11">
      <c r="A1101" s="34" t="s">
        <v>1171</v>
      </c>
      <c r="B1101" s="19" t="s">
        <v>7</v>
      </c>
      <c r="C1101" s="34" t="s">
        <v>34</v>
      </c>
      <c r="D1101" s="21">
        <f ca="1">RANDBETWEEN(DATE(2020,7,1),DATE(2020,9,30))</f>
        <v>44093</v>
      </c>
      <c r="E1101" s="35">
        <v>967800</v>
      </c>
      <c r="F1101" s="34">
        <v>11.44</v>
      </c>
      <c r="G1101" s="34">
        <v>11</v>
      </c>
      <c r="H1101" s="36">
        <v>75755</v>
      </c>
      <c r="I1101" s="34">
        <v>1</v>
      </c>
      <c r="J1101" s="36">
        <v>11552</v>
      </c>
      <c r="K1101" s="31">
        <v>0.68</v>
      </c>
    </row>
    <row r="1102" spans="1:11">
      <c r="A1102" s="34" t="s">
        <v>1172</v>
      </c>
      <c r="B1102" s="34" t="s">
        <v>10</v>
      </c>
      <c r="C1102" s="34" t="s">
        <v>45</v>
      </c>
      <c r="D1102" s="21">
        <f ca="1">RANDBETWEEN(DATE(2023,4,1),DATE(2023,6,30))</f>
        <v>45027</v>
      </c>
      <c r="E1102" s="35">
        <v>1663898</v>
      </c>
      <c r="F1102" s="34">
        <v>10.2</v>
      </c>
      <c r="G1102" s="34">
        <v>63</v>
      </c>
      <c r="H1102" s="36">
        <v>1474375</v>
      </c>
      <c r="I1102" s="34">
        <v>1</v>
      </c>
      <c r="J1102" s="36">
        <v>301117</v>
      </c>
      <c r="K1102" s="31">
        <v>0.73</v>
      </c>
    </row>
    <row r="1103" spans="1:11">
      <c r="A1103" s="34" t="s">
        <v>1173</v>
      </c>
      <c r="B1103" s="34" t="s">
        <v>9</v>
      </c>
      <c r="C1103" s="34" t="s">
        <v>44</v>
      </c>
      <c r="D1103" s="21">
        <f ca="1">RANDBETWEEN(DATE(2023,1,1),DATE(2023,3,31))</f>
        <v>44996</v>
      </c>
      <c r="E1103" s="35">
        <v>706732</v>
      </c>
      <c r="F1103" s="37">
        <v>11.62</v>
      </c>
      <c r="G1103" s="34">
        <v>33</v>
      </c>
      <c r="H1103" s="36">
        <v>416221</v>
      </c>
      <c r="I1103" s="34">
        <v>0</v>
      </c>
      <c r="J1103" s="36">
        <v>0</v>
      </c>
      <c r="K1103" s="31">
        <v>0.73</v>
      </c>
    </row>
    <row r="1104" spans="1:11">
      <c r="A1104" s="34" t="s">
        <v>1174</v>
      </c>
      <c r="B1104" s="34" t="s">
        <v>9</v>
      </c>
      <c r="C1104" s="34" t="s">
        <v>34</v>
      </c>
      <c r="D1104" s="21">
        <f ca="1">RANDBETWEEN(DATE(2020,7,1),DATE(2020,9,30))</f>
        <v>44048</v>
      </c>
      <c r="E1104" s="35">
        <v>1365112</v>
      </c>
      <c r="F1104" s="37">
        <v>10.59</v>
      </c>
      <c r="G1104" s="34">
        <v>51</v>
      </c>
      <c r="H1104" s="36">
        <v>1243742</v>
      </c>
      <c r="I1104" s="34">
        <v>0</v>
      </c>
      <c r="J1104" s="36">
        <v>0</v>
      </c>
      <c r="K1104" s="31">
        <v>0.68</v>
      </c>
    </row>
    <row r="1105" spans="1:11">
      <c r="A1105" s="34" t="s">
        <v>1175</v>
      </c>
      <c r="B1105" s="34" t="s">
        <v>10</v>
      </c>
      <c r="C1105" s="34" t="s">
        <v>41</v>
      </c>
      <c r="D1105" s="21">
        <f ca="1">RANDBETWEEN(DATE(2022,4,1),DATE(2022,6,30))</f>
        <v>44709</v>
      </c>
      <c r="E1105" s="35">
        <v>4052812</v>
      </c>
      <c r="F1105" s="34">
        <v>9.51</v>
      </c>
      <c r="G1105" s="34">
        <v>28</v>
      </c>
      <c r="H1105" s="36">
        <v>1804750</v>
      </c>
      <c r="I1105" s="34">
        <v>1</v>
      </c>
      <c r="J1105" s="36">
        <v>1186590</v>
      </c>
      <c r="K1105" s="30">
        <v>0.727</v>
      </c>
    </row>
    <row r="1106" spans="1:11">
      <c r="A1106" s="34" t="s">
        <v>1176</v>
      </c>
      <c r="B1106" s="34" t="s">
        <v>6</v>
      </c>
      <c r="C1106" s="34" t="s">
        <v>45</v>
      </c>
      <c r="D1106" s="21">
        <f ca="1">RANDBETWEEN(DATE(2023,4,1),DATE(2023,6,30))</f>
        <v>45061</v>
      </c>
      <c r="E1106" s="35">
        <v>402427</v>
      </c>
      <c r="F1106" s="34">
        <v>8.12</v>
      </c>
      <c r="G1106" s="34">
        <v>46</v>
      </c>
      <c r="H1106" s="36">
        <v>41337</v>
      </c>
      <c r="I1106" s="34">
        <v>1</v>
      </c>
      <c r="J1106" s="36">
        <v>16351</v>
      </c>
      <c r="K1106" s="31">
        <v>0.73</v>
      </c>
    </row>
    <row r="1107" spans="1:11">
      <c r="A1107" s="34" t="s">
        <v>1177</v>
      </c>
      <c r="B1107" s="34" t="s">
        <v>6</v>
      </c>
      <c r="C1107" s="34" t="s">
        <v>32</v>
      </c>
      <c r="D1107" s="21">
        <f ca="1">RANDBETWEEN(DATE(2020,1,1),DATE(2020,3,31))</f>
        <v>43845</v>
      </c>
      <c r="E1107" s="35">
        <v>909726</v>
      </c>
      <c r="F1107" s="34">
        <v>7.17</v>
      </c>
      <c r="G1107" s="34">
        <v>7</v>
      </c>
      <c r="H1107" s="36">
        <v>903622</v>
      </c>
      <c r="I1107" s="34">
        <v>0</v>
      </c>
      <c r="J1107" s="36">
        <v>0</v>
      </c>
      <c r="K1107" s="31">
        <v>0.68</v>
      </c>
    </row>
    <row r="1108" spans="1:11">
      <c r="A1108" s="34" t="s">
        <v>1178</v>
      </c>
      <c r="B1108" s="19" t="s">
        <v>7</v>
      </c>
      <c r="C1108" s="34" t="s">
        <v>35</v>
      </c>
      <c r="D1108" s="21">
        <f ca="1">RANDBETWEEN(DATE(2020,10,1),DATE(2020,12,31))</f>
        <v>44167</v>
      </c>
      <c r="E1108" s="35">
        <v>553526</v>
      </c>
      <c r="F1108" s="34">
        <v>11.44</v>
      </c>
      <c r="G1108" s="34">
        <v>12</v>
      </c>
      <c r="H1108" s="36">
        <v>240513</v>
      </c>
      <c r="I1108" s="34">
        <v>1</v>
      </c>
      <c r="J1108" s="36">
        <v>104281</v>
      </c>
      <c r="K1108" s="31">
        <v>0.68</v>
      </c>
    </row>
    <row r="1109" spans="1:11">
      <c r="A1109" s="34" t="s">
        <v>1179</v>
      </c>
      <c r="B1109" s="34" t="s">
        <v>8</v>
      </c>
      <c r="C1109" s="34" t="s">
        <v>42</v>
      </c>
      <c r="D1109" s="21">
        <f ca="1">RANDBETWEEN(DATE(2022,7,1),DATE(2022,9,30))</f>
        <v>44823</v>
      </c>
      <c r="E1109" s="35">
        <v>2112332</v>
      </c>
      <c r="F1109" s="34">
        <v>7.83</v>
      </c>
      <c r="G1109" s="34">
        <v>168</v>
      </c>
      <c r="H1109" s="36">
        <v>806284</v>
      </c>
      <c r="I1109" s="34">
        <v>0</v>
      </c>
      <c r="J1109" s="36">
        <v>0</v>
      </c>
      <c r="K1109" s="31">
        <v>0.73</v>
      </c>
    </row>
    <row r="1110" spans="1:11">
      <c r="A1110" s="34" t="s">
        <v>1180</v>
      </c>
      <c r="B1110" s="34" t="s">
        <v>6</v>
      </c>
      <c r="C1110" s="34" t="s">
        <v>37</v>
      </c>
      <c r="D1110" s="21">
        <f ca="1">RANDBETWEEN(DATE(2021,4,1),DATE(2021,6,30))</f>
        <v>44312</v>
      </c>
      <c r="E1110" s="35">
        <v>655319</v>
      </c>
      <c r="F1110" s="34">
        <v>7.72</v>
      </c>
      <c r="G1110" s="34">
        <v>21</v>
      </c>
      <c r="H1110" s="36">
        <v>297144</v>
      </c>
      <c r="I1110" s="34">
        <v>0</v>
      </c>
      <c r="J1110" s="36">
        <v>0</v>
      </c>
      <c r="K1110" s="31">
        <v>0.72</v>
      </c>
    </row>
    <row r="1111" spans="1:11">
      <c r="A1111" s="34" t="s">
        <v>1181</v>
      </c>
      <c r="B1111" s="34" t="s">
        <v>10</v>
      </c>
      <c r="C1111" s="34" t="s">
        <v>45</v>
      </c>
      <c r="D1111" s="21">
        <f ca="1">RANDBETWEEN(DATE(2023,4,1),DATE(2023,6,30))</f>
        <v>45076</v>
      </c>
      <c r="E1111" s="35">
        <v>4308450</v>
      </c>
      <c r="F1111" s="34">
        <v>10.39</v>
      </c>
      <c r="G1111" s="34">
        <v>66</v>
      </c>
      <c r="H1111" s="36">
        <v>3600068</v>
      </c>
      <c r="I1111" s="34">
        <v>1</v>
      </c>
      <c r="J1111" s="36">
        <v>1056644</v>
      </c>
      <c r="K1111" s="31">
        <v>0.73</v>
      </c>
    </row>
    <row r="1112" spans="1:11">
      <c r="A1112" s="34" t="s">
        <v>1182</v>
      </c>
      <c r="B1112" s="34" t="s">
        <v>6</v>
      </c>
      <c r="C1112" s="34" t="s">
        <v>39</v>
      </c>
      <c r="D1112" s="21">
        <f ca="1">RANDBETWEEN(DATE(2021,10,1),DATE(2021,12,31))</f>
        <v>44553</v>
      </c>
      <c r="E1112" s="35">
        <v>516640</v>
      </c>
      <c r="F1112" s="34">
        <v>7.63</v>
      </c>
      <c r="G1112" s="34">
        <v>28</v>
      </c>
      <c r="H1112" s="36">
        <v>343157</v>
      </c>
      <c r="I1112" s="34">
        <v>0</v>
      </c>
      <c r="J1112" s="36">
        <v>0</v>
      </c>
      <c r="K1112" s="31">
        <v>0.71</v>
      </c>
    </row>
    <row r="1113" spans="1:11">
      <c r="A1113" s="34" t="s">
        <v>1183</v>
      </c>
      <c r="B1113" s="34" t="s">
        <v>8</v>
      </c>
      <c r="C1113" s="34" t="s">
        <v>31</v>
      </c>
      <c r="D1113" s="21">
        <f ca="1">RANDBETWEEN(DATE(2019,10,1),DATE(2019,12,31))</f>
        <v>43808</v>
      </c>
      <c r="E1113" s="35">
        <v>8804472</v>
      </c>
      <c r="F1113" s="34">
        <v>8.38</v>
      </c>
      <c r="G1113" s="34">
        <v>107</v>
      </c>
      <c r="H1113" s="36">
        <v>5074125</v>
      </c>
      <c r="I1113" s="34">
        <v>0</v>
      </c>
      <c r="J1113" s="36">
        <v>0</v>
      </c>
      <c r="K1113" s="31">
        <v>0.7</v>
      </c>
    </row>
    <row r="1114" spans="1:11">
      <c r="A1114" s="34" t="s">
        <v>1184</v>
      </c>
      <c r="B1114" s="34" t="s">
        <v>10</v>
      </c>
      <c r="C1114" s="34" t="s">
        <v>35</v>
      </c>
      <c r="D1114" s="21">
        <f ca="1">RANDBETWEEN(DATE(2020,10,1),DATE(2020,12,31))</f>
        <v>44145</v>
      </c>
      <c r="E1114" s="35">
        <v>1351022</v>
      </c>
      <c r="F1114" s="34">
        <v>9.14</v>
      </c>
      <c r="G1114" s="34">
        <v>11</v>
      </c>
      <c r="H1114" s="36">
        <v>731674</v>
      </c>
      <c r="I1114" s="34">
        <v>0</v>
      </c>
      <c r="J1114" s="36">
        <v>0</v>
      </c>
      <c r="K1114" s="31">
        <v>0.68</v>
      </c>
    </row>
    <row r="1115" spans="1:11">
      <c r="A1115" s="34" t="s">
        <v>1185</v>
      </c>
      <c r="B1115" s="34" t="s">
        <v>6</v>
      </c>
      <c r="C1115" s="34" t="s">
        <v>40</v>
      </c>
      <c r="D1115" s="21">
        <f ca="1">RANDBETWEEN(DATE(2022,1,1),DATE(2022,3,31))</f>
        <v>44640</v>
      </c>
      <c r="E1115" s="35">
        <v>759418</v>
      </c>
      <c r="F1115" s="34">
        <v>7.5</v>
      </c>
      <c r="G1115" s="34">
        <v>31</v>
      </c>
      <c r="H1115" s="36">
        <v>398667</v>
      </c>
      <c r="I1115" s="34">
        <v>1</v>
      </c>
      <c r="J1115" s="36">
        <v>213893</v>
      </c>
      <c r="K1115" s="31">
        <v>0.71</v>
      </c>
    </row>
    <row r="1116" spans="1:11">
      <c r="A1116" s="34" t="s">
        <v>1186</v>
      </c>
      <c r="B1116" s="34" t="s">
        <v>8</v>
      </c>
      <c r="C1116" s="34" t="s">
        <v>38</v>
      </c>
      <c r="D1116" s="21">
        <f ca="1">RANDBETWEEN(DATE(2021,7,1),DATE(2021,9,30))</f>
        <v>44396</v>
      </c>
      <c r="E1116" s="35">
        <v>6402031</v>
      </c>
      <c r="F1116" s="34">
        <v>7.94</v>
      </c>
      <c r="G1116" s="34">
        <v>187</v>
      </c>
      <c r="H1116" s="36">
        <v>1815939</v>
      </c>
      <c r="I1116" s="34">
        <v>0</v>
      </c>
      <c r="J1116" s="36">
        <v>0</v>
      </c>
      <c r="K1116" s="33">
        <v>0.68</v>
      </c>
    </row>
    <row r="1117" spans="1:11">
      <c r="A1117" s="34" t="s">
        <v>1187</v>
      </c>
      <c r="B1117" s="34" t="s">
        <v>9</v>
      </c>
      <c r="C1117" s="34" t="s">
        <v>32</v>
      </c>
      <c r="D1117" s="21">
        <f ca="1">RANDBETWEEN(DATE(2020,1,1),DATE(2020,3,31))</f>
        <v>43838</v>
      </c>
      <c r="E1117" s="35">
        <v>1363666</v>
      </c>
      <c r="F1117" s="37">
        <v>10.39</v>
      </c>
      <c r="G1117" s="34">
        <v>39</v>
      </c>
      <c r="H1117" s="36">
        <v>1168144</v>
      </c>
      <c r="I1117" s="34">
        <v>0</v>
      </c>
      <c r="J1117" s="36">
        <v>0</v>
      </c>
      <c r="K1117" s="31">
        <v>0.68</v>
      </c>
    </row>
    <row r="1118" spans="1:11">
      <c r="A1118" s="34" t="s">
        <v>1188</v>
      </c>
      <c r="B1118" s="19" t="s">
        <v>7</v>
      </c>
      <c r="C1118" s="34" t="s">
        <v>41</v>
      </c>
      <c r="D1118" s="21">
        <f ca="1">RANDBETWEEN(DATE(2022,4,1),DATE(2022,6,30))</f>
        <v>44711</v>
      </c>
      <c r="E1118" s="35">
        <v>1758969</v>
      </c>
      <c r="F1118" s="34">
        <v>10.7</v>
      </c>
      <c r="G1118" s="34">
        <v>10</v>
      </c>
      <c r="H1118" s="36">
        <v>796385</v>
      </c>
      <c r="I1118" s="34">
        <v>0</v>
      </c>
      <c r="J1118" s="36">
        <v>0</v>
      </c>
      <c r="K1118" s="30">
        <v>0.727</v>
      </c>
    </row>
    <row r="1119" spans="1:11">
      <c r="A1119" s="34" t="s">
        <v>1189</v>
      </c>
      <c r="B1119" s="34" t="s">
        <v>10</v>
      </c>
      <c r="C1119" s="34" t="s">
        <v>31</v>
      </c>
      <c r="D1119" s="21">
        <f ca="1">RANDBETWEEN(DATE(2019,10,1),DATE(2019,12,31))</f>
        <v>43746</v>
      </c>
      <c r="E1119" s="35">
        <v>4127783</v>
      </c>
      <c r="F1119" s="34">
        <v>9.87</v>
      </c>
      <c r="G1119" s="34">
        <v>55</v>
      </c>
      <c r="H1119" s="36">
        <v>271883</v>
      </c>
      <c r="I1119" s="34">
        <v>1</v>
      </c>
      <c r="J1119" s="36">
        <v>83865</v>
      </c>
      <c r="K1119" s="31">
        <v>0.7</v>
      </c>
    </row>
    <row r="1120" spans="1:11">
      <c r="A1120" s="34" t="s">
        <v>1190</v>
      </c>
      <c r="B1120" s="34" t="s">
        <v>10</v>
      </c>
      <c r="C1120" s="34" t="s">
        <v>47</v>
      </c>
      <c r="D1120" s="21">
        <f ca="1">RANDBETWEEN(DATE(2023,10,1),DATE(2023,12,31))</f>
        <v>45273</v>
      </c>
      <c r="E1120" s="35">
        <v>2839455</v>
      </c>
      <c r="F1120" s="34">
        <v>11.32</v>
      </c>
      <c r="G1120" s="34">
        <v>93</v>
      </c>
      <c r="H1120" s="36">
        <v>2264906</v>
      </c>
      <c r="I1120" s="34">
        <v>0</v>
      </c>
      <c r="J1120" s="36">
        <v>0</v>
      </c>
      <c r="K1120" s="32">
        <v>0.74</v>
      </c>
    </row>
    <row r="1121" spans="1:11">
      <c r="A1121" s="34" t="s">
        <v>1191</v>
      </c>
      <c r="B1121" s="34" t="s">
        <v>9</v>
      </c>
      <c r="C1121" s="34" t="s">
        <v>38</v>
      </c>
      <c r="D1121" s="21">
        <f ca="1">RANDBETWEEN(DATE(2021,7,1),DATE(2021,9,30))</f>
        <v>44379</v>
      </c>
      <c r="E1121" s="35">
        <v>926962</v>
      </c>
      <c r="F1121" s="37">
        <v>10.59</v>
      </c>
      <c r="G1121" s="34">
        <v>22</v>
      </c>
      <c r="H1121" s="36">
        <v>678513</v>
      </c>
      <c r="I1121" s="34">
        <v>0</v>
      </c>
      <c r="J1121" s="36">
        <v>0</v>
      </c>
      <c r="K1121" s="33">
        <v>0.68</v>
      </c>
    </row>
    <row r="1122" spans="1:11">
      <c r="A1122" s="34" t="s">
        <v>1192</v>
      </c>
      <c r="B1122" s="34" t="s">
        <v>9</v>
      </c>
      <c r="C1122" s="34" t="s">
        <v>31</v>
      </c>
      <c r="D1122" s="21">
        <f ca="1">RANDBETWEEN(DATE(2019,10,1),DATE(2019,12,31))</f>
        <v>43812</v>
      </c>
      <c r="E1122" s="35">
        <v>1582885</v>
      </c>
      <c r="F1122" s="37">
        <v>11.95</v>
      </c>
      <c r="G1122" s="34">
        <v>44</v>
      </c>
      <c r="H1122" s="36">
        <v>1311515</v>
      </c>
      <c r="I1122" s="34">
        <v>1</v>
      </c>
      <c r="J1122" s="36">
        <v>700332</v>
      </c>
      <c r="K1122" s="31">
        <v>0.7</v>
      </c>
    </row>
    <row r="1123" spans="1:11">
      <c r="A1123" s="34" t="s">
        <v>1193</v>
      </c>
      <c r="B1123" s="34" t="s">
        <v>10</v>
      </c>
      <c r="C1123" s="34" t="s">
        <v>29</v>
      </c>
      <c r="D1123" s="21">
        <f ca="1">RANDBETWEEN(DATE(2019,4,1),DATE(2019,6,30))</f>
        <v>43597</v>
      </c>
      <c r="E1123" s="35">
        <v>3341789</v>
      </c>
      <c r="F1123" s="34">
        <v>10.03</v>
      </c>
      <c r="G1123" s="34">
        <v>62</v>
      </c>
      <c r="H1123" s="36">
        <v>2124557</v>
      </c>
      <c r="I1123" s="34">
        <v>0</v>
      </c>
      <c r="J1123" s="36">
        <v>0</v>
      </c>
      <c r="K1123" s="31">
        <v>0.71</v>
      </c>
    </row>
    <row r="1124" spans="1:11">
      <c r="A1124" s="34" t="s">
        <v>1194</v>
      </c>
      <c r="B1124" s="34" t="s">
        <v>9</v>
      </c>
      <c r="C1124" s="34" t="s">
        <v>34</v>
      </c>
      <c r="D1124" s="21">
        <f ca="1">RANDBETWEEN(DATE(2020,7,1),DATE(2020,9,30))</f>
        <v>44037</v>
      </c>
      <c r="E1124" s="35">
        <v>1978665</v>
      </c>
      <c r="F1124" s="37">
        <v>10.55</v>
      </c>
      <c r="G1124" s="34">
        <v>33</v>
      </c>
      <c r="H1124" s="36">
        <v>159141</v>
      </c>
      <c r="I1124" s="34">
        <v>0</v>
      </c>
      <c r="J1124" s="36">
        <v>0</v>
      </c>
      <c r="K1124" s="31">
        <v>0.68</v>
      </c>
    </row>
    <row r="1125" spans="1:11">
      <c r="A1125" s="34" t="s">
        <v>1195</v>
      </c>
      <c r="B1125" s="34" t="s">
        <v>10</v>
      </c>
      <c r="C1125" s="34" t="s">
        <v>46</v>
      </c>
      <c r="D1125" s="21">
        <f ca="1">RANDBETWEEN(DATE(2023,7,1),DATE(2023,9,30))</f>
        <v>45158</v>
      </c>
      <c r="E1125" s="35">
        <v>3794623</v>
      </c>
      <c r="F1125" s="34">
        <v>8.75</v>
      </c>
      <c r="G1125" s="34">
        <v>6</v>
      </c>
      <c r="H1125" s="36">
        <v>2390533</v>
      </c>
      <c r="I1125" s="34">
        <v>0</v>
      </c>
      <c r="J1125" s="36">
        <v>0</v>
      </c>
      <c r="K1125" s="31">
        <v>0.76</v>
      </c>
    </row>
    <row r="1126" spans="1:11">
      <c r="A1126" s="34" t="s">
        <v>1196</v>
      </c>
      <c r="B1126" s="34" t="s">
        <v>8</v>
      </c>
      <c r="C1126" s="34" t="s">
        <v>30</v>
      </c>
      <c r="D1126" s="21">
        <f ca="1">RANDBETWEEN(DATE(2019,7,1),DATE(2019,9,30))</f>
        <v>43701</v>
      </c>
      <c r="E1126" s="35">
        <v>9593379</v>
      </c>
      <c r="F1126" s="34">
        <v>8.46</v>
      </c>
      <c r="G1126" s="34">
        <v>298</v>
      </c>
      <c r="H1126" s="36">
        <v>2678465</v>
      </c>
      <c r="I1126" s="34">
        <v>0</v>
      </c>
      <c r="J1126" s="36">
        <v>0</v>
      </c>
      <c r="K1126" s="31">
        <v>0.71</v>
      </c>
    </row>
    <row r="1127" spans="1:11">
      <c r="A1127" s="34" t="s">
        <v>1197</v>
      </c>
      <c r="B1127" s="34" t="s">
        <v>6</v>
      </c>
      <c r="C1127" s="34" t="s">
        <v>30</v>
      </c>
      <c r="D1127" s="21">
        <f ca="1">RANDBETWEEN(DATE(2019,7,1),DATE(2019,9,30))</f>
        <v>43656</v>
      </c>
      <c r="E1127" s="35">
        <v>541163</v>
      </c>
      <c r="F1127" s="34">
        <v>7.8</v>
      </c>
      <c r="G1127" s="34">
        <v>12</v>
      </c>
      <c r="H1127" s="36">
        <v>377299</v>
      </c>
      <c r="I1127" s="34">
        <v>0</v>
      </c>
      <c r="J1127" s="36">
        <v>0</v>
      </c>
      <c r="K1127" s="31">
        <v>0.71</v>
      </c>
    </row>
    <row r="1128" spans="1:11">
      <c r="A1128" s="34" t="s">
        <v>1198</v>
      </c>
      <c r="B1128" s="34" t="s">
        <v>10</v>
      </c>
      <c r="C1128" s="34" t="s">
        <v>44</v>
      </c>
      <c r="D1128" s="21">
        <f ca="1">RANDBETWEEN(DATE(2023,1,1),DATE(2023,3,31))</f>
        <v>44974</v>
      </c>
      <c r="E1128" s="35">
        <v>2577450</v>
      </c>
      <c r="F1128" s="34">
        <v>8.76</v>
      </c>
      <c r="G1128" s="34">
        <v>11</v>
      </c>
      <c r="H1128" s="36">
        <v>981248</v>
      </c>
      <c r="I1128" s="34">
        <v>0</v>
      </c>
      <c r="J1128" s="36">
        <v>0</v>
      </c>
      <c r="K1128" s="31">
        <v>0.73</v>
      </c>
    </row>
    <row r="1129" spans="1:11">
      <c r="A1129" s="34" t="s">
        <v>1199</v>
      </c>
      <c r="B1129" s="34" t="s">
        <v>9</v>
      </c>
      <c r="C1129" s="34" t="s">
        <v>45</v>
      </c>
      <c r="D1129" s="21">
        <f ca="1">RANDBETWEEN(DATE(2023,4,1),DATE(2023,6,30))</f>
        <v>45070</v>
      </c>
      <c r="E1129" s="35">
        <v>1357262</v>
      </c>
      <c r="F1129" s="37">
        <v>10.84</v>
      </c>
      <c r="G1129" s="34">
        <v>50</v>
      </c>
      <c r="H1129" s="36">
        <v>1264143</v>
      </c>
      <c r="I1129" s="34">
        <v>0</v>
      </c>
      <c r="J1129" s="36">
        <v>0</v>
      </c>
      <c r="K1129" s="31">
        <v>0.73</v>
      </c>
    </row>
    <row r="1130" spans="1:11">
      <c r="A1130" s="34" t="s">
        <v>1200</v>
      </c>
      <c r="B1130" s="19" t="s">
        <v>7</v>
      </c>
      <c r="C1130" s="34" t="s">
        <v>44</v>
      </c>
      <c r="D1130" s="21">
        <f ca="1">RANDBETWEEN(DATE(2023,1,1),DATE(2023,3,31))</f>
        <v>44966</v>
      </c>
      <c r="E1130" s="35">
        <v>1740349</v>
      </c>
      <c r="F1130" s="34">
        <v>11.55</v>
      </c>
      <c r="G1130" s="34">
        <v>23</v>
      </c>
      <c r="H1130" s="36">
        <v>1383614</v>
      </c>
      <c r="I1130" s="34">
        <v>0</v>
      </c>
      <c r="J1130" s="36">
        <v>0</v>
      </c>
      <c r="K1130" s="31">
        <v>0.73</v>
      </c>
    </row>
    <row r="1131" spans="1:11">
      <c r="A1131" s="34" t="s">
        <v>1201</v>
      </c>
      <c r="B1131" s="34" t="s">
        <v>9</v>
      </c>
      <c r="C1131" s="34" t="s">
        <v>36</v>
      </c>
      <c r="D1131" s="21">
        <f ca="1">RANDBETWEEN(DATE(2021,1,1),DATE(2021,3,31))</f>
        <v>44206</v>
      </c>
      <c r="E1131" s="35">
        <v>1045778</v>
      </c>
      <c r="F1131" s="37">
        <v>10.86</v>
      </c>
      <c r="G1131" s="34">
        <v>38</v>
      </c>
      <c r="H1131" s="36">
        <v>930077</v>
      </c>
      <c r="I1131" s="34">
        <v>0</v>
      </c>
      <c r="J1131" s="36">
        <v>0</v>
      </c>
      <c r="K1131" s="30">
        <v>0.744</v>
      </c>
    </row>
    <row r="1132" spans="1:11">
      <c r="A1132" s="34" t="s">
        <v>1202</v>
      </c>
      <c r="B1132" s="34" t="s">
        <v>6</v>
      </c>
      <c r="C1132" s="34" t="s">
        <v>44</v>
      </c>
      <c r="D1132" s="21">
        <f ca="1">RANDBETWEEN(DATE(2023,1,1),DATE(2023,3,31))</f>
        <v>45016</v>
      </c>
      <c r="E1132" s="35">
        <v>853067</v>
      </c>
      <c r="F1132" s="34">
        <v>7.17</v>
      </c>
      <c r="G1132" s="34">
        <v>7</v>
      </c>
      <c r="H1132" s="36">
        <v>90259</v>
      </c>
      <c r="I1132" s="34">
        <v>0</v>
      </c>
      <c r="J1132" s="36">
        <v>0</v>
      </c>
      <c r="K1132" s="31">
        <v>0.73</v>
      </c>
    </row>
    <row r="1133" spans="1:11">
      <c r="A1133" s="34" t="s">
        <v>1203</v>
      </c>
      <c r="B1133" s="34" t="s">
        <v>8</v>
      </c>
      <c r="C1133" s="34" t="s">
        <v>29</v>
      </c>
      <c r="D1133" s="21">
        <f ca="1">RANDBETWEEN(DATE(2019,4,1),DATE(2019,6,30))</f>
        <v>43579</v>
      </c>
      <c r="E1133" s="35">
        <v>6785943</v>
      </c>
      <c r="F1133" s="34">
        <v>7.68</v>
      </c>
      <c r="G1133" s="34">
        <v>237</v>
      </c>
      <c r="H1133" s="36">
        <v>4696228</v>
      </c>
      <c r="I1133" s="34">
        <v>0</v>
      </c>
      <c r="J1133" s="36">
        <v>0</v>
      </c>
      <c r="K1133" s="31">
        <v>0.71</v>
      </c>
    </row>
    <row r="1134" spans="1:11">
      <c r="A1134" s="34" t="s">
        <v>1204</v>
      </c>
      <c r="B1134" s="34" t="s">
        <v>10</v>
      </c>
      <c r="C1134" s="34" t="s">
        <v>30</v>
      </c>
      <c r="D1134" s="21">
        <f ca="1">RANDBETWEEN(DATE(2019,7,1),DATE(2019,9,30))</f>
        <v>43695</v>
      </c>
      <c r="E1134" s="35">
        <v>3739575</v>
      </c>
      <c r="F1134" s="34">
        <v>9.67</v>
      </c>
      <c r="G1134" s="34">
        <v>52</v>
      </c>
      <c r="H1134" s="36">
        <v>2058092</v>
      </c>
      <c r="I1134" s="34">
        <v>0</v>
      </c>
      <c r="J1134" s="36">
        <v>0</v>
      </c>
      <c r="K1134" s="31">
        <v>0.71</v>
      </c>
    </row>
    <row r="1135" spans="1:11">
      <c r="A1135" s="34" t="s">
        <v>1205</v>
      </c>
      <c r="B1135" s="34" t="s">
        <v>6</v>
      </c>
      <c r="C1135" s="34" t="s">
        <v>45</v>
      </c>
      <c r="D1135" s="21">
        <f ca="1">RANDBETWEEN(DATE(2023,4,1),DATE(2023,6,30))</f>
        <v>45029</v>
      </c>
      <c r="E1135" s="35">
        <v>224914</v>
      </c>
      <c r="F1135" s="34">
        <v>7.21</v>
      </c>
      <c r="G1135" s="34">
        <v>11</v>
      </c>
      <c r="H1135" s="36">
        <v>82700</v>
      </c>
      <c r="I1135" s="34">
        <v>0</v>
      </c>
      <c r="J1135" s="36">
        <v>0</v>
      </c>
      <c r="K1135" s="31">
        <v>0.73</v>
      </c>
    </row>
    <row r="1136" spans="1:11">
      <c r="A1136" s="34" t="s">
        <v>1206</v>
      </c>
      <c r="B1136" s="34" t="s">
        <v>9</v>
      </c>
      <c r="C1136" s="34" t="s">
        <v>34</v>
      </c>
      <c r="D1136" s="21">
        <f ca="1">RANDBETWEEN(DATE(2020,7,1),DATE(2020,9,30))</f>
        <v>44087</v>
      </c>
      <c r="E1136" s="35">
        <v>887487</v>
      </c>
      <c r="F1136" s="37">
        <v>10.1</v>
      </c>
      <c r="G1136" s="34">
        <v>24</v>
      </c>
      <c r="H1136" s="36">
        <v>872024</v>
      </c>
      <c r="I1136" s="34">
        <v>0</v>
      </c>
      <c r="J1136" s="36">
        <v>0</v>
      </c>
      <c r="K1136" s="31">
        <v>0.68</v>
      </c>
    </row>
    <row r="1137" spans="1:11">
      <c r="A1137" s="34" t="s">
        <v>1207</v>
      </c>
      <c r="B1137" s="34" t="s">
        <v>9</v>
      </c>
      <c r="C1137" s="34" t="s">
        <v>37</v>
      </c>
      <c r="D1137" s="21">
        <f ca="1">RANDBETWEEN(DATE(2021,4,1),DATE(2021,6,30))</f>
        <v>44339</v>
      </c>
      <c r="E1137" s="35">
        <v>545899</v>
      </c>
      <c r="F1137" s="37">
        <v>9.12</v>
      </c>
      <c r="G1137" s="34">
        <v>7</v>
      </c>
      <c r="H1137" s="36">
        <v>91602</v>
      </c>
      <c r="I1137" s="34">
        <v>1</v>
      </c>
      <c r="J1137" s="36">
        <v>35740</v>
      </c>
      <c r="K1137" s="31">
        <v>0.72</v>
      </c>
    </row>
    <row r="1138" spans="1:11">
      <c r="A1138" s="34" t="s">
        <v>1208</v>
      </c>
      <c r="B1138" s="34" t="s">
        <v>10</v>
      </c>
      <c r="C1138" s="34" t="s">
        <v>32</v>
      </c>
      <c r="D1138" s="21">
        <f ca="1">RANDBETWEEN(DATE(2020,1,1),DATE(2020,3,31))</f>
        <v>43844</v>
      </c>
      <c r="E1138" s="35">
        <v>723126</v>
      </c>
      <c r="F1138" s="34">
        <v>9.43</v>
      </c>
      <c r="G1138" s="34">
        <v>8</v>
      </c>
      <c r="H1138" s="36">
        <v>602666</v>
      </c>
      <c r="I1138" s="34">
        <v>1</v>
      </c>
      <c r="J1138" s="36">
        <v>466767</v>
      </c>
      <c r="K1138" s="31">
        <v>0.68</v>
      </c>
    </row>
    <row r="1139" spans="1:11">
      <c r="A1139" s="34" t="s">
        <v>1209</v>
      </c>
      <c r="B1139" s="19" t="s">
        <v>7</v>
      </c>
      <c r="C1139" s="34" t="s">
        <v>43</v>
      </c>
      <c r="D1139" s="21">
        <f ca="1">RANDBETWEEN(DATE(2022,10,1),DATE(2022,12,31))</f>
        <v>44909</v>
      </c>
      <c r="E1139" s="35">
        <v>1744190</v>
      </c>
      <c r="F1139" s="34">
        <v>11.34</v>
      </c>
      <c r="G1139" s="34">
        <v>11</v>
      </c>
      <c r="H1139" s="36">
        <v>1236608</v>
      </c>
      <c r="I1139" s="34">
        <v>0</v>
      </c>
      <c r="J1139" s="36">
        <v>0</v>
      </c>
      <c r="K1139" s="31">
        <v>0.71</v>
      </c>
    </row>
    <row r="1140" spans="1:11">
      <c r="A1140" s="34" t="s">
        <v>1210</v>
      </c>
      <c r="B1140" s="34" t="s">
        <v>6</v>
      </c>
      <c r="C1140" s="34" t="s">
        <v>47</v>
      </c>
      <c r="D1140" s="21">
        <f ca="1">RANDBETWEEN(DATE(2023,10,1),DATE(2023,12,31))</f>
        <v>45269</v>
      </c>
      <c r="E1140" s="35">
        <v>808408</v>
      </c>
      <c r="F1140" s="34">
        <v>8.07</v>
      </c>
      <c r="G1140" s="34">
        <v>26</v>
      </c>
      <c r="H1140" s="36">
        <v>485788</v>
      </c>
      <c r="I1140" s="34">
        <v>0</v>
      </c>
      <c r="J1140" s="36">
        <v>0</v>
      </c>
      <c r="K1140" s="32">
        <v>0.74</v>
      </c>
    </row>
    <row r="1141" spans="1:11">
      <c r="A1141" s="34" t="s">
        <v>1211</v>
      </c>
      <c r="B1141" s="19" t="s">
        <v>7</v>
      </c>
      <c r="C1141" s="34" t="s">
        <v>30</v>
      </c>
      <c r="D1141" s="21">
        <f ca="1">RANDBETWEEN(DATE(2019,7,1),DATE(2019,9,30))</f>
        <v>43685</v>
      </c>
      <c r="E1141" s="35">
        <v>1294205</v>
      </c>
      <c r="F1141" s="34">
        <v>10.96</v>
      </c>
      <c r="G1141" s="34">
        <v>8</v>
      </c>
      <c r="H1141" s="36">
        <v>451997</v>
      </c>
      <c r="I1141" s="34">
        <v>0</v>
      </c>
      <c r="J1141" s="36">
        <v>0</v>
      </c>
      <c r="K1141" s="31">
        <v>0.71</v>
      </c>
    </row>
    <row r="1142" spans="1:11">
      <c r="A1142" s="34" t="s">
        <v>1212</v>
      </c>
      <c r="B1142" s="34" t="s">
        <v>8</v>
      </c>
      <c r="C1142" s="34" t="s">
        <v>37</v>
      </c>
      <c r="D1142" s="21">
        <f ca="1">RANDBETWEEN(DATE(2021,4,1),DATE(2021,6,30))</f>
        <v>44374</v>
      </c>
      <c r="E1142" s="35">
        <v>1626071</v>
      </c>
      <c r="F1142" s="34">
        <v>7.99</v>
      </c>
      <c r="G1142" s="34">
        <v>104</v>
      </c>
      <c r="H1142" s="36">
        <v>305666</v>
      </c>
      <c r="I1142" s="34">
        <v>0</v>
      </c>
      <c r="J1142" s="36">
        <v>0</v>
      </c>
      <c r="K1142" s="31">
        <v>0.72</v>
      </c>
    </row>
    <row r="1143" spans="1:11">
      <c r="A1143" s="34" t="s">
        <v>1213</v>
      </c>
      <c r="B1143" s="19" t="s">
        <v>7</v>
      </c>
      <c r="C1143" s="34" t="s">
        <v>46</v>
      </c>
      <c r="D1143" s="21">
        <f ca="1">RANDBETWEEN(DATE(2023,7,1),DATE(2023,9,30))</f>
        <v>45166</v>
      </c>
      <c r="E1143" s="35">
        <v>1857835</v>
      </c>
      <c r="F1143" s="34">
        <v>12.33</v>
      </c>
      <c r="G1143" s="34">
        <v>27</v>
      </c>
      <c r="H1143" s="36">
        <v>676373</v>
      </c>
      <c r="I1143" s="34">
        <v>0</v>
      </c>
      <c r="J1143" s="36">
        <v>0</v>
      </c>
      <c r="K1143" s="31">
        <v>0.76</v>
      </c>
    </row>
    <row r="1144" spans="1:11">
      <c r="A1144" s="34" t="s">
        <v>1214</v>
      </c>
      <c r="B1144" s="34" t="s">
        <v>9</v>
      </c>
      <c r="C1144" s="34" t="s">
        <v>35</v>
      </c>
      <c r="D1144" s="21">
        <f ca="1">RANDBETWEEN(DATE(2020,10,1),DATE(2020,12,31))</f>
        <v>44190</v>
      </c>
      <c r="E1144" s="35">
        <v>172342</v>
      </c>
      <c r="F1144" s="37">
        <v>11.71</v>
      </c>
      <c r="G1144" s="34">
        <v>35</v>
      </c>
      <c r="H1144" s="36">
        <v>63552</v>
      </c>
      <c r="I1144" s="34">
        <v>0</v>
      </c>
      <c r="J1144" s="36">
        <v>0</v>
      </c>
      <c r="K1144" s="31">
        <v>0.68</v>
      </c>
    </row>
    <row r="1145" spans="1:11">
      <c r="A1145" s="34" t="s">
        <v>1215</v>
      </c>
      <c r="B1145" s="34" t="s">
        <v>6</v>
      </c>
      <c r="C1145" s="34" t="s">
        <v>45</v>
      </c>
      <c r="D1145" s="21">
        <f ca="1">RANDBETWEEN(DATE(2023,4,1),DATE(2023,6,30))</f>
        <v>45098</v>
      </c>
      <c r="E1145" s="35">
        <v>359544</v>
      </c>
      <c r="F1145" s="34">
        <v>7.15</v>
      </c>
      <c r="G1145" s="34">
        <v>11</v>
      </c>
      <c r="H1145" s="36">
        <v>289800</v>
      </c>
      <c r="I1145" s="34">
        <v>1</v>
      </c>
      <c r="J1145" s="36">
        <v>229803</v>
      </c>
      <c r="K1145" s="31">
        <v>0.73</v>
      </c>
    </row>
    <row r="1146" spans="1:11">
      <c r="A1146" s="34" t="s">
        <v>1216</v>
      </c>
      <c r="B1146" s="34" t="s">
        <v>10</v>
      </c>
      <c r="C1146" s="34" t="s">
        <v>37</v>
      </c>
      <c r="D1146" s="21">
        <f ca="1">RANDBETWEEN(DATE(2021,4,1),DATE(2021,6,30))</f>
        <v>44314</v>
      </c>
      <c r="E1146" s="35">
        <v>1714949</v>
      </c>
      <c r="F1146" s="34">
        <v>10.48</v>
      </c>
      <c r="G1146" s="34">
        <v>52</v>
      </c>
      <c r="H1146" s="36">
        <v>588909</v>
      </c>
      <c r="I1146" s="34">
        <v>1</v>
      </c>
      <c r="J1146" s="36">
        <v>335824</v>
      </c>
      <c r="K1146" s="31">
        <v>0.72</v>
      </c>
    </row>
    <row r="1147" spans="1:11">
      <c r="A1147" s="34" t="s">
        <v>1217</v>
      </c>
      <c r="B1147" s="34" t="s">
        <v>6</v>
      </c>
      <c r="C1147" s="34" t="s">
        <v>47</v>
      </c>
      <c r="D1147" s="21">
        <f ca="1">RANDBETWEEN(DATE(2023,10,1),DATE(2023,12,31))</f>
        <v>45220</v>
      </c>
      <c r="E1147" s="35">
        <v>690492</v>
      </c>
      <c r="F1147" s="34">
        <v>7.65</v>
      </c>
      <c r="G1147" s="34">
        <v>42</v>
      </c>
      <c r="H1147" s="36">
        <v>49408</v>
      </c>
      <c r="I1147" s="34">
        <v>0</v>
      </c>
      <c r="J1147" s="36">
        <v>0</v>
      </c>
      <c r="K1147" s="32">
        <v>0.74</v>
      </c>
    </row>
    <row r="1148" spans="1:11">
      <c r="A1148" s="34" t="s">
        <v>1218</v>
      </c>
      <c r="B1148" s="19" t="s">
        <v>7</v>
      </c>
      <c r="C1148" s="34" t="s">
        <v>38</v>
      </c>
      <c r="D1148" s="21">
        <f ca="1">RANDBETWEEN(DATE(2021,7,1),DATE(2021,9,30))</f>
        <v>44436</v>
      </c>
      <c r="E1148" s="35">
        <v>1751616</v>
      </c>
      <c r="F1148" s="34">
        <v>11.78</v>
      </c>
      <c r="G1148" s="34">
        <v>52</v>
      </c>
      <c r="H1148" s="36">
        <v>597904</v>
      </c>
      <c r="I1148" s="34">
        <v>0</v>
      </c>
      <c r="J1148" s="36">
        <v>0</v>
      </c>
      <c r="K1148" s="33">
        <v>0.68</v>
      </c>
    </row>
    <row r="1149" spans="1:11">
      <c r="A1149" s="34" t="s">
        <v>1219</v>
      </c>
      <c r="B1149" s="34" t="s">
        <v>9</v>
      </c>
      <c r="C1149" s="34" t="s">
        <v>44</v>
      </c>
      <c r="D1149" s="21">
        <f ca="1">RANDBETWEEN(DATE(2023,1,1),DATE(2023,3,31))</f>
        <v>44973</v>
      </c>
      <c r="E1149" s="35">
        <v>439431</v>
      </c>
      <c r="F1149" s="37">
        <v>10.72</v>
      </c>
      <c r="G1149" s="34">
        <v>14</v>
      </c>
      <c r="H1149" s="36">
        <v>146318</v>
      </c>
      <c r="I1149" s="34">
        <v>0</v>
      </c>
      <c r="J1149" s="36">
        <v>0</v>
      </c>
      <c r="K1149" s="31">
        <v>0.73</v>
      </c>
    </row>
    <row r="1150" spans="1:11">
      <c r="A1150" s="34" t="s">
        <v>1220</v>
      </c>
      <c r="B1150" s="34" t="s">
        <v>10</v>
      </c>
      <c r="C1150" s="34" t="s">
        <v>34</v>
      </c>
      <c r="D1150" s="21">
        <f ca="1">RANDBETWEEN(DATE(2020,7,1),DATE(2020,9,30))</f>
        <v>44058</v>
      </c>
      <c r="E1150" s="35">
        <v>710793</v>
      </c>
      <c r="F1150" s="34">
        <v>9.18</v>
      </c>
      <c r="G1150" s="34">
        <v>9</v>
      </c>
      <c r="H1150" s="36">
        <v>496487</v>
      </c>
      <c r="I1150" s="34">
        <v>1</v>
      </c>
      <c r="J1150" s="36">
        <v>62857</v>
      </c>
      <c r="K1150" s="31">
        <v>0.68</v>
      </c>
    </row>
    <row r="1151" spans="1:11">
      <c r="A1151" s="34" t="s">
        <v>1221</v>
      </c>
      <c r="B1151" s="34" t="s">
        <v>8</v>
      </c>
      <c r="C1151" s="34" t="s">
        <v>46</v>
      </c>
      <c r="D1151" s="21">
        <f ca="1">RANDBETWEEN(DATE(2023,7,1),DATE(2023,9,30))</f>
        <v>45169</v>
      </c>
      <c r="E1151" s="35">
        <v>7701201</v>
      </c>
      <c r="F1151" s="34">
        <v>7.87</v>
      </c>
      <c r="G1151" s="34">
        <v>80</v>
      </c>
      <c r="H1151" s="36">
        <v>955895</v>
      </c>
      <c r="I1151" s="34">
        <v>0</v>
      </c>
      <c r="J1151" s="36">
        <v>0</v>
      </c>
      <c r="K1151" s="31">
        <v>0.76</v>
      </c>
    </row>
    <row r="1152" spans="1:11">
      <c r="A1152" s="34" t="s">
        <v>1222</v>
      </c>
      <c r="B1152" s="34" t="s">
        <v>9</v>
      </c>
      <c r="C1152" s="34" t="s">
        <v>47</v>
      </c>
      <c r="D1152" s="21">
        <f ca="1">RANDBETWEEN(DATE(2023,10,1),DATE(2023,12,31))</f>
        <v>45220</v>
      </c>
      <c r="E1152" s="35">
        <v>1939000</v>
      </c>
      <c r="F1152" s="37">
        <v>10.45</v>
      </c>
      <c r="G1152" s="34">
        <v>24</v>
      </c>
      <c r="H1152" s="36">
        <v>187426</v>
      </c>
      <c r="I1152" s="34">
        <v>0</v>
      </c>
      <c r="J1152" s="36">
        <v>0</v>
      </c>
      <c r="K1152" s="32">
        <v>0.74</v>
      </c>
    </row>
    <row r="1153" spans="1:11">
      <c r="A1153" s="34" t="s">
        <v>1223</v>
      </c>
      <c r="B1153" s="19" t="s">
        <v>7</v>
      </c>
      <c r="C1153" s="34" t="s">
        <v>30</v>
      </c>
      <c r="D1153" s="21">
        <f ca="1">RANDBETWEEN(DATE(2019,7,1),DATE(2019,9,30))</f>
        <v>43711</v>
      </c>
      <c r="E1153" s="35">
        <v>1448608</v>
      </c>
      <c r="F1153" s="34">
        <v>10.56</v>
      </c>
      <c r="G1153" s="34">
        <v>10</v>
      </c>
      <c r="H1153" s="36">
        <v>1153884</v>
      </c>
      <c r="I1153" s="34">
        <v>0</v>
      </c>
      <c r="J1153" s="36">
        <v>0</v>
      </c>
      <c r="K1153" s="31">
        <v>0.71</v>
      </c>
    </row>
    <row r="1154" spans="1:11">
      <c r="A1154" s="34" t="s">
        <v>1224</v>
      </c>
      <c r="B1154" s="34" t="s">
        <v>8</v>
      </c>
      <c r="C1154" s="34" t="s">
        <v>44</v>
      </c>
      <c r="D1154" s="21">
        <f ca="1">RANDBETWEEN(DATE(2023,1,1),DATE(2023,3,31))</f>
        <v>44956</v>
      </c>
      <c r="E1154" s="35">
        <v>1157305</v>
      </c>
      <c r="F1154" s="34">
        <v>7.87</v>
      </c>
      <c r="G1154" s="34">
        <v>233</v>
      </c>
      <c r="H1154" s="36">
        <v>720712</v>
      </c>
      <c r="I1154" s="34">
        <v>0</v>
      </c>
      <c r="J1154" s="36">
        <v>0</v>
      </c>
      <c r="K1154" s="31">
        <v>0.73</v>
      </c>
    </row>
    <row r="1155" spans="1:11">
      <c r="A1155" s="34" t="s">
        <v>1225</v>
      </c>
      <c r="B1155" s="34" t="s">
        <v>6</v>
      </c>
      <c r="C1155" s="34" t="s">
        <v>45</v>
      </c>
      <c r="D1155" s="21">
        <f ca="1">RANDBETWEEN(DATE(2023,4,1),DATE(2023,6,30))</f>
        <v>45085</v>
      </c>
      <c r="E1155" s="35">
        <v>737678</v>
      </c>
      <c r="F1155" s="34">
        <v>7.62</v>
      </c>
      <c r="G1155" s="34">
        <v>10</v>
      </c>
      <c r="H1155" s="36">
        <v>320519</v>
      </c>
      <c r="I1155" s="34">
        <v>1</v>
      </c>
      <c r="J1155" s="36">
        <v>91995</v>
      </c>
      <c r="K1155" s="31">
        <v>0.73</v>
      </c>
    </row>
    <row r="1156" spans="1:11">
      <c r="A1156" s="34" t="s">
        <v>1226</v>
      </c>
      <c r="B1156" s="34" t="s">
        <v>10</v>
      </c>
      <c r="C1156" s="34" t="s">
        <v>47</v>
      </c>
      <c r="D1156" s="21">
        <f ca="1">RANDBETWEEN(DATE(2023,10,1),DATE(2023,12,31))</f>
        <v>45238</v>
      </c>
      <c r="E1156" s="35">
        <v>3080296</v>
      </c>
      <c r="F1156" s="34">
        <v>9.75</v>
      </c>
      <c r="G1156" s="34">
        <v>60</v>
      </c>
      <c r="H1156" s="36">
        <v>3066627</v>
      </c>
      <c r="I1156" s="34">
        <v>0</v>
      </c>
      <c r="J1156" s="36">
        <v>0</v>
      </c>
      <c r="K1156" s="32">
        <v>0.74</v>
      </c>
    </row>
    <row r="1157" spans="1:11">
      <c r="A1157" s="34" t="s">
        <v>1227</v>
      </c>
      <c r="B1157" s="34" t="s">
        <v>8</v>
      </c>
      <c r="C1157" s="34" t="s">
        <v>30</v>
      </c>
      <c r="D1157" s="21">
        <f ca="1">RANDBETWEEN(DATE(2019,7,1),DATE(2019,9,30))</f>
        <v>43652</v>
      </c>
      <c r="E1157" s="35">
        <v>7427357</v>
      </c>
      <c r="F1157" s="34">
        <v>8.41</v>
      </c>
      <c r="G1157" s="34">
        <v>86</v>
      </c>
      <c r="H1157" s="36">
        <v>1907959</v>
      </c>
      <c r="I1157" s="34">
        <v>0</v>
      </c>
      <c r="J1157" s="36">
        <v>0</v>
      </c>
      <c r="K1157" s="31">
        <v>0.71</v>
      </c>
    </row>
    <row r="1158" spans="1:11">
      <c r="A1158" s="34" t="s">
        <v>1228</v>
      </c>
      <c r="B1158" s="34" t="s">
        <v>6</v>
      </c>
      <c r="C1158" s="34" t="s">
        <v>43</v>
      </c>
      <c r="D1158" s="21">
        <f ca="1">RANDBETWEEN(DATE(2022,10,1),DATE(2022,12,31))</f>
        <v>44915</v>
      </c>
      <c r="E1158" s="35">
        <v>882733</v>
      </c>
      <c r="F1158" s="34">
        <v>7.61</v>
      </c>
      <c r="G1158" s="34">
        <v>7</v>
      </c>
      <c r="H1158" s="36">
        <v>882262</v>
      </c>
      <c r="I1158" s="34">
        <v>0</v>
      </c>
      <c r="J1158" s="36">
        <v>0</v>
      </c>
      <c r="K1158" s="31">
        <v>0.71</v>
      </c>
    </row>
    <row r="1159" spans="1:11">
      <c r="A1159" s="34" t="s">
        <v>1229</v>
      </c>
      <c r="B1159" s="34" t="s">
        <v>9</v>
      </c>
      <c r="C1159" s="34" t="s">
        <v>42</v>
      </c>
      <c r="D1159" s="21">
        <f ca="1">RANDBETWEEN(DATE(2022,7,1),DATE(2022,9,30))</f>
        <v>44788</v>
      </c>
      <c r="E1159" s="35">
        <v>1851696</v>
      </c>
      <c r="F1159" s="37">
        <v>10.73</v>
      </c>
      <c r="G1159" s="34">
        <v>43</v>
      </c>
      <c r="H1159" s="36">
        <v>1416949</v>
      </c>
      <c r="I1159" s="34">
        <v>0</v>
      </c>
      <c r="J1159" s="36">
        <v>0</v>
      </c>
      <c r="K1159" s="31">
        <v>0.73</v>
      </c>
    </row>
    <row r="1160" spans="1:11">
      <c r="A1160" s="34" t="s">
        <v>1230</v>
      </c>
      <c r="B1160" s="34" t="s">
        <v>6</v>
      </c>
      <c r="C1160" s="34" t="s">
        <v>35</v>
      </c>
      <c r="D1160" s="21">
        <f ca="1">RANDBETWEEN(DATE(2020,10,1),DATE(2020,12,31))</f>
        <v>44141</v>
      </c>
      <c r="E1160" s="35">
        <v>972191</v>
      </c>
      <c r="F1160" s="34">
        <v>7.88</v>
      </c>
      <c r="G1160" s="34">
        <v>12</v>
      </c>
      <c r="H1160" s="36">
        <v>640363</v>
      </c>
      <c r="I1160" s="34">
        <v>0</v>
      </c>
      <c r="J1160" s="36">
        <v>0</v>
      </c>
      <c r="K1160" s="31">
        <v>0.68</v>
      </c>
    </row>
    <row r="1161" spans="1:11">
      <c r="A1161" s="34" t="s">
        <v>1231</v>
      </c>
      <c r="B1161" s="34" t="s">
        <v>10</v>
      </c>
      <c r="C1161" s="34" t="s">
        <v>41</v>
      </c>
      <c r="D1161" s="21">
        <f ca="1">RANDBETWEEN(DATE(2022,4,1),DATE(2022,6,30))</f>
        <v>44661</v>
      </c>
      <c r="E1161" s="35">
        <v>3073320</v>
      </c>
      <c r="F1161" s="34">
        <v>11.12</v>
      </c>
      <c r="G1161" s="34">
        <v>116</v>
      </c>
      <c r="H1161" s="36">
        <v>2860323</v>
      </c>
      <c r="I1161" s="34">
        <v>0</v>
      </c>
      <c r="J1161" s="36">
        <v>0</v>
      </c>
      <c r="K1161" s="30">
        <v>0.727</v>
      </c>
    </row>
    <row r="1162" spans="1:11">
      <c r="A1162" s="34" t="s">
        <v>1232</v>
      </c>
      <c r="B1162" s="34" t="s">
        <v>10</v>
      </c>
      <c r="C1162" s="34" t="s">
        <v>30</v>
      </c>
      <c r="D1162" s="21">
        <f ca="1">RANDBETWEEN(DATE(2019,7,1),DATE(2019,9,30))</f>
        <v>43700</v>
      </c>
      <c r="E1162" s="35">
        <v>4662687</v>
      </c>
      <c r="F1162" s="34">
        <v>10.26</v>
      </c>
      <c r="G1162" s="34">
        <v>43</v>
      </c>
      <c r="H1162" s="36">
        <v>1779088</v>
      </c>
      <c r="I1162" s="34">
        <v>1</v>
      </c>
      <c r="J1162" s="36">
        <v>794552</v>
      </c>
      <c r="K1162" s="31">
        <v>0.71</v>
      </c>
    </row>
    <row r="1163" spans="1:11">
      <c r="A1163" s="34" t="s">
        <v>1233</v>
      </c>
      <c r="B1163" s="34" t="s">
        <v>10</v>
      </c>
      <c r="C1163" s="34" t="s">
        <v>35</v>
      </c>
      <c r="D1163" s="21">
        <f ca="1">RANDBETWEEN(DATE(2020,10,1),DATE(2020,12,31))</f>
        <v>44141</v>
      </c>
      <c r="E1163" s="35">
        <v>999427</v>
      </c>
      <c r="F1163" s="34">
        <v>10.39</v>
      </c>
      <c r="G1163" s="34">
        <v>89</v>
      </c>
      <c r="H1163" s="36">
        <v>957535</v>
      </c>
      <c r="I1163" s="34">
        <v>1</v>
      </c>
      <c r="J1163" s="36">
        <v>667149</v>
      </c>
      <c r="K1163" s="31">
        <v>0.68</v>
      </c>
    </row>
    <row r="1164" spans="1:11">
      <c r="A1164" s="34" t="s">
        <v>1234</v>
      </c>
      <c r="B1164" s="19" t="s">
        <v>7</v>
      </c>
      <c r="C1164" s="34" t="s">
        <v>30</v>
      </c>
      <c r="D1164" s="21">
        <f ca="1">RANDBETWEEN(DATE(2019,7,1),DATE(2019,9,30))</f>
        <v>43673</v>
      </c>
      <c r="E1164" s="35">
        <v>1382998</v>
      </c>
      <c r="F1164" s="34">
        <v>11.82</v>
      </c>
      <c r="G1164" s="34">
        <v>49</v>
      </c>
      <c r="H1164" s="36">
        <v>1026369</v>
      </c>
      <c r="I1164" s="34">
        <v>0</v>
      </c>
      <c r="J1164" s="36">
        <v>0</v>
      </c>
      <c r="K1164" s="31">
        <v>0.71</v>
      </c>
    </row>
    <row r="1165" spans="1:11">
      <c r="A1165" s="34" t="s">
        <v>1235</v>
      </c>
      <c r="B1165" s="34" t="s">
        <v>8</v>
      </c>
      <c r="C1165" s="34" t="s">
        <v>29</v>
      </c>
      <c r="D1165" s="21">
        <f ca="1">RANDBETWEEN(DATE(2019,4,1),DATE(2019,6,30))</f>
        <v>43638</v>
      </c>
      <c r="E1165" s="35">
        <v>7102762</v>
      </c>
      <c r="F1165" s="34">
        <v>7.53</v>
      </c>
      <c r="G1165" s="34">
        <v>207</v>
      </c>
      <c r="H1165" s="36">
        <v>1117624</v>
      </c>
      <c r="I1165" s="34">
        <v>0</v>
      </c>
      <c r="J1165" s="36">
        <v>0</v>
      </c>
      <c r="K1165" s="31">
        <v>0.71</v>
      </c>
    </row>
    <row r="1166" spans="1:11">
      <c r="A1166" s="34" t="s">
        <v>1236</v>
      </c>
      <c r="B1166" s="34" t="s">
        <v>8</v>
      </c>
      <c r="C1166" s="34" t="s">
        <v>32</v>
      </c>
      <c r="D1166" s="21">
        <f ca="1">RANDBETWEEN(DATE(2020,1,1),DATE(2020,3,31))</f>
        <v>43832</v>
      </c>
      <c r="E1166" s="35">
        <v>9633273</v>
      </c>
      <c r="F1166" s="34">
        <v>8.44</v>
      </c>
      <c r="G1166" s="34">
        <v>164</v>
      </c>
      <c r="H1166" s="36">
        <v>2582021</v>
      </c>
      <c r="I1166" s="34">
        <v>0</v>
      </c>
      <c r="J1166" s="36">
        <v>0</v>
      </c>
      <c r="K1166" s="31">
        <v>0.68</v>
      </c>
    </row>
    <row r="1167" spans="1:11">
      <c r="A1167" s="34" t="s">
        <v>1237</v>
      </c>
      <c r="B1167" s="34" t="s">
        <v>9</v>
      </c>
      <c r="C1167" s="34" t="s">
        <v>44</v>
      </c>
      <c r="D1167" s="21">
        <f ca="1">RANDBETWEEN(DATE(2023,1,1),DATE(2023,3,31))</f>
        <v>45009</v>
      </c>
      <c r="E1167" s="35">
        <v>1594734</v>
      </c>
      <c r="F1167" s="37">
        <v>11.89</v>
      </c>
      <c r="G1167" s="34">
        <v>52</v>
      </c>
      <c r="H1167" s="36">
        <v>222710</v>
      </c>
      <c r="I1167" s="34">
        <v>1</v>
      </c>
      <c r="J1167" s="36">
        <v>167316</v>
      </c>
      <c r="K1167" s="31">
        <v>0.73</v>
      </c>
    </row>
    <row r="1168" spans="1:11">
      <c r="A1168" s="34" t="s">
        <v>1238</v>
      </c>
      <c r="B1168" s="34" t="s">
        <v>9</v>
      </c>
      <c r="C1168" s="34" t="s">
        <v>35</v>
      </c>
      <c r="D1168" s="21">
        <f ca="1">RANDBETWEEN(DATE(2020,10,1),DATE(2020,12,31))</f>
        <v>44118</v>
      </c>
      <c r="E1168" s="35">
        <v>553100</v>
      </c>
      <c r="F1168" s="37">
        <v>10.13</v>
      </c>
      <c r="G1168" s="34">
        <v>26</v>
      </c>
      <c r="H1168" s="36">
        <v>495823</v>
      </c>
      <c r="I1168" s="34">
        <v>0</v>
      </c>
      <c r="J1168" s="36">
        <v>0</v>
      </c>
      <c r="K1168" s="31">
        <v>0.68</v>
      </c>
    </row>
    <row r="1169" spans="1:11">
      <c r="A1169" s="34" t="s">
        <v>1239</v>
      </c>
      <c r="B1169" s="34" t="s">
        <v>10</v>
      </c>
      <c r="C1169" s="34" t="s">
        <v>48</v>
      </c>
      <c r="D1169" s="21">
        <f ca="1">RANDBETWEEN(DATE(2024,1,1),DATE(2024,3,31))</f>
        <v>45376</v>
      </c>
      <c r="E1169" s="35">
        <v>1466062</v>
      </c>
      <c r="F1169" s="34">
        <v>8.85</v>
      </c>
      <c r="G1169" s="34">
        <v>7</v>
      </c>
      <c r="H1169" s="36">
        <v>670692</v>
      </c>
      <c r="I1169" s="34">
        <v>0</v>
      </c>
      <c r="J1169" s="36">
        <v>0</v>
      </c>
      <c r="K1169" s="31">
        <v>0.75</v>
      </c>
    </row>
    <row r="1170" spans="1:11">
      <c r="A1170" s="34" t="s">
        <v>1240</v>
      </c>
      <c r="B1170" s="34" t="s">
        <v>10</v>
      </c>
      <c r="C1170" s="34" t="s">
        <v>45</v>
      </c>
      <c r="D1170" s="21">
        <f ca="1">RANDBETWEEN(DATE(2023,4,1),DATE(2023,6,30))</f>
        <v>45045</v>
      </c>
      <c r="E1170" s="35">
        <v>2165223</v>
      </c>
      <c r="F1170" s="34">
        <v>10.55</v>
      </c>
      <c r="G1170" s="34">
        <v>66</v>
      </c>
      <c r="H1170" s="36">
        <v>1648030</v>
      </c>
      <c r="I1170" s="34">
        <v>0</v>
      </c>
      <c r="J1170" s="36">
        <v>0</v>
      </c>
      <c r="K1170" s="31">
        <v>0.73</v>
      </c>
    </row>
    <row r="1171" spans="1:11">
      <c r="A1171" s="34" t="s">
        <v>1241</v>
      </c>
      <c r="B1171" s="34" t="s">
        <v>10</v>
      </c>
      <c r="C1171" s="34" t="s">
        <v>45</v>
      </c>
      <c r="D1171" s="21">
        <f ca="1">RANDBETWEEN(DATE(2023,4,1),DATE(2023,6,30))</f>
        <v>45018</v>
      </c>
      <c r="E1171" s="35">
        <v>4636038</v>
      </c>
      <c r="F1171" s="34">
        <v>9.61</v>
      </c>
      <c r="G1171" s="34">
        <v>59</v>
      </c>
      <c r="H1171" s="36">
        <v>2067001</v>
      </c>
      <c r="I1171" s="34">
        <v>0</v>
      </c>
      <c r="J1171" s="36">
        <v>0</v>
      </c>
      <c r="K1171" s="31">
        <v>0.73</v>
      </c>
    </row>
    <row r="1172" spans="1:11">
      <c r="A1172" s="34" t="s">
        <v>1242</v>
      </c>
      <c r="B1172" s="34" t="s">
        <v>10</v>
      </c>
      <c r="C1172" s="34" t="s">
        <v>37</v>
      </c>
      <c r="D1172" s="21">
        <f ca="1">RANDBETWEEN(DATE(2021,4,1),DATE(2021,6,30))</f>
        <v>44364</v>
      </c>
      <c r="E1172" s="35">
        <v>581706</v>
      </c>
      <c r="F1172" s="34">
        <v>10.16</v>
      </c>
      <c r="G1172" s="34">
        <v>16</v>
      </c>
      <c r="H1172" s="36">
        <v>502691</v>
      </c>
      <c r="I1172" s="34">
        <v>0</v>
      </c>
      <c r="J1172" s="36">
        <v>0</v>
      </c>
      <c r="K1172" s="31">
        <v>0.72</v>
      </c>
    </row>
    <row r="1173" spans="1:11">
      <c r="A1173" s="34" t="s">
        <v>1243</v>
      </c>
      <c r="B1173" s="34" t="s">
        <v>9</v>
      </c>
      <c r="C1173" s="34" t="s">
        <v>30</v>
      </c>
      <c r="D1173" s="21">
        <f ca="1">RANDBETWEEN(DATE(2019,7,1),DATE(2019,9,30))</f>
        <v>43670</v>
      </c>
      <c r="E1173" s="35">
        <v>1482843</v>
      </c>
      <c r="F1173" s="37">
        <v>10.05</v>
      </c>
      <c r="G1173" s="34">
        <v>57</v>
      </c>
      <c r="H1173" s="36">
        <v>674392</v>
      </c>
      <c r="I1173" s="34">
        <v>0</v>
      </c>
      <c r="J1173" s="36">
        <v>0</v>
      </c>
      <c r="K1173" s="31">
        <v>0.71</v>
      </c>
    </row>
    <row r="1174" spans="1:11">
      <c r="A1174" s="34" t="s">
        <v>1244</v>
      </c>
      <c r="B1174" s="34" t="s">
        <v>6</v>
      </c>
      <c r="C1174" s="34" t="s">
        <v>33</v>
      </c>
      <c r="D1174" s="21">
        <f ca="1">RANDBETWEEN(DATE(2020,4,1),DATE(2020,6,30))</f>
        <v>43961</v>
      </c>
      <c r="E1174" s="35">
        <v>694138</v>
      </c>
      <c r="F1174" s="34">
        <v>8.41</v>
      </c>
      <c r="G1174" s="34">
        <v>24</v>
      </c>
      <c r="H1174" s="36">
        <v>676378</v>
      </c>
      <c r="I1174" s="34">
        <v>0</v>
      </c>
      <c r="J1174" s="36">
        <v>0</v>
      </c>
      <c r="K1174" s="31">
        <v>0.72</v>
      </c>
    </row>
    <row r="1175" spans="1:11">
      <c r="A1175" s="34" t="s">
        <v>1245</v>
      </c>
      <c r="B1175" s="34" t="s">
        <v>9</v>
      </c>
      <c r="C1175" s="34" t="s">
        <v>31</v>
      </c>
      <c r="D1175" s="21">
        <f ca="1">RANDBETWEEN(DATE(2019,10,1),DATE(2019,12,31))</f>
        <v>43777</v>
      </c>
      <c r="E1175" s="35">
        <v>1264407</v>
      </c>
      <c r="F1175" s="37">
        <v>11.64</v>
      </c>
      <c r="G1175" s="34">
        <v>16</v>
      </c>
      <c r="H1175" s="36">
        <v>851322</v>
      </c>
      <c r="I1175" s="34">
        <v>0</v>
      </c>
      <c r="J1175" s="36">
        <v>0</v>
      </c>
      <c r="K1175" s="31">
        <v>0.7</v>
      </c>
    </row>
    <row r="1176" spans="1:11">
      <c r="A1176" s="34" t="s">
        <v>1246</v>
      </c>
      <c r="B1176" s="34" t="s">
        <v>8</v>
      </c>
      <c r="C1176" s="34" t="s">
        <v>37</v>
      </c>
      <c r="D1176" s="21">
        <f ca="1">RANDBETWEEN(DATE(2021,4,1),DATE(2021,6,30))</f>
        <v>44348</v>
      </c>
      <c r="E1176" s="35">
        <v>9821935</v>
      </c>
      <c r="F1176" s="34">
        <v>7.6</v>
      </c>
      <c r="G1176" s="34">
        <v>178</v>
      </c>
      <c r="H1176" s="36">
        <v>4041202</v>
      </c>
      <c r="I1176" s="34">
        <v>0</v>
      </c>
      <c r="J1176" s="36">
        <v>0</v>
      </c>
      <c r="K1176" s="31">
        <v>0.72</v>
      </c>
    </row>
    <row r="1177" spans="1:11">
      <c r="A1177" s="34" t="s">
        <v>1247</v>
      </c>
      <c r="B1177" s="34" t="s">
        <v>10</v>
      </c>
      <c r="C1177" s="34" t="s">
        <v>34</v>
      </c>
      <c r="D1177" s="21">
        <f ca="1">RANDBETWEEN(DATE(2020,7,1),DATE(2020,9,30))</f>
        <v>44046</v>
      </c>
      <c r="E1177" s="35">
        <v>352441</v>
      </c>
      <c r="F1177" s="34">
        <v>10.31</v>
      </c>
      <c r="G1177" s="34">
        <v>103</v>
      </c>
      <c r="H1177" s="36">
        <v>30602</v>
      </c>
      <c r="I1177" s="34">
        <v>1</v>
      </c>
      <c r="J1177" s="36">
        <v>13417</v>
      </c>
      <c r="K1177" s="31">
        <v>0.68</v>
      </c>
    </row>
    <row r="1178" spans="1:11">
      <c r="A1178" s="34" t="s">
        <v>1248</v>
      </c>
      <c r="B1178" s="34" t="s">
        <v>9</v>
      </c>
      <c r="C1178" s="34" t="s">
        <v>37</v>
      </c>
      <c r="D1178" s="21">
        <f ca="1">RANDBETWEEN(DATE(2021,4,1),DATE(2021,6,30))</f>
        <v>44292</v>
      </c>
      <c r="E1178" s="35">
        <v>1900032</v>
      </c>
      <c r="F1178" s="37">
        <v>10.84</v>
      </c>
      <c r="G1178" s="34">
        <v>24</v>
      </c>
      <c r="H1178" s="36">
        <v>1073135</v>
      </c>
      <c r="I1178" s="34">
        <v>0</v>
      </c>
      <c r="J1178" s="36">
        <v>0</v>
      </c>
      <c r="K1178" s="31">
        <v>0.72</v>
      </c>
    </row>
    <row r="1179" spans="1:11">
      <c r="A1179" s="34" t="s">
        <v>1249</v>
      </c>
      <c r="B1179" s="34" t="s">
        <v>6</v>
      </c>
      <c r="C1179" s="34" t="s">
        <v>35</v>
      </c>
      <c r="D1179" s="21">
        <f ca="1">RANDBETWEEN(DATE(2020,10,1),DATE(2020,12,31))</f>
        <v>44179</v>
      </c>
      <c r="E1179" s="35">
        <v>438948</v>
      </c>
      <c r="F1179" s="34">
        <v>8.29</v>
      </c>
      <c r="G1179" s="34">
        <v>14</v>
      </c>
      <c r="H1179" s="36">
        <v>373447</v>
      </c>
      <c r="I1179" s="34">
        <v>0</v>
      </c>
      <c r="J1179" s="36">
        <v>0</v>
      </c>
      <c r="K1179" s="31">
        <v>0.68</v>
      </c>
    </row>
    <row r="1180" spans="1:11">
      <c r="A1180" s="34" t="s">
        <v>1250</v>
      </c>
      <c r="B1180" s="34" t="s">
        <v>6</v>
      </c>
      <c r="C1180" s="34" t="s">
        <v>48</v>
      </c>
      <c r="D1180" s="21">
        <f ca="1">RANDBETWEEN(DATE(2024,1,1),DATE(2024,3,31))</f>
        <v>45344</v>
      </c>
      <c r="E1180" s="35">
        <v>137523</v>
      </c>
      <c r="F1180" s="34">
        <v>8.19</v>
      </c>
      <c r="G1180" s="34">
        <v>35</v>
      </c>
      <c r="H1180" s="36">
        <v>65563</v>
      </c>
      <c r="I1180" s="34">
        <v>1</v>
      </c>
      <c r="J1180" s="36">
        <v>9835</v>
      </c>
      <c r="K1180" s="31">
        <v>0.75</v>
      </c>
    </row>
    <row r="1181" spans="1:11">
      <c r="A1181" s="34" t="s">
        <v>1251</v>
      </c>
      <c r="B1181" s="34" t="s">
        <v>9</v>
      </c>
      <c r="C1181" s="34" t="s">
        <v>30</v>
      </c>
      <c r="D1181" s="21">
        <f ca="1">RANDBETWEEN(DATE(2019,7,1),DATE(2019,9,30))</f>
        <v>43653</v>
      </c>
      <c r="E1181" s="35">
        <v>1677779</v>
      </c>
      <c r="F1181" s="37">
        <v>11.63</v>
      </c>
      <c r="G1181" s="34">
        <v>59</v>
      </c>
      <c r="H1181" s="36">
        <v>1162276</v>
      </c>
      <c r="I1181" s="34">
        <v>0</v>
      </c>
      <c r="J1181" s="36">
        <v>0</v>
      </c>
      <c r="K1181" s="31">
        <v>0.71</v>
      </c>
    </row>
    <row r="1182" spans="1:11">
      <c r="A1182" s="34" t="s">
        <v>1252</v>
      </c>
      <c r="B1182" s="34" t="s">
        <v>9</v>
      </c>
      <c r="C1182" s="34" t="s">
        <v>39</v>
      </c>
      <c r="D1182" s="21">
        <f ca="1">RANDBETWEEN(DATE(2021,10,1),DATE(2021,12,31))</f>
        <v>44514</v>
      </c>
      <c r="E1182" s="35">
        <v>1917480</v>
      </c>
      <c r="F1182" s="37">
        <v>10.48</v>
      </c>
      <c r="G1182" s="34">
        <v>9</v>
      </c>
      <c r="H1182" s="36">
        <v>1582990</v>
      </c>
      <c r="I1182" s="34">
        <v>0</v>
      </c>
      <c r="J1182" s="36">
        <v>0</v>
      </c>
      <c r="K1182" s="31">
        <v>0.71</v>
      </c>
    </row>
    <row r="1183" spans="1:11">
      <c r="A1183" s="34" t="s">
        <v>1253</v>
      </c>
      <c r="B1183" s="34" t="s">
        <v>10</v>
      </c>
      <c r="C1183" s="34" t="s">
        <v>40</v>
      </c>
      <c r="D1183" s="21">
        <f ca="1">RANDBETWEEN(DATE(2022,1,1),DATE(2022,3,31))</f>
        <v>44634</v>
      </c>
      <c r="E1183" s="35">
        <v>2881521</v>
      </c>
      <c r="F1183" s="34">
        <v>11.11</v>
      </c>
      <c r="G1183" s="34">
        <v>99</v>
      </c>
      <c r="H1183" s="36">
        <v>1049751</v>
      </c>
      <c r="I1183" s="34">
        <v>0</v>
      </c>
      <c r="J1183" s="36">
        <v>0</v>
      </c>
      <c r="K1183" s="31">
        <v>0.71</v>
      </c>
    </row>
    <row r="1184" spans="1:11">
      <c r="A1184" s="34" t="s">
        <v>1254</v>
      </c>
      <c r="B1184" s="34" t="s">
        <v>10</v>
      </c>
      <c r="C1184" s="34" t="s">
        <v>42</v>
      </c>
      <c r="D1184" s="21">
        <f ca="1">RANDBETWEEN(DATE(2022,7,1),DATE(2022,9,30))</f>
        <v>44754</v>
      </c>
      <c r="E1184" s="35">
        <v>2383588</v>
      </c>
      <c r="F1184" s="34">
        <v>11.32</v>
      </c>
      <c r="G1184" s="34">
        <v>81</v>
      </c>
      <c r="H1184" s="36">
        <v>2342660</v>
      </c>
      <c r="I1184" s="34">
        <v>1</v>
      </c>
      <c r="J1184" s="36">
        <v>990291</v>
      </c>
      <c r="K1184" s="31">
        <v>0.73</v>
      </c>
    </row>
    <row r="1185" spans="1:11">
      <c r="A1185" s="34" t="s">
        <v>1255</v>
      </c>
      <c r="B1185" s="34" t="s">
        <v>9</v>
      </c>
      <c r="C1185" s="34" t="s">
        <v>30</v>
      </c>
      <c r="D1185" s="21">
        <f ca="1">RANDBETWEEN(DATE(2019,7,1),DATE(2019,9,30))</f>
        <v>43678</v>
      </c>
      <c r="E1185" s="35">
        <v>879613</v>
      </c>
      <c r="F1185" s="37">
        <v>10.47</v>
      </c>
      <c r="G1185" s="34">
        <v>45</v>
      </c>
      <c r="H1185" s="36">
        <v>491299</v>
      </c>
      <c r="I1185" s="34">
        <v>1</v>
      </c>
      <c r="J1185" s="36">
        <v>152065</v>
      </c>
      <c r="K1185" s="31">
        <v>0.71</v>
      </c>
    </row>
    <row r="1186" spans="1:11">
      <c r="A1186" s="34" t="s">
        <v>1256</v>
      </c>
      <c r="B1186" s="34" t="s">
        <v>8</v>
      </c>
      <c r="C1186" s="34" t="s">
        <v>31</v>
      </c>
      <c r="D1186" s="21">
        <f ca="1">RANDBETWEEN(DATE(2019,10,1),DATE(2019,12,31))</f>
        <v>43772</v>
      </c>
      <c r="E1186" s="35">
        <v>1199006</v>
      </c>
      <c r="F1186" s="34">
        <v>7.88</v>
      </c>
      <c r="G1186" s="34">
        <v>107</v>
      </c>
      <c r="H1186" s="36">
        <v>1029596</v>
      </c>
      <c r="I1186" s="34">
        <v>0</v>
      </c>
      <c r="J1186" s="36">
        <v>0</v>
      </c>
      <c r="K1186" s="31">
        <v>0.7</v>
      </c>
    </row>
    <row r="1187" spans="1:11">
      <c r="A1187" s="34" t="s">
        <v>1257</v>
      </c>
      <c r="B1187" s="34" t="s">
        <v>10</v>
      </c>
      <c r="C1187" s="34" t="s">
        <v>41</v>
      </c>
      <c r="D1187" s="21">
        <f ca="1">RANDBETWEEN(DATE(2022,4,1),DATE(2022,6,30))</f>
        <v>44733</v>
      </c>
      <c r="E1187" s="35">
        <v>811238</v>
      </c>
      <c r="F1187" s="34">
        <v>10.4</v>
      </c>
      <c r="G1187" s="34">
        <v>29</v>
      </c>
      <c r="H1187" s="36">
        <v>560742</v>
      </c>
      <c r="I1187" s="34">
        <v>0</v>
      </c>
      <c r="J1187" s="36">
        <v>0</v>
      </c>
      <c r="K1187" s="30">
        <v>0.727</v>
      </c>
    </row>
    <row r="1188" spans="1:11">
      <c r="A1188" s="34" t="s">
        <v>1258</v>
      </c>
      <c r="B1188" s="34" t="s">
        <v>10</v>
      </c>
      <c r="C1188" s="34" t="s">
        <v>36</v>
      </c>
      <c r="D1188" s="21">
        <f ca="1">RANDBETWEEN(DATE(2021,1,1),DATE(2021,3,31))</f>
        <v>44232</v>
      </c>
      <c r="E1188" s="35">
        <v>1438386</v>
      </c>
      <c r="F1188" s="34">
        <v>8.6</v>
      </c>
      <c r="G1188" s="34">
        <v>9</v>
      </c>
      <c r="H1188" s="36">
        <v>1088661</v>
      </c>
      <c r="I1188" s="34">
        <v>0</v>
      </c>
      <c r="J1188" s="36">
        <v>0</v>
      </c>
      <c r="K1188" s="30">
        <v>0.744</v>
      </c>
    </row>
    <row r="1189" spans="1:11">
      <c r="A1189" s="34" t="s">
        <v>1259</v>
      </c>
      <c r="B1189" s="34" t="s">
        <v>10</v>
      </c>
      <c r="C1189" s="34" t="s">
        <v>37</v>
      </c>
      <c r="D1189" s="21">
        <f ca="1">RANDBETWEEN(DATE(2021,4,1),DATE(2021,6,30))</f>
        <v>44326</v>
      </c>
      <c r="E1189" s="35">
        <v>4814209</v>
      </c>
      <c r="F1189" s="34">
        <v>10.2</v>
      </c>
      <c r="G1189" s="34">
        <v>103</v>
      </c>
      <c r="H1189" s="36">
        <v>264070</v>
      </c>
      <c r="I1189" s="34">
        <v>1</v>
      </c>
      <c r="J1189" s="36">
        <v>188585</v>
      </c>
      <c r="K1189" s="31">
        <v>0.72</v>
      </c>
    </row>
    <row r="1190" spans="1:11">
      <c r="A1190" s="34" t="s">
        <v>1260</v>
      </c>
      <c r="B1190" s="34" t="s">
        <v>8</v>
      </c>
      <c r="C1190" s="34" t="s">
        <v>34</v>
      </c>
      <c r="D1190" s="21">
        <f ca="1">RANDBETWEEN(DATE(2020,7,1),DATE(2020,9,30))</f>
        <v>44052</v>
      </c>
      <c r="E1190" s="35">
        <v>2487347</v>
      </c>
      <c r="F1190" s="34">
        <v>7.53</v>
      </c>
      <c r="G1190" s="34">
        <v>148</v>
      </c>
      <c r="H1190" s="36">
        <v>2406299</v>
      </c>
      <c r="I1190" s="34">
        <v>0</v>
      </c>
      <c r="J1190" s="36">
        <v>0</v>
      </c>
      <c r="K1190" s="31">
        <v>0.68</v>
      </c>
    </row>
    <row r="1191" spans="1:11">
      <c r="A1191" s="34" t="s">
        <v>1261</v>
      </c>
      <c r="B1191" s="34" t="s">
        <v>10</v>
      </c>
      <c r="C1191" s="34" t="s">
        <v>43</v>
      </c>
      <c r="D1191" s="21">
        <f ca="1">RANDBETWEEN(DATE(2022,10,1),DATE(2022,12,31))</f>
        <v>44897</v>
      </c>
      <c r="E1191" s="35">
        <v>2138421</v>
      </c>
      <c r="F1191" s="34">
        <v>9.96</v>
      </c>
      <c r="G1191" s="34">
        <v>48</v>
      </c>
      <c r="H1191" s="36">
        <v>1420603</v>
      </c>
      <c r="I1191" s="34">
        <v>0</v>
      </c>
      <c r="J1191" s="36">
        <v>0</v>
      </c>
      <c r="K1191" s="31">
        <v>0.71</v>
      </c>
    </row>
    <row r="1192" spans="1:11">
      <c r="A1192" s="34" t="s">
        <v>1262</v>
      </c>
      <c r="B1192" s="19" t="s">
        <v>7</v>
      </c>
      <c r="C1192" s="34" t="s">
        <v>34</v>
      </c>
      <c r="D1192" s="21">
        <f ca="1">RANDBETWEEN(DATE(2020,7,1),DATE(2020,9,30))</f>
        <v>44044</v>
      </c>
      <c r="E1192" s="35">
        <v>1503008</v>
      </c>
      <c r="F1192" s="34">
        <v>10.98</v>
      </c>
      <c r="G1192" s="34">
        <v>6</v>
      </c>
      <c r="H1192" s="36">
        <v>912730</v>
      </c>
      <c r="I1192" s="34">
        <v>0</v>
      </c>
      <c r="J1192" s="36">
        <v>0</v>
      </c>
      <c r="K1192" s="31">
        <v>0.68</v>
      </c>
    </row>
    <row r="1193" spans="1:11">
      <c r="A1193" s="34" t="s">
        <v>1263</v>
      </c>
      <c r="B1193" s="19" t="s">
        <v>7</v>
      </c>
      <c r="C1193" s="34" t="s">
        <v>47</v>
      </c>
      <c r="D1193" s="21">
        <f ca="1">RANDBETWEEN(DATE(2023,10,1),DATE(2023,12,31))</f>
        <v>45268</v>
      </c>
      <c r="E1193" s="35">
        <v>328974</v>
      </c>
      <c r="F1193" s="34">
        <v>10.51</v>
      </c>
      <c r="G1193" s="34">
        <v>7</v>
      </c>
      <c r="H1193" s="36">
        <v>23721</v>
      </c>
      <c r="I1193" s="34">
        <v>0</v>
      </c>
      <c r="J1193" s="36">
        <v>0</v>
      </c>
      <c r="K1193" s="32">
        <v>0.74</v>
      </c>
    </row>
    <row r="1194" spans="1:11">
      <c r="A1194" s="34" t="s">
        <v>1264</v>
      </c>
      <c r="B1194" s="34" t="s">
        <v>9</v>
      </c>
      <c r="C1194" s="34" t="s">
        <v>38</v>
      </c>
      <c r="D1194" s="21">
        <f ca="1">RANDBETWEEN(DATE(2021,7,1),DATE(2021,9,30))</f>
        <v>44430</v>
      </c>
      <c r="E1194" s="35">
        <v>537100</v>
      </c>
      <c r="F1194" s="37">
        <v>11.91</v>
      </c>
      <c r="G1194" s="34">
        <v>36</v>
      </c>
      <c r="H1194" s="36">
        <v>444735</v>
      </c>
      <c r="I1194" s="34">
        <v>0</v>
      </c>
      <c r="J1194" s="36">
        <v>0</v>
      </c>
      <c r="K1194" s="33">
        <v>0.68</v>
      </c>
    </row>
    <row r="1195" spans="1:11">
      <c r="A1195" s="34" t="s">
        <v>1265</v>
      </c>
      <c r="B1195" s="34" t="s">
        <v>8</v>
      </c>
      <c r="C1195" s="34" t="s">
        <v>47</v>
      </c>
      <c r="D1195" s="21">
        <f ca="1">RANDBETWEEN(DATE(2023,10,1),DATE(2023,12,31))</f>
        <v>45237</v>
      </c>
      <c r="E1195" s="35">
        <v>6737677</v>
      </c>
      <c r="F1195" s="34">
        <v>8.15</v>
      </c>
      <c r="G1195" s="34">
        <v>84</v>
      </c>
      <c r="H1195" s="36">
        <v>4417057</v>
      </c>
      <c r="I1195" s="34">
        <v>0</v>
      </c>
      <c r="J1195" s="36">
        <v>0</v>
      </c>
      <c r="K1195" s="32">
        <v>0.74</v>
      </c>
    </row>
    <row r="1196" spans="1:11">
      <c r="A1196" s="34" t="s">
        <v>1266</v>
      </c>
      <c r="B1196" s="19" t="s">
        <v>7</v>
      </c>
      <c r="C1196" s="34" t="s">
        <v>48</v>
      </c>
      <c r="D1196" s="21">
        <f ca="1">RANDBETWEEN(DATE(2024,1,1),DATE(2024,3,31))</f>
        <v>45355</v>
      </c>
      <c r="E1196" s="35">
        <v>1196951</v>
      </c>
      <c r="F1196" s="34">
        <v>11.81</v>
      </c>
      <c r="G1196" s="34">
        <v>21</v>
      </c>
      <c r="H1196" s="36">
        <v>656953</v>
      </c>
      <c r="I1196" s="34">
        <v>1</v>
      </c>
      <c r="J1196" s="36">
        <v>384431</v>
      </c>
      <c r="K1196" s="31">
        <v>0.75</v>
      </c>
    </row>
    <row r="1197" spans="1:11">
      <c r="A1197" s="34" t="s">
        <v>1267</v>
      </c>
      <c r="B1197" s="34" t="s">
        <v>6</v>
      </c>
      <c r="C1197" s="34" t="s">
        <v>39</v>
      </c>
      <c r="D1197" s="21">
        <f ca="1">RANDBETWEEN(DATE(2021,10,1),DATE(2021,12,31))</f>
        <v>44476</v>
      </c>
      <c r="E1197" s="35">
        <v>543782</v>
      </c>
      <c r="F1197" s="34">
        <v>7.89</v>
      </c>
      <c r="G1197" s="34">
        <v>6</v>
      </c>
      <c r="H1197" s="36">
        <v>310813</v>
      </c>
      <c r="I1197" s="34">
        <v>0</v>
      </c>
      <c r="J1197" s="36">
        <v>0</v>
      </c>
      <c r="K1197" s="31">
        <v>0.71</v>
      </c>
    </row>
    <row r="1198" spans="1:11">
      <c r="A1198" s="34" t="s">
        <v>1268</v>
      </c>
      <c r="B1198" s="34" t="s">
        <v>8</v>
      </c>
      <c r="C1198" s="34" t="s">
        <v>35</v>
      </c>
      <c r="D1198" s="21">
        <f ca="1">RANDBETWEEN(DATE(2020,10,1),DATE(2020,12,31))</f>
        <v>44174</v>
      </c>
      <c r="E1198" s="35">
        <v>9734668</v>
      </c>
      <c r="F1198" s="34">
        <v>8.44</v>
      </c>
      <c r="G1198" s="34">
        <v>107</v>
      </c>
      <c r="H1198" s="36">
        <v>8823449</v>
      </c>
      <c r="I1198" s="34">
        <v>1</v>
      </c>
      <c r="J1198" s="36">
        <v>1204682</v>
      </c>
      <c r="K1198" s="31">
        <v>0.68</v>
      </c>
    </row>
    <row r="1199" spans="1:11">
      <c r="A1199" s="34" t="s">
        <v>1269</v>
      </c>
      <c r="B1199" s="34" t="s">
        <v>6</v>
      </c>
      <c r="C1199" s="34" t="s">
        <v>29</v>
      </c>
      <c r="D1199" s="21">
        <f ca="1">RANDBETWEEN(DATE(2019,4,1),DATE(2019,6,30))</f>
        <v>43631</v>
      </c>
      <c r="E1199" s="35">
        <v>358457</v>
      </c>
      <c r="F1199" s="34">
        <v>7.52</v>
      </c>
      <c r="G1199" s="34">
        <v>47</v>
      </c>
      <c r="H1199" s="36">
        <v>225414</v>
      </c>
      <c r="I1199" s="34">
        <v>1</v>
      </c>
      <c r="J1199" s="36">
        <v>121667</v>
      </c>
      <c r="K1199" s="31">
        <v>0.71</v>
      </c>
    </row>
    <row r="1200" spans="1:11">
      <c r="A1200" s="34" t="s">
        <v>1270</v>
      </c>
      <c r="B1200" s="34" t="s">
        <v>6</v>
      </c>
      <c r="C1200" s="34" t="s">
        <v>44</v>
      </c>
      <c r="D1200" s="21">
        <f ca="1">RANDBETWEEN(DATE(2023,1,1),DATE(2023,3,31))</f>
        <v>44944</v>
      </c>
      <c r="E1200" s="35">
        <v>416642</v>
      </c>
      <c r="F1200" s="34">
        <v>8.48</v>
      </c>
      <c r="G1200" s="34">
        <v>38</v>
      </c>
      <c r="H1200" s="36">
        <v>283015</v>
      </c>
      <c r="I1200" s="34">
        <v>1</v>
      </c>
      <c r="J1200" s="36">
        <v>89205</v>
      </c>
      <c r="K1200" s="31">
        <v>0.73</v>
      </c>
    </row>
    <row r="1201" spans="1:11">
      <c r="A1201" s="34" t="s">
        <v>1271</v>
      </c>
      <c r="B1201" s="19" t="s">
        <v>7</v>
      </c>
      <c r="C1201" s="34" t="s">
        <v>33</v>
      </c>
      <c r="D1201" s="21">
        <f ca="1">RANDBETWEEN(DATE(2020,4,1),DATE(2020,6,30))</f>
        <v>43951</v>
      </c>
      <c r="E1201" s="35">
        <v>1710168</v>
      </c>
      <c r="F1201" s="34">
        <v>10.96</v>
      </c>
      <c r="G1201" s="34">
        <v>9</v>
      </c>
      <c r="H1201" s="36">
        <v>1641189</v>
      </c>
      <c r="I1201" s="34">
        <v>0</v>
      </c>
      <c r="J1201" s="36">
        <v>0</v>
      </c>
      <c r="K1201" s="31">
        <v>0.72</v>
      </c>
    </row>
    <row r="1202" spans="1:11">
      <c r="A1202" s="34" t="s">
        <v>1272</v>
      </c>
      <c r="B1202" s="34" t="s">
        <v>10</v>
      </c>
      <c r="C1202" s="34" t="s">
        <v>33</v>
      </c>
      <c r="D1202" s="21">
        <f ca="1">RANDBETWEEN(DATE(2020,4,1),DATE(2020,6,30))</f>
        <v>43964</v>
      </c>
      <c r="E1202" s="35">
        <v>1396847</v>
      </c>
      <c r="F1202" s="34">
        <v>10.01</v>
      </c>
      <c r="G1202" s="34">
        <v>59</v>
      </c>
      <c r="H1202" s="36">
        <v>138034</v>
      </c>
      <c r="I1202" s="34">
        <v>0</v>
      </c>
      <c r="J1202" s="36">
        <v>0</v>
      </c>
      <c r="K1202" s="31">
        <v>0.72</v>
      </c>
    </row>
    <row r="1203" spans="1:11">
      <c r="A1203" s="34" t="s">
        <v>1273</v>
      </c>
      <c r="B1203" s="34" t="s">
        <v>6</v>
      </c>
      <c r="C1203" s="34" t="s">
        <v>29</v>
      </c>
      <c r="D1203" s="21">
        <f ca="1">RANDBETWEEN(DATE(2019,4,1),DATE(2019,6,30))</f>
        <v>43570</v>
      </c>
      <c r="E1203" s="35">
        <v>608291</v>
      </c>
      <c r="F1203" s="34">
        <v>7.76</v>
      </c>
      <c r="G1203" s="34">
        <v>32</v>
      </c>
      <c r="H1203" s="36">
        <v>383710</v>
      </c>
      <c r="I1203" s="34">
        <v>0</v>
      </c>
      <c r="J1203" s="36">
        <v>0</v>
      </c>
      <c r="K1203" s="31">
        <v>0.71</v>
      </c>
    </row>
    <row r="1204" spans="1:11">
      <c r="A1204" s="34" t="s">
        <v>1274</v>
      </c>
      <c r="B1204" s="34" t="s">
        <v>8</v>
      </c>
      <c r="C1204" s="34" t="s">
        <v>44</v>
      </c>
      <c r="D1204" s="21">
        <f ca="1">RANDBETWEEN(DATE(2023,1,1),DATE(2023,3,31))</f>
        <v>44988</v>
      </c>
      <c r="E1204" s="35">
        <v>2527972</v>
      </c>
      <c r="F1204" s="34">
        <v>8.46</v>
      </c>
      <c r="G1204" s="34">
        <v>64</v>
      </c>
      <c r="H1204" s="36">
        <v>1183586</v>
      </c>
      <c r="I1204" s="34">
        <v>0</v>
      </c>
      <c r="J1204" s="36">
        <v>0</v>
      </c>
      <c r="K1204" s="31">
        <v>0.73</v>
      </c>
    </row>
    <row r="1205" spans="1:11">
      <c r="A1205" s="34" t="s">
        <v>1275</v>
      </c>
      <c r="B1205" s="34" t="s">
        <v>10</v>
      </c>
      <c r="C1205" s="34" t="s">
        <v>36</v>
      </c>
      <c r="D1205" s="21">
        <f ca="1">RANDBETWEEN(DATE(2021,1,1),DATE(2021,3,31))</f>
        <v>44249</v>
      </c>
      <c r="E1205" s="35">
        <v>1094229</v>
      </c>
      <c r="F1205" s="34">
        <v>9.4</v>
      </c>
      <c r="G1205" s="34">
        <v>11</v>
      </c>
      <c r="H1205" s="36">
        <v>159917</v>
      </c>
      <c r="I1205" s="34">
        <v>0</v>
      </c>
      <c r="J1205" s="36">
        <v>0</v>
      </c>
      <c r="K1205" s="30">
        <v>0.744</v>
      </c>
    </row>
    <row r="1206" spans="1:11">
      <c r="A1206" s="34" t="s">
        <v>1276</v>
      </c>
      <c r="B1206" s="34" t="s">
        <v>9</v>
      </c>
      <c r="C1206" s="34" t="s">
        <v>43</v>
      </c>
      <c r="D1206" s="21">
        <f ca="1">RANDBETWEEN(DATE(2022,10,1),DATE(2022,12,31))</f>
        <v>44871</v>
      </c>
      <c r="E1206" s="35">
        <v>714230</v>
      </c>
      <c r="F1206" s="37">
        <v>9.4</v>
      </c>
      <c r="G1206" s="34">
        <v>8</v>
      </c>
      <c r="H1206" s="36">
        <v>148327</v>
      </c>
      <c r="I1206" s="34">
        <v>0</v>
      </c>
      <c r="J1206" s="36">
        <v>0</v>
      </c>
      <c r="K1206" s="31">
        <v>0.71</v>
      </c>
    </row>
    <row r="1207" spans="1:11">
      <c r="A1207" s="34" t="s">
        <v>1277</v>
      </c>
      <c r="B1207" s="34" t="s">
        <v>6</v>
      </c>
      <c r="C1207" s="34" t="s">
        <v>46</v>
      </c>
      <c r="D1207" s="21">
        <f ca="1">RANDBETWEEN(DATE(2023,7,1),DATE(2023,9,30))</f>
        <v>45127</v>
      </c>
      <c r="E1207" s="35">
        <v>576930</v>
      </c>
      <c r="F1207" s="34">
        <v>7.86</v>
      </c>
      <c r="G1207" s="34">
        <v>19</v>
      </c>
      <c r="H1207" s="36">
        <v>267062</v>
      </c>
      <c r="I1207" s="34">
        <v>1</v>
      </c>
      <c r="J1207" s="36">
        <v>146743</v>
      </c>
      <c r="K1207" s="31">
        <v>0.76</v>
      </c>
    </row>
    <row r="1208" spans="1:11">
      <c r="A1208" s="34" t="s">
        <v>1278</v>
      </c>
      <c r="B1208" s="34" t="s">
        <v>10</v>
      </c>
      <c r="C1208" s="34" t="s">
        <v>40</v>
      </c>
      <c r="D1208" s="21">
        <f ca="1">RANDBETWEEN(DATE(2022,1,1),DATE(2022,3,31))</f>
        <v>44649</v>
      </c>
      <c r="E1208" s="35">
        <v>2113972</v>
      </c>
      <c r="F1208" s="34">
        <v>10.25</v>
      </c>
      <c r="G1208" s="34">
        <v>38</v>
      </c>
      <c r="H1208" s="36">
        <v>2055973</v>
      </c>
      <c r="I1208" s="34">
        <v>0</v>
      </c>
      <c r="J1208" s="36">
        <v>0</v>
      </c>
      <c r="K1208" s="31">
        <v>0.71</v>
      </c>
    </row>
    <row r="1209" spans="1:11">
      <c r="A1209" s="34" t="s">
        <v>1279</v>
      </c>
      <c r="B1209" s="34" t="s">
        <v>10</v>
      </c>
      <c r="C1209" s="34" t="s">
        <v>45</v>
      </c>
      <c r="D1209" s="21">
        <f ca="1">RANDBETWEEN(DATE(2023,4,1),DATE(2023,6,30))</f>
        <v>45075</v>
      </c>
      <c r="E1209" s="35">
        <v>2591765</v>
      </c>
      <c r="F1209" s="34">
        <v>10.52</v>
      </c>
      <c r="G1209" s="34">
        <v>78</v>
      </c>
      <c r="H1209" s="36">
        <v>406377</v>
      </c>
      <c r="I1209" s="34">
        <v>0</v>
      </c>
      <c r="J1209" s="36">
        <v>0</v>
      </c>
      <c r="K1209" s="31">
        <v>0.73</v>
      </c>
    </row>
    <row r="1210" spans="1:11">
      <c r="A1210" s="34" t="s">
        <v>1280</v>
      </c>
      <c r="B1210" s="19" t="s">
        <v>7</v>
      </c>
      <c r="C1210" s="34" t="s">
        <v>48</v>
      </c>
      <c r="D1210" s="21">
        <f ca="1">RANDBETWEEN(DATE(2024,1,1),DATE(2024,3,31))</f>
        <v>45367</v>
      </c>
      <c r="E1210" s="35">
        <v>908000</v>
      </c>
      <c r="F1210" s="34">
        <v>11.22</v>
      </c>
      <c r="G1210" s="34">
        <v>8</v>
      </c>
      <c r="H1210" s="36">
        <v>446889</v>
      </c>
      <c r="I1210" s="34">
        <v>0</v>
      </c>
      <c r="J1210" s="36">
        <v>0</v>
      </c>
      <c r="K1210" s="31">
        <v>0.75</v>
      </c>
    </row>
    <row r="1211" spans="1:11">
      <c r="A1211" s="34" t="s">
        <v>1281</v>
      </c>
      <c r="B1211" s="34" t="s">
        <v>9</v>
      </c>
      <c r="C1211" s="34" t="s">
        <v>45</v>
      </c>
      <c r="D1211" s="21">
        <f ca="1">RANDBETWEEN(DATE(2023,4,1),DATE(2023,6,30))</f>
        <v>45039</v>
      </c>
      <c r="E1211" s="35">
        <v>1170949</v>
      </c>
      <c r="F1211" s="37">
        <v>11.19</v>
      </c>
      <c r="G1211" s="34">
        <v>23</v>
      </c>
      <c r="H1211" s="36">
        <v>255646</v>
      </c>
      <c r="I1211" s="34">
        <v>1</v>
      </c>
      <c r="J1211" s="36">
        <v>134007</v>
      </c>
      <c r="K1211" s="31">
        <v>0.73</v>
      </c>
    </row>
    <row r="1212" spans="1:11">
      <c r="A1212" s="34" t="s">
        <v>1282</v>
      </c>
      <c r="B1212" s="34" t="s">
        <v>6</v>
      </c>
      <c r="C1212" s="34" t="s">
        <v>34</v>
      </c>
      <c r="D1212" s="21">
        <f ca="1">RANDBETWEEN(DATE(2020,7,1),DATE(2020,9,30))</f>
        <v>44103</v>
      </c>
      <c r="E1212" s="35">
        <v>128481</v>
      </c>
      <c r="F1212" s="34">
        <v>7.95</v>
      </c>
      <c r="G1212" s="34">
        <v>9</v>
      </c>
      <c r="H1212" s="36">
        <v>75000</v>
      </c>
      <c r="I1212" s="34">
        <v>0</v>
      </c>
      <c r="J1212" s="36">
        <v>0</v>
      </c>
      <c r="K1212" s="31">
        <v>0.68</v>
      </c>
    </row>
    <row r="1213" spans="1:11">
      <c r="A1213" s="34" t="s">
        <v>1283</v>
      </c>
      <c r="B1213" s="34" t="s">
        <v>10</v>
      </c>
      <c r="C1213" s="34" t="s">
        <v>31</v>
      </c>
      <c r="D1213" s="21">
        <f ca="1">RANDBETWEEN(DATE(2019,10,1),DATE(2019,12,31))</f>
        <v>43809</v>
      </c>
      <c r="E1213" s="35">
        <v>1409304</v>
      </c>
      <c r="F1213" s="34">
        <v>9.19</v>
      </c>
      <c r="G1213" s="34">
        <v>11</v>
      </c>
      <c r="H1213" s="36">
        <v>1118671</v>
      </c>
      <c r="I1213" s="34">
        <v>0</v>
      </c>
      <c r="J1213" s="36">
        <v>0</v>
      </c>
      <c r="K1213" s="31">
        <v>0.7</v>
      </c>
    </row>
    <row r="1214" spans="1:11">
      <c r="A1214" s="34" t="s">
        <v>1284</v>
      </c>
      <c r="B1214" s="34" t="s">
        <v>6</v>
      </c>
      <c r="C1214" s="34" t="s">
        <v>35</v>
      </c>
      <c r="D1214" s="21">
        <f ca="1">RANDBETWEEN(DATE(2020,10,1),DATE(2020,12,31))</f>
        <v>44118</v>
      </c>
      <c r="E1214" s="35">
        <v>835602</v>
      </c>
      <c r="F1214" s="34">
        <v>7.63</v>
      </c>
      <c r="G1214" s="34">
        <v>24</v>
      </c>
      <c r="H1214" s="36">
        <v>577242</v>
      </c>
      <c r="I1214" s="34">
        <v>0</v>
      </c>
      <c r="J1214" s="36">
        <v>0</v>
      </c>
      <c r="K1214" s="31">
        <v>0.68</v>
      </c>
    </row>
    <row r="1215" spans="1:11">
      <c r="A1215" s="34" t="s">
        <v>1285</v>
      </c>
      <c r="B1215" s="34" t="s">
        <v>8</v>
      </c>
      <c r="C1215" s="34" t="s">
        <v>44</v>
      </c>
      <c r="D1215" s="21">
        <f ca="1">RANDBETWEEN(DATE(2023,1,1),DATE(2023,3,31))</f>
        <v>44992</v>
      </c>
      <c r="E1215" s="35">
        <v>7308524</v>
      </c>
      <c r="F1215" s="34">
        <v>8.32</v>
      </c>
      <c r="G1215" s="34">
        <v>158</v>
      </c>
      <c r="H1215" s="36">
        <v>6130966</v>
      </c>
      <c r="I1215" s="34">
        <v>0</v>
      </c>
      <c r="J1215" s="36">
        <v>0</v>
      </c>
      <c r="K1215" s="31">
        <v>0.73</v>
      </c>
    </row>
    <row r="1216" spans="1:11">
      <c r="A1216" s="34" t="s">
        <v>1286</v>
      </c>
      <c r="B1216" s="34" t="s">
        <v>10</v>
      </c>
      <c r="C1216" s="34" t="s">
        <v>32</v>
      </c>
      <c r="D1216" s="21">
        <f ca="1">RANDBETWEEN(DATE(2020,1,1),DATE(2020,3,31))</f>
        <v>43834</v>
      </c>
      <c r="E1216" s="35">
        <v>4625690</v>
      </c>
      <c r="F1216" s="34">
        <v>8.8</v>
      </c>
      <c r="G1216" s="34">
        <v>8</v>
      </c>
      <c r="H1216" s="36">
        <v>4054074</v>
      </c>
      <c r="I1216" s="34">
        <v>0</v>
      </c>
      <c r="J1216" s="36">
        <v>0</v>
      </c>
      <c r="K1216" s="31">
        <v>0.68</v>
      </c>
    </row>
    <row r="1217" spans="1:11">
      <c r="A1217" s="34" t="s">
        <v>1287</v>
      </c>
      <c r="B1217" s="34" t="s">
        <v>9</v>
      </c>
      <c r="C1217" s="34" t="s">
        <v>47</v>
      </c>
      <c r="D1217" s="21">
        <f ca="1">RANDBETWEEN(DATE(2023,10,1),DATE(2023,12,31))</f>
        <v>45279</v>
      </c>
      <c r="E1217" s="35">
        <v>1334494</v>
      </c>
      <c r="F1217" s="37">
        <v>10.35</v>
      </c>
      <c r="G1217" s="34">
        <v>8</v>
      </c>
      <c r="H1217" s="36">
        <v>174154</v>
      </c>
      <c r="I1217" s="34">
        <v>0</v>
      </c>
      <c r="J1217" s="36">
        <v>0</v>
      </c>
      <c r="K1217" s="32">
        <v>0.74</v>
      </c>
    </row>
    <row r="1218" spans="1:11">
      <c r="A1218" s="34" t="s">
        <v>1288</v>
      </c>
      <c r="B1218" s="34" t="s">
        <v>9</v>
      </c>
      <c r="C1218" s="34" t="s">
        <v>36</v>
      </c>
      <c r="D1218" s="21">
        <f ca="1">RANDBETWEEN(DATE(2021,1,1),DATE(2021,3,31))</f>
        <v>44218</v>
      </c>
      <c r="E1218" s="35">
        <v>125212</v>
      </c>
      <c r="F1218" s="37">
        <v>10.62</v>
      </c>
      <c r="G1218" s="34">
        <v>59</v>
      </c>
      <c r="H1218" s="36">
        <v>15201</v>
      </c>
      <c r="I1218" s="34">
        <v>1</v>
      </c>
      <c r="J1218" s="36">
        <v>6351</v>
      </c>
      <c r="K1218" s="30">
        <v>0.744</v>
      </c>
    </row>
    <row r="1219" spans="1:11">
      <c r="A1219" s="34" t="s">
        <v>1289</v>
      </c>
      <c r="B1219" s="34" t="s">
        <v>10</v>
      </c>
      <c r="C1219" s="34" t="s">
        <v>30</v>
      </c>
      <c r="D1219" s="21">
        <f ca="1">RANDBETWEEN(DATE(2019,7,1),DATE(2019,9,30))</f>
        <v>43720</v>
      </c>
      <c r="E1219" s="35">
        <v>4968108</v>
      </c>
      <c r="F1219" s="34">
        <v>9.85</v>
      </c>
      <c r="G1219" s="34">
        <v>37</v>
      </c>
      <c r="H1219" s="36">
        <v>1309994</v>
      </c>
      <c r="I1219" s="34">
        <v>1</v>
      </c>
      <c r="J1219" s="36">
        <v>305935</v>
      </c>
      <c r="K1219" s="31">
        <v>0.71</v>
      </c>
    </row>
    <row r="1220" spans="1:11">
      <c r="A1220" s="34" t="s">
        <v>1290</v>
      </c>
      <c r="B1220" s="34" t="s">
        <v>8</v>
      </c>
      <c r="C1220" s="34" t="s">
        <v>40</v>
      </c>
      <c r="D1220" s="21">
        <f ca="1">RANDBETWEEN(DATE(2022,1,1),DATE(2022,3,31))</f>
        <v>44636</v>
      </c>
      <c r="E1220" s="35">
        <v>6442687</v>
      </c>
      <c r="F1220" s="34">
        <v>8.34</v>
      </c>
      <c r="G1220" s="34">
        <v>205</v>
      </c>
      <c r="H1220" s="36">
        <v>693364</v>
      </c>
      <c r="I1220" s="34">
        <v>0</v>
      </c>
      <c r="J1220" s="36">
        <v>0</v>
      </c>
      <c r="K1220" s="31">
        <v>0.71</v>
      </c>
    </row>
    <row r="1221" spans="1:11">
      <c r="A1221" s="34" t="s">
        <v>1291</v>
      </c>
      <c r="B1221" s="34" t="s">
        <v>8</v>
      </c>
      <c r="C1221" s="34" t="s">
        <v>44</v>
      </c>
      <c r="D1221" s="21">
        <f ca="1">RANDBETWEEN(DATE(2023,1,1),DATE(2023,3,31))</f>
        <v>44953</v>
      </c>
      <c r="E1221" s="35">
        <v>5833077</v>
      </c>
      <c r="F1221" s="34">
        <v>8.38</v>
      </c>
      <c r="G1221" s="34">
        <v>72</v>
      </c>
      <c r="H1221" s="36">
        <v>4535449</v>
      </c>
      <c r="I1221" s="34">
        <v>0</v>
      </c>
      <c r="J1221" s="36">
        <v>0</v>
      </c>
      <c r="K1221" s="31">
        <v>0.73</v>
      </c>
    </row>
    <row r="1222" spans="1:11">
      <c r="A1222" s="34" t="s">
        <v>1292</v>
      </c>
      <c r="B1222" s="34" t="s">
        <v>8</v>
      </c>
      <c r="C1222" s="34" t="s">
        <v>43</v>
      </c>
      <c r="D1222" s="21">
        <f ca="1">RANDBETWEEN(DATE(2022,10,1),DATE(2022,12,31))</f>
        <v>44899</v>
      </c>
      <c r="E1222" s="35">
        <v>582162</v>
      </c>
      <c r="F1222" s="34">
        <v>7.5</v>
      </c>
      <c r="G1222" s="34">
        <v>122</v>
      </c>
      <c r="H1222" s="36">
        <v>470593</v>
      </c>
      <c r="I1222" s="34">
        <v>0</v>
      </c>
      <c r="J1222" s="36">
        <v>0</v>
      </c>
      <c r="K1222" s="31">
        <v>0.71</v>
      </c>
    </row>
    <row r="1223" spans="1:11">
      <c r="A1223" s="34" t="s">
        <v>1293</v>
      </c>
      <c r="B1223" s="34" t="s">
        <v>8</v>
      </c>
      <c r="C1223" s="34" t="s">
        <v>30</v>
      </c>
      <c r="D1223" s="21">
        <f ca="1">RANDBETWEEN(DATE(2019,7,1),DATE(2019,9,30))</f>
        <v>43653</v>
      </c>
      <c r="E1223" s="35">
        <v>5375203</v>
      </c>
      <c r="F1223" s="34">
        <v>8.42</v>
      </c>
      <c r="G1223" s="34">
        <v>101</v>
      </c>
      <c r="H1223" s="36">
        <v>5076475</v>
      </c>
      <c r="I1223" s="34">
        <v>0</v>
      </c>
      <c r="J1223" s="36">
        <v>0</v>
      </c>
      <c r="K1223" s="31">
        <v>0.71</v>
      </c>
    </row>
    <row r="1224" spans="1:11">
      <c r="A1224" s="34" t="s">
        <v>1294</v>
      </c>
      <c r="B1224" s="34" t="s">
        <v>9</v>
      </c>
      <c r="C1224" s="34" t="s">
        <v>48</v>
      </c>
      <c r="D1224" s="21">
        <f ca="1">RANDBETWEEN(DATE(2024,1,1),DATE(2024,3,31))</f>
        <v>45339</v>
      </c>
      <c r="E1224" s="35">
        <v>1282394</v>
      </c>
      <c r="F1224" s="37">
        <v>10.11</v>
      </c>
      <c r="G1224" s="34">
        <v>12</v>
      </c>
      <c r="H1224" s="36">
        <v>910010</v>
      </c>
      <c r="I1224" s="34">
        <v>0</v>
      </c>
      <c r="J1224" s="36">
        <v>0</v>
      </c>
      <c r="K1224" s="31">
        <v>0.75</v>
      </c>
    </row>
    <row r="1225" spans="1:11">
      <c r="A1225" s="34" t="s">
        <v>1295</v>
      </c>
      <c r="B1225" s="34" t="s">
        <v>10</v>
      </c>
      <c r="C1225" s="34" t="s">
        <v>35</v>
      </c>
      <c r="D1225" s="21">
        <f ca="1">RANDBETWEEN(DATE(2020,10,1),DATE(2020,12,31))</f>
        <v>44180</v>
      </c>
      <c r="E1225" s="35">
        <v>754212</v>
      </c>
      <c r="F1225" s="34">
        <v>9.11</v>
      </c>
      <c r="G1225" s="34">
        <v>9</v>
      </c>
      <c r="H1225" s="36">
        <v>685926</v>
      </c>
      <c r="I1225" s="34">
        <v>0</v>
      </c>
      <c r="J1225" s="36">
        <v>0</v>
      </c>
      <c r="K1225" s="31">
        <v>0.68</v>
      </c>
    </row>
    <row r="1226" spans="1:11">
      <c r="A1226" s="34" t="s">
        <v>1296</v>
      </c>
      <c r="B1226" s="34" t="s">
        <v>10</v>
      </c>
      <c r="C1226" s="34" t="s">
        <v>29</v>
      </c>
      <c r="D1226" s="21">
        <f ca="1">RANDBETWEEN(DATE(2019,4,1),DATE(2019,6,30))</f>
        <v>43599</v>
      </c>
      <c r="E1226" s="35">
        <v>3986910</v>
      </c>
      <c r="F1226" s="34">
        <v>10.14</v>
      </c>
      <c r="G1226" s="34">
        <v>46</v>
      </c>
      <c r="H1226" s="36">
        <v>1503328</v>
      </c>
      <c r="I1226" s="34">
        <v>0</v>
      </c>
      <c r="J1226" s="36">
        <v>0</v>
      </c>
      <c r="K1226" s="31">
        <v>0.71</v>
      </c>
    </row>
    <row r="1227" spans="1:11">
      <c r="A1227" s="34" t="s">
        <v>1297</v>
      </c>
      <c r="B1227" s="34" t="s">
        <v>10</v>
      </c>
      <c r="C1227" s="34" t="s">
        <v>39</v>
      </c>
      <c r="D1227" s="21">
        <f ca="1">RANDBETWEEN(DATE(2021,10,1),DATE(2021,12,31))</f>
        <v>44526</v>
      </c>
      <c r="E1227" s="35">
        <v>1521605</v>
      </c>
      <c r="F1227" s="34">
        <v>8.67</v>
      </c>
      <c r="G1227" s="34">
        <v>8</v>
      </c>
      <c r="H1227" s="36">
        <v>1348482</v>
      </c>
      <c r="I1227" s="34">
        <v>1</v>
      </c>
      <c r="J1227" s="36">
        <v>246404</v>
      </c>
      <c r="K1227" s="31">
        <v>0.71</v>
      </c>
    </row>
    <row r="1228" spans="1:11">
      <c r="A1228" s="34" t="s">
        <v>1298</v>
      </c>
      <c r="B1228" s="34" t="s">
        <v>9</v>
      </c>
      <c r="C1228" s="34" t="s">
        <v>30</v>
      </c>
      <c r="D1228" s="21">
        <f ca="1">RANDBETWEEN(DATE(2019,7,1),DATE(2019,9,30))</f>
        <v>43704</v>
      </c>
      <c r="E1228" s="35">
        <v>183759</v>
      </c>
      <c r="F1228" s="37">
        <v>11.58</v>
      </c>
      <c r="G1228" s="34">
        <v>21</v>
      </c>
      <c r="H1228" s="36">
        <v>53948</v>
      </c>
      <c r="I1228" s="34">
        <v>0</v>
      </c>
      <c r="J1228" s="36">
        <v>0</v>
      </c>
      <c r="K1228" s="31">
        <v>0.71</v>
      </c>
    </row>
    <row r="1229" spans="1:11">
      <c r="A1229" s="34" t="s">
        <v>1299</v>
      </c>
      <c r="B1229" s="34" t="s">
        <v>6</v>
      </c>
      <c r="C1229" s="34" t="s">
        <v>45</v>
      </c>
      <c r="D1229" s="21">
        <f ca="1">RANDBETWEEN(DATE(2023,4,1),DATE(2023,6,30))</f>
        <v>45021</v>
      </c>
      <c r="E1229" s="35">
        <v>731697</v>
      </c>
      <c r="F1229" s="34">
        <v>7.43</v>
      </c>
      <c r="G1229" s="34">
        <v>12</v>
      </c>
      <c r="H1229" s="36">
        <v>321443</v>
      </c>
      <c r="I1229" s="34">
        <v>0</v>
      </c>
      <c r="J1229" s="36">
        <v>0</v>
      </c>
      <c r="K1229" s="31">
        <v>0.73</v>
      </c>
    </row>
    <row r="1230" spans="1:11">
      <c r="A1230" s="34" t="s">
        <v>1300</v>
      </c>
      <c r="B1230" s="34" t="s">
        <v>6</v>
      </c>
      <c r="C1230" s="34" t="s">
        <v>42</v>
      </c>
      <c r="D1230" s="21">
        <f ca="1">RANDBETWEEN(DATE(2022,7,1),DATE(2022,9,30))</f>
        <v>44772</v>
      </c>
      <c r="E1230" s="35">
        <v>993368</v>
      </c>
      <c r="F1230" s="34">
        <v>7.68</v>
      </c>
      <c r="G1230" s="34">
        <v>7</v>
      </c>
      <c r="H1230" s="36">
        <v>481034</v>
      </c>
      <c r="I1230" s="34">
        <v>1</v>
      </c>
      <c r="J1230" s="36">
        <v>290145</v>
      </c>
      <c r="K1230" s="31">
        <v>0.73</v>
      </c>
    </row>
    <row r="1231" spans="1:11">
      <c r="A1231" s="34" t="s">
        <v>1301</v>
      </c>
      <c r="B1231" s="34" t="s">
        <v>8</v>
      </c>
      <c r="C1231" s="34" t="s">
        <v>39</v>
      </c>
      <c r="D1231" s="21">
        <f ca="1">RANDBETWEEN(DATE(2021,10,1),DATE(2021,12,31))</f>
        <v>44510</v>
      </c>
      <c r="E1231" s="35">
        <v>9881373</v>
      </c>
      <c r="F1231" s="34">
        <v>8.37</v>
      </c>
      <c r="G1231" s="34">
        <v>157</v>
      </c>
      <c r="H1231" s="36">
        <v>5621486</v>
      </c>
      <c r="I1231" s="34">
        <v>1</v>
      </c>
      <c r="J1231" s="36">
        <v>3776559</v>
      </c>
      <c r="K1231" s="31">
        <v>0.71</v>
      </c>
    </row>
    <row r="1232" spans="1:11">
      <c r="A1232" s="34" t="s">
        <v>1302</v>
      </c>
      <c r="B1232" s="34" t="s">
        <v>6</v>
      </c>
      <c r="C1232" s="34" t="s">
        <v>44</v>
      </c>
      <c r="D1232" s="21">
        <f ca="1">RANDBETWEEN(DATE(2023,1,1),DATE(2023,3,31))</f>
        <v>44958</v>
      </c>
      <c r="E1232" s="35">
        <v>138765</v>
      </c>
      <c r="F1232" s="34">
        <v>7.71</v>
      </c>
      <c r="G1232" s="34">
        <v>42</v>
      </c>
      <c r="H1232" s="36">
        <v>109868</v>
      </c>
      <c r="I1232" s="34">
        <v>0</v>
      </c>
      <c r="J1232" s="36">
        <v>0</v>
      </c>
      <c r="K1232" s="31">
        <v>0.73</v>
      </c>
    </row>
    <row r="1233" spans="1:11">
      <c r="A1233" s="34" t="s">
        <v>1303</v>
      </c>
      <c r="B1233" s="34" t="s">
        <v>6</v>
      </c>
      <c r="C1233" s="34" t="s">
        <v>42</v>
      </c>
      <c r="D1233" s="21">
        <f ca="1">RANDBETWEEN(DATE(2022,7,1),DATE(2022,9,30))</f>
        <v>44775</v>
      </c>
      <c r="E1233" s="35">
        <v>573672</v>
      </c>
      <c r="F1233" s="34">
        <v>8.48</v>
      </c>
      <c r="G1233" s="34">
        <v>39</v>
      </c>
      <c r="H1233" s="36">
        <v>479099</v>
      </c>
      <c r="I1233" s="34">
        <v>0</v>
      </c>
      <c r="J1233" s="36">
        <v>0</v>
      </c>
      <c r="K1233" s="31">
        <v>0.73</v>
      </c>
    </row>
    <row r="1234" spans="1:11">
      <c r="A1234" s="34" t="s">
        <v>1304</v>
      </c>
      <c r="B1234" s="34" t="s">
        <v>6</v>
      </c>
      <c r="C1234" s="34" t="s">
        <v>35</v>
      </c>
      <c r="D1234" s="21">
        <f ca="1">RANDBETWEEN(DATE(2020,10,1),DATE(2020,12,31))</f>
        <v>44107</v>
      </c>
      <c r="E1234" s="35">
        <v>324065</v>
      </c>
      <c r="F1234" s="34">
        <v>8.21</v>
      </c>
      <c r="G1234" s="34">
        <v>46</v>
      </c>
      <c r="H1234" s="36">
        <v>299005</v>
      </c>
      <c r="I1234" s="34">
        <v>0</v>
      </c>
      <c r="J1234" s="36">
        <v>0</v>
      </c>
      <c r="K1234" s="31">
        <v>0.68</v>
      </c>
    </row>
    <row r="1235" spans="1:11">
      <c r="A1235" s="34" t="s">
        <v>1305</v>
      </c>
      <c r="B1235" s="34" t="s">
        <v>6</v>
      </c>
      <c r="C1235" s="34" t="s">
        <v>33</v>
      </c>
      <c r="D1235" s="21">
        <f ca="1">RANDBETWEEN(DATE(2020,4,1),DATE(2020,6,30))</f>
        <v>43949</v>
      </c>
      <c r="E1235" s="35">
        <v>988810</v>
      </c>
      <c r="F1235" s="34">
        <v>7.53</v>
      </c>
      <c r="G1235" s="34">
        <v>44</v>
      </c>
      <c r="H1235" s="36">
        <v>55514</v>
      </c>
      <c r="I1235" s="34">
        <v>0</v>
      </c>
      <c r="J1235" s="36">
        <v>0</v>
      </c>
      <c r="K1235" s="31">
        <v>0.72</v>
      </c>
    </row>
    <row r="1236" spans="1:11">
      <c r="A1236" s="34" t="s">
        <v>1306</v>
      </c>
      <c r="B1236" s="34" t="s">
        <v>6</v>
      </c>
      <c r="C1236" s="34" t="s">
        <v>35</v>
      </c>
      <c r="D1236" s="21">
        <f ca="1">RANDBETWEEN(DATE(2020,10,1),DATE(2020,12,31))</f>
        <v>44179</v>
      </c>
      <c r="E1236" s="35">
        <v>384545</v>
      </c>
      <c r="F1236" s="34">
        <v>7.6</v>
      </c>
      <c r="G1236" s="34">
        <v>7</v>
      </c>
      <c r="H1236" s="36">
        <v>239082</v>
      </c>
      <c r="I1236" s="34">
        <v>0</v>
      </c>
      <c r="J1236" s="36">
        <v>0</v>
      </c>
      <c r="K1236" s="31">
        <v>0.68</v>
      </c>
    </row>
    <row r="1237" spans="1:11">
      <c r="A1237" s="34" t="s">
        <v>1307</v>
      </c>
      <c r="B1237" s="19" t="s">
        <v>7</v>
      </c>
      <c r="C1237" s="34" t="s">
        <v>32</v>
      </c>
      <c r="D1237" s="21">
        <f ca="1">RANDBETWEEN(DATE(2020,1,1),DATE(2020,3,31))</f>
        <v>43836</v>
      </c>
      <c r="E1237" s="35">
        <v>1987110</v>
      </c>
      <c r="F1237" s="34">
        <v>10.84</v>
      </c>
      <c r="G1237" s="34">
        <v>8</v>
      </c>
      <c r="H1237" s="36">
        <v>1624097</v>
      </c>
      <c r="I1237" s="34">
        <v>1</v>
      </c>
      <c r="J1237" s="36">
        <v>1009000</v>
      </c>
      <c r="K1237" s="31">
        <v>0.68</v>
      </c>
    </row>
    <row r="1238" spans="1:11">
      <c r="A1238" s="34" t="s">
        <v>1308</v>
      </c>
      <c r="B1238" s="34" t="s">
        <v>6</v>
      </c>
      <c r="C1238" s="34" t="s">
        <v>47</v>
      </c>
      <c r="D1238" s="21">
        <f ca="1">RANDBETWEEN(DATE(2023,10,1),DATE(2023,12,31))</f>
        <v>45269</v>
      </c>
      <c r="E1238" s="35">
        <v>591522</v>
      </c>
      <c r="F1238" s="34">
        <v>7.89</v>
      </c>
      <c r="G1238" s="34">
        <v>10</v>
      </c>
      <c r="H1238" s="36">
        <v>147638</v>
      </c>
      <c r="I1238" s="34">
        <v>0</v>
      </c>
      <c r="J1238" s="36">
        <v>0</v>
      </c>
      <c r="K1238" s="32">
        <v>0.74</v>
      </c>
    </row>
    <row r="1239" spans="1:11">
      <c r="A1239" s="34" t="s">
        <v>1309</v>
      </c>
      <c r="B1239" s="34" t="s">
        <v>9</v>
      </c>
      <c r="C1239" s="34" t="s">
        <v>32</v>
      </c>
      <c r="D1239" s="21">
        <f ca="1">RANDBETWEEN(DATE(2020,1,1),DATE(2020,3,31))</f>
        <v>43852</v>
      </c>
      <c r="E1239" s="35">
        <v>44624</v>
      </c>
      <c r="F1239" s="37">
        <v>11.41</v>
      </c>
      <c r="G1239" s="34">
        <v>17</v>
      </c>
      <c r="H1239" s="36">
        <v>38437</v>
      </c>
      <c r="I1239" s="34">
        <v>0</v>
      </c>
      <c r="J1239" s="36">
        <v>0</v>
      </c>
      <c r="K1239" s="31">
        <v>0.68</v>
      </c>
    </row>
    <row r="1240" spans="1:11">
      <c r="A1240" s="34" t="s">
        <v>1310</v>
      </c>
      <c r="B1240" s="34" t="s">
        <v>9</v>
      </c>
      <c r="C1240" s="34" t="s">
        <v>34</v>
      </c>
      <c r="D1240" s="21">
        <f ca="1">RANDBETWEEN(DATE(2020,7,1),DATE(2020,9,30))</f>
        <v>44101</v>
      </c>
      <c r="E1240" s="35">
        <v>782099</v>
      </c>
      <c r="F1240" s="37">
        <v>9.49</v>
      </c>
      <c r="G1240" s="34">
        <v>11</v>
      </c>
      <c r="H1240" s="36">
        <v>138036</v>
      </c>
      <c r="I1240" s="34">
        <v>0</v>
      </c>
      <c r="J1240" s="36">
        <v>0</v>
      </c>
      <c r="K1240" s="31">
        <v>0.68</v>
      </c>
    </row>
    <row r="1241" spans="1:11">
      <c r="A1241" s="34" t="s">
        <v>1311</v>
      </c>
      <c r="B1241" s="19" t="s">
        <v>7</v>
      </c>
      <c r="C1241" s="34" t="s">
        <v>46</v>
      </c>
      <c r="D1241" s="21">
        <f ca="1">RANDBETWEEN(DATE(2023,7,1),DATE(2023,9,30))</f>
        <v>45165</v>
      </c>
      <c r="E1241" s="35">
        <v>1801629</v>
      </c>
      <c r="F1241" s="34">
        <v>11.48</v>
      </c>
      <c r="G1241" s="34">
        <v>12</v>
      </c>
      <c r="H1241" s="36">
        <v>1460978</v>
      </c>
      <c r="I1241" s="34">
        <v>0</v>
      </c>
      <c r="J1241" s="36">
        <v>0</v>
      </c>
      <c r="K1241" s="32">
        <v>0.74</v>
      </c>
    </row>
    <row r="1242" spans="1:11">
      <c r="A1242" s="34" t="s">
        <v>1312</v>
      </c>
      <c r="B1242" s="34" t="s">
        <v>9</v>
      </c>
      <c r="C1242" s="34" t="s">
        <v>31</v>
      </c>
      <c r="D1242" s="21">
        <f ca="1">RANDBETWEEN(DATE(2019,10,1),DATE(2019,12,31))</f>
        <v>43780</v>
      </c>
      <c r="E1242" s="35">
        <v>1002807</v>
      </c>
      <c r="F1242" s="37">
        <v>9.13</v>
      </c>
      <c r="G1242" s="34">
        <v>7</v>
      </c>
      <c r="H1242" s="36">
        <v>778709</v>
      </c>
      <c r="I1242" s="34">
        <v>1</v>
      </c>
      <c r="J1242" s="36">
        <v>467879</v>
      </c>
      <c r="K1242" s="31">
        <v>0.7</v>
      </c>
    </row>
    <row r="1243" spans="1:11">
      <c r="A1243" s="34" t="s">
        <v>1313</v>
      </c>
      <c r="B1243" s="19" t="s">
        <v>7</v>
      </c>
      <c r="C1243" s="34" t="s">
        <v>48</v>
      </c>
      <c r="D1243" s="21">
        <f ca="1">RANDBETWEEN(DATE(2024,1,1),DATE(2024,3,31))</f>
        <v>45331</v>
      </c>
      <c r="E1243" s="35">
        <v>962371</v>
      </c>
      <c r="F1243" s="34">
        <v>10.64</v>
      </c>
      <c r="G1243" s="34">
        <v>12</v>
      </c>
      <c r="H1243" s="36">
        <v>628724</v>
      </c>
      <c r="I1243" s="34">
        <v>0</v>
      </c>
      <c r="J1243" s="36">
        <v>0</v>
      </c>
      <c r="K1243" s="31">
        <v>0.75</v>
      </c>
    </row>
    <row r="1244" spans="1:11">
      <c r="A1244" s="34" t="s">
        <v>1314</v>
      </c>
      <c r="B1244" s="34" t="s">
        <v>10</v>
      </c>
      <c r="C1244" s="34" t="s">
        <v>43</v>
      </c>
      <c r="D1244" s="21">
        <f ca="1">RANDBETWEEN(DATE(2022,10,1),DATE(2022,12,31))</f>
        <v>44867</v>
      </c>
      <c r="E1244" s="35">
        <v>3443342</v>
      </c>
      <c r="F1244" s="34">
        <v>9.58</v>
      </c>
      <c r="G1244" s="34">
        <v>23</v>
      </c>
      <c r="H1244" s="36">
        <v>2719264</v>
      </c>
      <c r="I1244" s="34">
        <v>1</v>
      </c>
      <c r="J1244" s="36">
        <v>990009</v>
      </c>
      <c r="K1244" s="31">
        <v>0.71</v>
      </c>
    </row>
    <row r="1245" spans="1:11">
      <c r="A1245" s="34" t="s">
        <v>1315</v>
      </c>
      <c r="B1245" s="34" t="s">
        <v>10</v>
      </c>
      <c r="C1245" s="34" t="s">
        <v>31</v>
      </c>
      <c r="D1245" s="21">
        <f ca="1">RANDBETWEEN(DATE(2019,10,1),DATE(2019,12,31))</f>
        <v>43801</v>
      </c>
      <c r="E1245" s="35">
        <v>2561259</v>
      </c>
      <c r="F1245" s="34">
        <v>9.43</v>
      </c>
      <c r="G1245" s="34">
        <v>12</v>
      </c>
      <c r="H1245" s="36">
        <v>1010061</v>
      </c>
      <c r="I1245" s="34">
        <v>1</v>
      </c>
      <c r="J1245" s="36">
        <v>631170</v>
      </c>
      <c r="K1245" s="31">
        <v>0.7</v>
      </c>
    </row>
    <row r="1246" spans="1:11">
      <c r="A1246" s="34" t="s">
        <v>1316</v>
      </c>
      <c r="B1246" s="34" t="s">
        <v>6</v>
      </c>
      <c r="C1246" s="34" t="s">
        <v>43</v>
      </c>
      <c r="D1246" s="21">
        <f ca="1">RANDBETWEEN(DATE(2022,10,1),DATE(2022,12,31))</f>
        <v>44880</v>
      </c>
      <c r="E1246" s="35">
        <v>510355</v>
      </c>
      <c r="F1246" s="34">
        <v>7.68</v>
      </c>
      <c r="G1246" s="34">
        <v>6</v>
      </c>
      <c r="H1246" s="36">
        <v>54175</v>
      </c>
      <c r="I1246" s="34">
        <v>1</v>
      </c>
      <c r="J1246" s="36">
        <v>13954</v>
      </c>
      <c r="K1246" s="31">
        <v>0.71</v>
      </c>
    </row>
    <row r="1247" spans="1:11">
      <c r="A1247" s="34" t="s">
        <v>1317</v>
      </c>
      <c r="B1247" s="34" t="s">
        <v>6</v>
      </c>
      <c r="C1247" s="34" t="s">
        <v>38</v>
      </c>
      <c r="D1247" s="21">
        <f ca="1">RANDBETWEEN(DATE(2021,7,1),DATE(2021,9,30))</f>
        <v>44424</v>
      </c>
      <c r="E1247" s="35">
        <v>411650</v>
      </c>
      <c r="F1247" s="34">
        <v>7.86</v>
      </c>
      <c r="G1247" s="34">
        <v>8</v>
      </c>
      <c r="H1247" s="36">
        <v>33385</v>
      </c>
      <c r="I1247" s="34">
        <v>0</v>
      </c>
      <c r="J1247" s="36">
        <v>0</v>
      </c>
      <c r="K1247" s="33">
        <v>0.68</v>
      </c>
    </row>
    <row r="1248" spans="1:11">
      <c r="A1248" s="34" t="s">
        <v>1318</v>
      </c>
      <c r="B1248" s="34" t="s">
        <v>10</v>
      </c>
      <c r="C1248" s="34" t="s">
        <v>38</v>
      </c>
      <c r="D1248" s="21">
        <f ca="1">RANDBETWEEN(DATE(2021,7,1),DATE(2021,9,30))</f>
        <v>44433</v>
      </c>
      <c r="E1248" s="35">
        <v>2674981</v>
      </c>
      <c r="F1248" s="34">
        <v>10.66</v>
      </c>
      <c r="G1248" s="34">
        <v>109</v>
      </c>
      <c r="H1248" s="36">
        <v>2437784</v>
      </c>
      <c r="I1248" s="34">
        <v>1</v>
      </c>
      <c r="J1248" s="36">
        <v>891034</v>
      </c>
      <c r="K1248" s="33">
        <v>0.68</v>
      </c>
    </row>
    <row r="1249" spans="1:11">
      <c r="A1249" s="34" t="s">
        <v>1319</v>
      </c>
      <c r="B1249" s="34" t="s">
        <v>9</v>
      </c>
      <c r="C1249" s="34" t="s">
        <v>39</v>
      </c>
      <c r="D1249" s="21">
        <f ca="1">RANDBETWEEN(DATE(2021,10,1),DATE(2021,12,31))</f>
        <v>44541</v>
      </c>
      <c r="E1249" s="35">
        <v>557663</v>
      </c>
      <c r="F1249" s="37">
        <v>10.54</v>
      </c>
      <c r="G1249" s="34">
        <v>30</v>
      </c>
      <c r="H1249" s="36">
        <v>488820</v>
      </c>
      <c r="I1249" s="34">
        <v>1</v>
      </c>
      <c r="J1249" s="36">
        <v>326130</v>
      </c>
      <c r="K1249" s="31">
        <v>0.71</v>
      </c>
    </row>
    <row r="1250" spans="1:11">
      <c r="A1250" s="34" t="s">
        <v>1320</v>
      </c>
      <c r="B1250" s="34" t="s">
        <v>9</v>
      </c>
      <c r="C1250" s="34" t="s">
        <v>42</v>
      </c>
      <c r="D1250" s="21">
        <f ca="1">RANDBETWEEN(DATE(2022,7,1),DATE(2022,9,30))</f>
        <v>44777</v>
      </c>
      <c r="E1250" s="35">
        <v>1585637</v>
      </c>
      <c r="F1250" s="37">
        <v>10.87</v>
      </c>
      <c r="G1250" s="34">
        <v>24</v>
      </c>
      <c r="H1250" s="36">
        <v>477792</v>
      </c>
      <c r="I1250" s="34">
        <v>0</v>
      </c>
      <c r="J1250" s="36">
        <v>0</v>
      </c>
      <c r="K1250" s="31">
        <v>0.73</v>
      </c>
    </row>
    <row r="1251" spans="1:11">
      <c r="A1251" s="34" t="s">
        <v>1321</v>
      </c>
      <c r="B1251" s="34" t="s">
        <v>8</v>
      </c>
      <c r="C1251" s="34" t="s">
        <v>45</v>
      </c>
      <c r="D1251" s="21">
        <f ca="1">RANDBETWEEN(DATE(2023,4,1),DATE(2023,6,30))</f>
        <v>45043</v>
      </c>
      <c r="E1251" s="35">
        <v>6990108</v>
      </c>
      <c r="F1251" s="34">
        <v>7.52</v>
      </c>
      <c r="G1251" s="34">
        <v>289</v>
      </c>
      <c r="H1251" s="36">
        <v>3542620</v>
      </c>
      <c r="I1251" s="34">
        <v>0</v>
      </c>
      <c r="J1251" s="36">
        <v>0</v>
      </c>
      <c r="K1251" s="31">
        <v>0.73</v>
      </c>
    </row>
    <row r="1252" spans="1:11">
      <c r="A1252" s="34" t="s">
        <v>1322</v>
      </c>
      <c r="B1252" s="34" t="s">
        <v>10</v>
      </c>
      <c r="C1252" s="34" t="s">
        <v>48</v>
      </c>
      <c r="D1252" s="21">
        <f ca="1">RANDBETWEEN(DATE(2024,1,1),DATE(2024,3,31))</f>
        <v>45314</v>
      </c>
      <c r="E1252" s="35">
        <v>297790</v>
      </c>
      <c r="F1252" s="34">
        <v>9.95</v>
      </c>
      <c r="G1252" s="34">
        <v>30</v>
      </c>
      <c r="H1252" s="36">
        <v>287744</v>
      </c>
      <c r="I1252" s="34">
        <v>1</v>
      </c>
      <c r="J1252" s="36">
        <v>133624</v>
      </c>
      <c r="K1252" s="31">
        <v>0.75</v>
      </c>
    </row>
    <row r="1253" spans="1:11">
      <c r="A1253" s="34" t="s">
        <v>1323</v>
      </c>
      <c r="B1253" s="34" t="s">
        <v>10</v>
      </c>
      <c r="C1253" s="34" t="s">
        <v>33</v>
      </c>
      <c r="D1253" s="21">
        <f ca="1">RANDBETWEEN(DATE(2020,4,1),DATE(2020,6,30))</f>
        <v>43997</v>
      </c>
      <c r="E1253" s="35">
        <v>3490652</v>
      </c>
      <c r="F1253" s="34">
        <v>11.44</v>
      </c>
      <c r="G1253" s="34">
        <v>111</v>
      </c>
      <c r="H1253" s="36">
        <v>2482573</v>
      </c>
      <c r="I1253" s="34">
        <v>1</v>
      </c>
      <c r="J1253" s="36">
        <v>1684342</v>
      </c>
      <c r="K1253" s="31">
        <v>0.72</v>
      </c>
    </row>
    <row r="1254" spans="1:11">
      <c r="A1254" s="34" t="s">
        <v>1324</v>
      </c>
      <c r="B1254" s="34" t="s">
        <v>10</v>
      </c>
      <c r="C1254" s="34" t="s">
        <v>46</v>
      </c>
      <c r="D1254" s="21">
        <f ca="1">RANDBETWEEN(DATE(2023,7,1),DATE(2023,9,30))</f>
        <v>45143</v>
      </c>
      <c r="E1254" s="35">
        <v>2622072</v>
      </c>
      <c r="F1254" s="34">
        <v>8.55</v>
      </c>
      <c r="G1254" s="34">
        <v>8</v>
      </c>
      <c r="H1254" s="36">
        <v>639755</v>
      </c>
      <c r="I1254" s="34">
        <v>0</v>
      </c>
      <c r="J1254" s="36">
        <v>0</v>
      </c>
      <c r="K1254" s="31">
        <v>0.76</v>
      </c>
    </row>
    <row r="1255" spans="1:11">
      <c r="A1255" s="34" t="s">
        <v>1325</v>
      </c>
      <c r="B1255" s="34" t="s">
        <v>10</v>
      </c>
      <c r="C1255" s="34" t="s">
        <v>45</v>
      </c>
      <c r="D1255" s="21">
        <f ca="1">RANDBETWEEN(DATE(2023,4,1),DATE(2023,6,30))</f>
        <v>45079</v>
      </c>
      <c r="E1255" s="35">
        <v>1843276</v>
      </c>
      <c r="F1255" s="34">
        <v>9.79</v>
      </c>
      <c r="G1255" s="34">
        <v>24</v>
      </c>
      <c r="H1255" s="36">
        <v>367377</v>
      </c>
      <c r="I1255" s="34">
        <v>1</v>
      </c>
      <c r="J1255" s="36">
        <v>236202</v>
      </c>
      <c r="K1255" s="31">
        <v>0.73</v>
      </c>
    </row>
    <row r="1256" spans="1:11">
      <c r="A1256" s="34" t="s">
        <v>1326</v>
      </c>
      <c r="B1256" s="34" t="s">
        <v>9</v>
      </c>
      <c r="C1256" s="34" t="s">
        <v>34</v>
      </c>
      <c r="D1256" s="21">
        <f ca="1">RANDBETWEEN(DATE(2020,7,1),DATE(2020,9,30))</f>
        <v>44103</v>
      </c>
      <c r="E1256" s="35">
        <v>1546762</v>
      </c>
      <c r="F1256" s="37">
        <v>11.39</v>
      </c>
      <c r="G1256" s="34">
        <v>59</v>
      </c>
      <c r="H1256" s="36">
        <v>1176139</v>
      </c>
      <c r="I1256" s="34">
        <v>0</v>
      </c>
      <c r="J1256" s="36">
        <v>0</v>
      </c>
      <c r="K1256" s="31">
        <v>0.68</v>
      </c>
    </row>
    <row r="1257" spans="1:11">
      <c r="A1257" s="34" t="s">
        <v>1327</v>
      </c>
      <c r="B1257" s="34" t="s">
        <v>6</v>
      </c>
      <c r="C1257" s="34" t="s">
        <v>31</v>
      </c>
      <c r="D1257" s="21">
        <f ca="1">RANDBETWEEN(DATE(2019,10,1),DATE(2019,12,31))</f>
        <v>43799</v>
      </c>
      <c r="E1257" s="35">
        <v>293850</v>
      </c>
      <c r="F1257" s="34">
        <v>7.99</v>
      </c>
      <c r="G1257" s="34">
        <v>11</v>
      </c>
      <c r="H1257" s="36">
        <v>108658</v>
      </c>
      <c r="I1257" s="34">
        <v>0</v>
      </c>
      <c r="J1257" s="36">
        <v>0</v>
      </c>
      <c r="K1257" s="31">
        <v>0.7</v>
      </c>
    </row>
    <row r="1258" spans="1:11">
      <c r="A1258" s="34" t="s">
        <v>1328</v>
      </c>
      <c r="B1258" s="34" t="s">
        <v>6</v>
      </c>
      <c r="C1258" s="34" t="s">
        <v>48</v>
      </c>
      <c r="D1258" s="21">
        <f ca="1">RANDBETWEEN(DATE(2024,1,1),DATE(2024,3,31))</f>
        <v>45309</v>
      </c>
      <c r="E1258" s="35">
        <v>233671</v>
      </c>
      <c r="F1258" s="34">
        <v>8.02</v>
      </c>
      <c r="G1258" s="34">
        <v>34</v>
      </c>
      <c r="H1258" s="36">
        <v>142158</v>
      </c>
      <c r="I1258" s="34">
        <v>0</v>
      </c>
      <c r="J1258" s="36">
        <v>0</v>
      </c>
      <c r="K1258" s="31">
        <v>0.75</v>
      </c>
    </row>
    <row r="1259" spans="1:11">
      <c r="A1259" s="34" t="s">
        <v>1329</v>
      </c>
      <c r="B1259" s="34" t="s">
        <v>9</v>
      </c>
      <c r="C1259" s="34" t="s">
        <v>41</v>
      </c>
      <c r="D1259" s="21">
        <f ca="1">RANDBETWEEN(DATE(2022,4,1),DATE(2022,6,30))</f>
        <v>44725</v>
      </c>
      <c r="E1259" s="35">
        <v>497628</v>
      </c>
      <c r="F1259" s="37">
        <v>9.57</v>
      </c>
      <c r="G1259" s="34">
        <v>9</v>
      </c>
      <c r="H1259" s="36">
        <v>436245</v>
      </c>
      <c r="I1259" s="34">
        <v>1</v>
      </c>
      <c r="J1259" s="36">
        <v>165230</v>
      </c>
      <c r="K1259" s="30">
        <v>0.727</v>
      </c>
    </row>
    <row r="1260" spans="1:11">
      <c r="A1260" s="34" t="s">
        <v>1330</v>
      </c>
      <c r="B1260" s="34" t="s">
        <v>6</v>
      </c>
      <c r="C1260" s="34" t="s">
        <v>44</v>
      </c>
      <c r="D1260" s="21">
        <f ca="1">RANDBETWEEN(DATE(2023,1,1),DATE(2023,3,31))</f>
        <v>44960</v>
      </c>
      <c r="E1260" s="35">
        <v>46243</v>
      </c>
      <c r="F1260" s="34">
        <v>7.62</v>
      </c>
      <c r="G1260" s="34">
        <v>12</v>
      </c>
      <c r="H1260" s="36">
        <v>8460</v>
      </c>
      <c r="I1260" s="34">
        <v>0</v>
      </c>
      <c r="J1260" s="36">
        <v>0</v>
      </c>
      <c r="K1260" s="31">
        <v>0.73</v>
      </c>
    </row>
    <row r="1261" spans="1:11">
      <c r="A1261" s="34" t="s">
        <v>1331</v>
      </c>
      <c r="B1261" s="34" t="s">
        <v>8</v>
      </c>
      <c r="C1261" s="34" t="s">
        <v>37</v>
      </c>
      <c r="D1261" s="21">
        <f ca="1">RANDBETWEEN(DATE(2021,4,1),DATE(2021,6,30))</f>
        <v>44295</v>
      </c>
      <c r="E1261" s="35">
        <v>8143954</v>
      </c>
      <c r="F1261" s="34">
        <v>8.01</v>
      </c>
      <c r="G1261" s="34">
        <v>222</v>
      </c>
      <c r="H1261" s="36">
        <v>6519225</v>
      </c>
      <c r="I1261" s="34">
        <v>1</v>
      </c>
      <c r="J1261" s="36">
        <v>3619982</v>
      </c>
      <c r="K1261" s="31">
        <v>0.72</v>
      </c>
    </row>
    <row r="1262" spans="1:11">
      <c r="A1262" s="34" t="s">
        <v>1332</v>
      </c>
      <c r="B1262" s="34" t="s">
        <v>6</v>
      </c>
      <c r="C1262" s="34" t="s">
        <v>30</v>
      </c>
      <c r="D1262" s="21">
        <f ca="1">RANDBETWEEN(DATE(2019,7,1),DATE(2019,9,30))</f>
        <v>43712</v>
      </c>
      <c r="E1262" s="35">
        <v>356668</v>
      </c>
      <c r="F1262" s="34">
        <v>8.4</v>
      </c>
      <c r="G1262" s="34">
        <v>17</v>
      </c>
      <c r="H1262" s="36">
        <v>142430</v>
      </c>
      <c r="I1262" s="34">
        <v>0</v>
      </c>
      <c r="J1262" s="36">
        <v>0</v>
      </c>
      <c r="K1262" s="31">
        <v>0.71</v>
      </c>
    </row>
    <row r="1263" spans="1:11">
      <c r="A1263" s="34" t="s">
        <v>1333</v>
      </c>
      <c r="B1263" s="34" t="s">
        <v>8</v>
      </c>
      <c r="C1263" s="34" t="s">
        <v>43</v>
      </c>
      <c r="D1263" s="21">
        <f ca="1">RANDBETWEEN(DATE(2022,10,1),DATE(2022,12,31))</f>
        <v>44872</v>
      </c>
      <c r="E1263" s="35">
        <v>9399177</v>
      </c>
      <c r="F1263" s="34">
        <v>7.82</v>
      </c>
      <c r="G1263" s="34">
        <v>210</v>
      </c>
      <c r="H1263" s="36">
        <v>7002669</v>
      </c>
      <c r="I1263" s="34">
        <v>0</v>
      </c>
      <c r="J1263" s="36">
        <v>0</v>
      </c>
      <c r="K1263" s="31">
        <v>0.71</v>
      </c>
    </row>
    <row r="1264" spans="1:11">
      <c r="A1264" s="34" t="s">
        <v>1334</v>
      </c>
      <c r="B1264" s="34" t="s">
        <v>6</v>
      </c>
      <c r="C1264" s="34" t="s">
        <v>29</v>
      </c>
      <c r="D1264" s="21">
        <f ca="1">RANDBETWEEN(DATE(2019,4,1),DATE(2019,6,30))</f>
        <v>43634</v>
      </c>
      <c r="E1264" s="35">
        <v>746720</v>
      </c>
      <c r="F1264" s="34">
        <v>8.35</v>
      </c>
      <c r="G1264" s="34">
        <v>19</v>
      </c>
      <c r="H1264" s="36">
        <v>706459</v>
      </c>
      <c r="I1264" s="34">
        <v>0</v>
      </c>
      <c r="J1264" s="36">
        <v>0</v>
      </c>
      <c r="K1264" s="31">
        <v>0.71</v>
      </c>
    </row>
    <row r="1265" spans="1:11">
      <c r="A1265" s="34" t="s">
        <v>1335</v>
      </c>
      <c r="B1265" s="34" t="s">
        <v>9</v>
      </c>
      <c r="C1265" s="34" t="s">
        <v>29</v>
      </c>
      <c r="D1265" s="21">
        <f ca="1">RANDBETWEEN(DATE(2019,4,1),DATE(2019,6,30))</f>
        <v>43628</v>
      </c>
      <c r="E1265" s="35">
        <v>193730</v>
      </c>
      <c r="F1265" s="37">
        <v>10.89</v>
      </c>
      <c r="G1265" s="34">
        <v>12</v>
      </c>
      <c r="H1265" s="36">
        <v>136307</v>
      </c>
      <c r="I1265" s="34">
        <v>0</v>
      </c>
      <c r="J1265" s="36">
        <v>0</v>
      </c>
      <c r="K1265" s="31">
        <v>0.71</v>
      </c>
    </row>
    <row r="1266" spans="1:11">
      <c r="A1266" s="34" t="s">
        <v>1336</v>
      </c>
      <c r="B1266" s="34" t="s">
        <v>9</v>
      </c>
      <c r="C1266" s="34" t="s">
        <v>45</v>
      </c>
      <c r="D1266" s="21">
        <f ca="1">RANDBETWEEN(DATE(2023,4,1),DATE(2023,6,30))</f>
        <v>45081</v>
      </c>
      <c r="E1266" s="35">
        <v>1572151</v>
      </c>
      <c r="F1266" s="37">
        <v>10.25</v>
      </c>
      <c r="G1266" s="34">
        <v>9</v>
      </c>
      <c r="H1266" s="36">
        <v>1492750</v>
      </c>
      <c r="I1266" s="34">
        <v>0</v>
      </c>
      <c r="J1266" s="36">
        <v>0</v>
      </c>
      <c r="K1266" s="31">
        <v>0.73</v>
      </c>
    </row>
    <row r="1267" spans="1:11">
      <c r="A1267" s="34" t="s">
        <v>1337</v>
      </c>
      <c r="B1267" s="34" t="s">
        <v>10</v>
      </c>
      <c r="C1267" s="34" t="s">
        <v>48</v>
      </c>
      <c r="D1267" s="21">
        <f ca="1">RANDBETWEEN(DATE(2024,1,1),DATE(2024,3,31))</f>
        <v>45357</v>
      </c>
      <c r="E1267" s="35">
        <v>1130409</v>
      </c>
      <c r="F1267" s="34">
        <v>10.06</v>
      </c>
      <c r="G1267" s="34">
        <v>19</v>
      </c>
      <c r="H1267" s="36">
        <v>642150</v>
      </c>
      <c r="I1267" s="34">
        <v>1</v>
      </c>
      <c r="J1267" s="36">
        <v>162662</v>
      </c>
      <c r="K1267" s="31">
        <v>0.75</v>
      </c>
    </row>
    <row r="1268" spans="1:11">
      <c r="A1268" s="34" t="s">
        <v>1338</v>
      </c>
      <c r="B1268" s="34" t="s">
        <v>9</v>
      </c>
      <c r="C1268" s="34" t="s">
        <v>48</v>
      </c>
      <c r="D1268" s="21">
        <f ca="1">RANDBETWEEN(DATE(2024,1,1),DATE(2024,3,31))</f>
        <v>45372</v>
      </c>
      <c r="E1268" s="35">
        <v>142783</v>
      </c>
      <c r="F1268" s="37">
        <v>11.02</v>
      </c>
      <c r="G1268" s="34">
        <v>20</v>
      </c>
      <c r="H1268" s="36">
        <v>116294</v>
      </c>
      <c r="I1268" s="34">
        <v>0</v>
      </c>
      <c r="J1268" s="36">
        <v>0</v>
      </c>
      <c r="K1268" s="31">
        <v>0.75</v>
      </c>
    </row>
    <row r="1269" spans="1:11">
      <c r="A1269" s="34" t="s">
        <v>1339</v>
      </c>
      <c r="B1269" s="34" t="s">
        <v>6</v>
      </c>
      <c r="C1269" s="34" t="s">
        <v>40</v>
      </c>
      <c r="D1269" s="21">
        <f ca="1">RANDBETWEEN(DATE(2022,1,1),DATE(2022,3,31))</f>
        <v>44621</v>
      </c>
      <c r="E1269" s="35">
        <v>120379</v>
      </c>
      <c r="F1269" s="34">
        <v>7.63</v>
      </c>
      <c r="G1269" s="34">
        <v>33</v>
      </c>
      <c r="H1269" s="36">
        <v>94018</v>
      </c>
      <c r="I1269" s="34">
        <v>0</v>
      </c>
      <c r="J1269" s="36">
        <v>0</v>
      </c>
      <c r="K1269" s="31">
        <v>0.71</v>
      </c>
    </row>
    <row r="1270" spans="1:11">
      <c r="A1270" s="34" t="s">
        <v>1340</v>
      </c>
      <c r="B1270" s="34" t="s">
        <v>8</v>
      </c>
      <c r="C1270" s="34" t="s">
        <v>37</v>
      </c>
      <c r="D1270" s="21">
        <f ca="1">RANDBETWEEN(DATE(2021,4,1),DATE(2021,6,30))</f>
        <v>44316</v>
      </c>
      <c r="E1270" s="35">
        <v>4918739</v>
      </c>
      <c r="F1270" s="34">
        <v>7.74</v>
      </c>
      <c r="G1270" s="34">
        <v>282</v>
      </c>
      <c r="H1270" s="36">
        <v>1387970</v>
      </c>
      <c r="I1270" s="34">
        <v>0</v>
      </c>
      <c r="J1270" s="36">
        <v>0</v>
      </c>
      <c r="K1270" s="31">
        <v>0.72</v>
      </c>
    </row>
    <row r="1271" spans="1:11">
      <c r="A1271" s="34" t="s">
        <v>1341</v>
      </c>
      <c r="B1271" s="34" t="s">
        <v>6</v>
      </c>
      <c r="C1271" s="34" t="s">
        <v>34</v>
      </c>
      <c r="D1271" s="21">
        <f ca="1">RANDBETWEEN(DATE(2020,7,1),DATE(2020,9,30))</f>
        <v>44075</v>
      </c>
      <c r="E1271" s="35">
        <v>214003</v>
      </c>
      <c r="F1271" s="34">
        <v>7.82</v>
      </c>
      <c r="G1271" s="34">
        <v>10</v>
      </c>
      <c r="H1271" s="36">
        <v>108144</v>
      </c>
      <c r="I1271" s="34">
        <v>1</v>
      </c>
      <c r="J1271" s="36">
        <v>57353</v>
      </c>
      <c r="K1271" s="31">
        <v>0.68</v>
      </c>
    </row>
    <row r="1272" spans="1:11">
      <c r="A1272" s="34" t="s">
        <v>1342</v>
      </c>
      <c r="B1272" s="34" t="s">
        <v>6</v>
      </c>
      <c r="C1272" s="34" t="s">
        <v>36</v>
      </c>
      <c r="D1272" s="21">
        <f ca="1">RANDBETWEEN(DATE(2021,1,1),DATE(2021,3,31))</f>
        <v>44271</v>
      </c>
      <c r="E1272" s="35">
        <v>257894</v>
      </c>
      <c r="F1272" s="34">
        <v>7.61</v>
      </c>
      <c r="G1272" s="34">
        <v>6</v>
      </c>
      <c r="H1272" s="36">
        <v>115112</v>
      </c>
      <c r="I1272" s="34">
        <v>1</v>
      </c>
      <c r="J1272" s="36">
        <v>81972</v>
      </c>
      <c r="K1272" s="30">
        <v>0.744</v>
      </c>
    </row>
    <row r="1273" spans="1:11">
      <c r="A1273" s="34" t="s">
        <v>1343</v>
      </c>
      <c r="B1273" s="34" t="s">
        <v>6</v>
      </c>
      <c r="C1273" s="34" t="s">
        <v>43</v>
      </c>
      <c r="D1273" s="21">
        <f ca="1">RANDBETWEEN(DATE(2022,10,1),DATE(2022,12,31))</f>
        <v>44919</v>
      </c>
      <c r="E1273" s="35">
        <v>344262</v>
      </c>
      <c r="F1273" s="34">
        <v>7.13</v>
      </c>
      <c r="G1273" s="34">
        <v>12</v>
      </c>
      <c r="H1273" s="36">
        <v>43544</v>
      </c>
      <c r="I1273" s="34">
        <v>0</v>
      </c>
      <c r="J1273" s="36">
        <v>0</v>
      </c>
      <c r="K1273" s="31">
        <v>0.71</v>
      </c>
    </row>
    <row r="1274" spans="1:11">
      <c r="A1274" s="34" t="s">
        <v>1344</v>
      </c>
      <c r="B1274" s="34" t="s">
        <v>10</v>
      </c>
      <c r="C1274" s="34" t="s">
        <v>48</v>
      </c>
      <c r="D1274" s="21">
        <f ca="1">RANDBETWEEN(DATE(2024,1,1),DATE(2024,3,31))</f>
        <v>45300</v>
      </c>
      <c r="E1274" s="35">
        <v>4491207</v>
      </c>
      <c r="F1274" s="34">
        <v>9.14</v>
      </c>
      <c r="G1274" s="34">
        <v>11</v>
      </c>
      <c r="H1274" s="36">
        <v>1263124</v>
      </c>
      <c r="I1274" s="34">
        <v>0</v>
      </c>
      <c r="J1274" s="36">
        <v>0</v>
      </c>
      <c r="K1274" s="31">
        <v>0.75</v>
      </c>
    </row>
    <row r="1275" spans="1:11">
      <c r="A1275" s="34" t="s">
        <v>1345</v>
      </c>
      <c r="B1275" s="34" t="s">
        <v>9</v>
      </c>
      <c r="C1275" s="34" t="s">
        <v>30</v>
      </c>
      <c r="D1275" s="21">
        <f ca="1">RANDBETWEEN(DATE(2019,7,1),DATE(2019,9,30))</f>
        <v>43735</v>
      </c>
      <c r="E1275" s="35">
        <v>406951</v>
      </c>
      <c r="F1275" s="37">
        <v>11.41</v>
      </c>
      <c r="G1275" s="34">
        <v>18</v>
      </c>
      <c r="H1275" s="36">
        <v>257888</v>
      </c>
      <c r="I1275" s="34">
        <v>0</v>
      </c>
      <c r="J1275" s="36">
        <v>0</v>
      </c>
      <c r="K1275" s="31">
        <v>0.71</v>
      </c>
    </row>
    <row r="1276" spans="1:11">
      <c r="A1276" s="34" t="s">
        <v>1346</v>
      </c>
      <c r="B1276" s="34" t="s">
        <v>10</v>
      </c>
      <c r="C1276" s="34" t="s">
        <v>34</v>
      </c>
      <c r="D1276" s="21">
        <f ca="1">RANDBETWEEN(DATE(2020,7,1),DATE(2020,9,30))</f>
        <v>44075</v>
      </c>
      <c r="E1276" s="35">
        <v>4991939</v>
      </c>
      <c r="F1276" s="34">
        <v>10.68</v>
      </c>
      <c r="G1276" s="34">
        <v>115</v>
      </c>
      <c r="H1276" s="36">
        <v>2332745</v>
      </c>
      <c r="I1276" s="34">
        <v>0</v>
      </c>
      <c r="J1276" s="36">
        <v>0</v>
      </c>
      <c r="K1276" s="31">
        <v>0.68</v>
      </c>
    </row>
    <row r="1277" spans="1:11">
      <c r="A1277" s="34" t="s">
        <v>1347</v>
      </c>
      <c r="B1277" s="34" t="s">
        <v>6</v>
      </c>
      <c r="C1277" s="34" t="s">
        <v>43</v>
      </c>
      <c r="D1277" s="21">
        <f ca="1">RANDBETWEEN(DATE(2022,10,1),DATE(2022,12,31))</f>
        <v>44844</v>
      </c>
      <c r="E1277" s="35">
        <v>445346</v>
      </c>
      <c r="F1277" s="34">
        <v>7.68</v>
      </c>
      <c r="G1277" s="34">
        <v>39</v>
      </c>
      <c r="H1277" s="36">
        <v>116155</v>
      </c>
      <c r="I1277" s="34">
        <v>0</v>
      </c>
      <c r="J1277" s="36">
        <v>0</v>
      </c>
      <c r="K1277" s="31">
        <v>0.71</v>
      </c>
    </row>
    <row r="1278" spans="1:11">
      <c r="A1278" s="34" t="s">
        <v>1348</v>
      </c>
      <c r="B1278" s="34" t="s">
        <v>10</v>
      </c>
      <c r="C1278" s="34" t="s">
        <v>35</v>
      </c>
      <c r="D1278" s="21">
        <f ca="1">RANDBETWEEN(DATE(2020,10,1),DATE(2020,12,31))</f>
        <v>44169</v>
      </c>
      <c r="E1278" s="35">
        <v>1056527</v>
      </c>
      <c r="F1278" s="34">
        <v>9.25</v>
      </c>
      <c r="G1278" s="34">
        <v>7</v>
      </c>
      <c r="H1278" s="36">
        <v>402848</v>
      </c>
      <c r="I1278" s="34">
        <v>0</v>
      </c>
      <c r="J1278" s="36">
        <v>0</v>
      </c>
      <c r="K1278" s="31">
        <v>0.68</v>
      </c>
    </row>
    <row r="1279" spans="1:11">
      <c r="A1279" s="34" t="s">
        <v>1349</v>
      </c>
      <c r="B1279" s="34" t="s">
        <v>10</v>
      </c>
      <c r="C1279" s="34" t="s">
        <v>33</v>
      </c>
      <c r="D1279" s="21">
        <f ca="1">RANDBETWEEN(DATE(2020,4,1),DATE(2020,6,30))</f>
        <v>43933</v>
      </c>
      <c r="E1279" s="35">
        <v>3230580</v>
      </c>
      <c r="F1279" s="34">
        <v>8.78</v>
      </c>
      <c r="G1279" s="34">
        <v>10</v>
      </c>
      <c r="H1279" s="36">
        <v>601275</v>
      </c>
      <c r="I1279" s="34">
        <v>0</v>
      </c>
      <c r="J1279" s="36">
        <v>0</v>
      </c>
      <c r="K1279" s="31">
        <v>0.72</v>
      </c>
    </row>
    <row r="1280" spans="1:11">
      <c r="A1280" s="34" t="s">
        <v>1350</v>
      </c>
      <c r="B1280" s="34" t="s">
        <v>6</v>
      </c>
      <c r="C1280" s="34" t="s">
        <v>35</v>
      </c>
      <c r="D1280" s="21">
        <f ca="1">RANDBETWEEN(DATE(2020,10,1),DATE(2020,12,31))</f>
        <v>44135</v>
      </c>
      <c r="E1280" s="35">
        <v>177608</v>
      </c>
      <c r="F1280" s="34">
        <v>7.36</v>
      </c>
      <c r="G1280" s="34">
        <v>9</v>
      </c>
      <c r="H1280" s="36">
        <v>115168</v>
      </c>
      <c r="I1280" s="34">
        <v>1</v>
      </c>
      <c r="J1280" s="36">
        <v>22965</v>
      </c>
      <c r="K1280" s="31">
        <v>0.68</v>
      </c>
    </row>
    <row r="1281" spans="1:11">
      <c r="A1281" s="34" t="s">
        <v>1351</v>
      </c>
      <c r="B1281" s="34" t="s">
        <v>9</v>
      </c>
      <c r="C1281" s="34" t="s">
        <v>45</v>
      </c>
      <c r="D1281" s="21">
        <f ca="1">RANDBETWEEN(DATE(2023,4,1),DATE(2023,6,30))</f>
        <v>45049</v>
      </c>
      <c r="E1281" s="35">
        <v>421507</v>
      </c>
      <c r="F1281" s="37">
        <v>10.52</v>
      </c>
      <c r="G1281" s="34">
        <v>30</v>
      </c>
      <c r="H1281" s="36">
        <v>132391</v>
      </c>
      <c r="I1281" s="34">
        <v>0</v>
      </c>
      <c r="J1281" s="36">
        <v>0</v>
      </c>
      <c r="K1281" s="31">
        <v>0.73</v>
      </c>
    </row>
    <row r="1282" spans="1:11">
      <c r="A1282" s="34" t="s">
        <v>1352</v>
      </c>
      <c r="B1282" s="34" t="s">
        <v>6</v>
      </c>
      <c r="C1282" s="34" t="s">
        <v>34</v>
      </c>
      <c r="D1282" s="21">
        <f ca="1">RANDBETWEEN(DATE(2020,7,1),DATE(2020,9,30))</f>
        <v>44091</v>
      </c>
      <c r="E1282" s="35">
        <v>232057</v>
      </c>
      <c r="F1282" s="34">
        <v>8.36</v>
      </c>
      <c r="G1282" s="34">
        <v>19</v>
      </c>
      <c r="H1282" s="36">
        <v>219374</v>
      </c>
      <c r="I1282" s="34">
        <v>0</v>
      </c>
      <c r="J1282" s="36">
        <v>0</v>
      </c>
      <c r="K1282" s="31">
        <v>0.68</v>
      </c>
    </row>
    <row r="1283" spans="1:11">
      <c r="A1283" s="34" t="s">
        <v>1353</v>
      </c>
      <c r="B1283" s="34" t="s">
        <v>10</v>
      </c>
      <c r="C1283" s="34" t="s">
        <v>41</v>
      </c>
      <c r="D1283" s="21">
        <f ca="1">RANDBETWEEN(DATE(2022,4,1),DATE(2022,6,30))</f>
        <v>44692</v>
      </c>
      <c r="E1283" s="35">
        <v>939244</v>
      </c>
      <c r="F1283" s="34">
        <v>10.96</v>
      </c>
      <c r="G1283" s="34">
        <v>69</v>
      </c>
      <c r="H1283" s="36">
        <v>386943</v>
      </c>
      <c r="I1283" s="34">
        <v>1</v>
      </c>
      <c r="J1283" s="36">
        <v>58666</v>
      </c>
      <c r="K1283" s="30">
        <v>0.727</v>
      </c>
    </row>
    <row r="1284" spans="1:11">
      <c r="A1284" s="34" t="s">
        <v>1354</v>
      </c>
      <c r="B1284" s="34" t="s">
        <v>10</v>
      </c>
      <c r="C1284" s="34" t="s">
        <v>45</v>
      </c>
      <c r="D1284" s="21">
        <f ca="1">RANDBETWEEN(DATE(2023,4,1),DATE(2023,6,30))</f>
        <v>45074</v>
      </c>
      <c r="E1284" s="35">
        <v>1144876</v>
      </c>
      <c r="F1284" s="34">
        <v>9.76</v>
      </c>
      <c r="G1284" s="34">
        <v>38</v>
      </c>
      <c r="H1284" s="36">
        <v>77807</v>
      </c>
      <c r="I1284" s="34">
        <v>1</v>
      </c>
      <c r="J1284" s="36">
        <v>27927</v>
      </c>
      <c r="K1284" s="31">
        <v>0.73</v>
      </c>
    </row>
    <row r="1285" spans="1:11">
      <c r="A1285" s="34" t="s">
        <v>1355</v>
      </c>
      <c r="B1285" s="34" t="s">
        <v>8</v>
      </c>
      <c r="C1285" s="34" t="s">
        <v>31</v>
      </c>
      <c r="D1285" s="21">
        <f ca="1">RANDBETWEEN(DATE(2019,10,1),DATE(2019,12,31))</f>
        <v>43751</v>
      </c>
      <c r="E1285" s="35">
        <v>7627942</v>
      </c>
      <c r="F1285" s="34">
        <v>8.15</v>
      </c>
      <c r="G1285" s="34">
        <v>138</v>
      </c>
      <c r="H1285" s="36">
        <v>1755613</v>
      </c>
      <c r="I1285" s="34">
        <v>0</v>
      </c>
      <c r="J1285" s="36">
        <v>0</v>
      </c>
      <c r="K1285" s="31">
        <v>0.7</v>
      </c>
    </row>
    <row r="1286" spans="1:11">
      <c r="A1286" s="34" t="s">
        <v>1356</v>
      </c>
      <c r="B1286" s="34" t="s">
        <v>6</v>
      </c>
      <c r="C1286" s="34" t="s">
        <v>37</v>
      </c>
      <c r="D1286" s="21">
        <f ca="1">RANDBETWEEN(DATE(2021,4,1),DATE(2021,6,30))</f>
        <v>44373</v>
      </c>
      <c r="E1286" s="35">
        <v>193384</v>
      </c>
      <c r="F1286" s="34">
        <v>7.48</v>
      </c>
      <c r="G1286" s="34">
        <v>9</v>
      </c>
      <c r="H1286" s="36">
        <v>135125</v>
      </c>
      <c r="I1286" s="34">
        <v>1</v>
      </c>
      <c r="J1286" s="36">
        <v>44295</v>
      </c>
      <c r="K1286" s="31">
        <v>0.72</v>
      </c>
    </row>
    <row r="1287" spans="1:11">
      <c r="A1287" s="34" t="s">
        <v>1357</v>
      </c>
      <c r="B1287" s="19" t="s">
        <v>7</v>
      </c>
      <c r="C1287" s="34" t="s">
        <v>45</v>
      </c>
      <c r="D1287" s="21">
        <f ca="1">RANDBETWEEN(DATE(2023,4,1),DATE(2023,6,30))</f>
        <v>45086</v>
      </c>
      <c r="E1287" s="35">
        <v>717893</v>
      </c>
      <c r="F1287" s="34">
        <v>11.32</v>
      </c>
      <c r="G1287" s="34">
        <v>11</v>
      </c>
      <c r="H1287" s="36">
        <v>583007</v>
      </c>
      <c r="I1287" s="34">
        <v>0</v>
      </c>
      <c r="J1287" s="36">
        <v>0</v>
      </c>
      <c r="K1287" s="31">
        <v>0.73</v>
      </c>
    </row>
    <row r="1288" spans="1:11">
      <c r="A1288" s="34" t="s">
        <v>1358</v>
      </c>
      <c r="B1288" s="34" t="s">
        <v>10</v>
      </c>
      <c r="C1288" s="34" t="s">
        <v>29</v>
      </c>
      <c r="D1288" s="21">
        <f ca="1">RANDBETWEEN(DATE(2019,4,1),DATE(2019,6,30))</f>
        <v>43646</v>
      </c>
      <c r="E1288" s="35">
        <v>4701186</v>
      </c>
      <c r="F1288" s="34">
        <v>9.2</v>
      </c>
      <c r="G1288" s="34">
        <v>11</v>
      </c>
      <c r="H1288" s="36">
        <v>3748347</v>
      </c>
      <c r="I1288" s="34">
        <v>0</v>
      </c>
      <c r="J1288" s="36">
        <v>0</v>
      </c>
      <c r="K1288" s="31">
        <v>0.71</v>
      </c>
    </row>
    <row r="1289" spans="1:11">
      <c r="A1289" s="34" t="s">
        <v>1359</v>
      </c>
      <c r="B1289" s="34" t="s">
        <v>10</v>
      </c>
      <c r="C1289" s="34" t="s">
        <v>41</v>
      </c>
      <c r="D1289" s="21">
        <f ca="1">RANDBETWEEN(DATE(2022,4,1),DATE(2022,6,30))</f>
        <v>44673</v>
      </c>
      <c r="E1289" s="35">
        <v>2498287</v>
      </c>
      <c r="F1289" s="34">
        <v>10.41</v>
      </c>
      <c r="G1289" s="34">
        <v>35</v>
      </c>
      <c r="H1289" s="36">
        <v>425838</v>
      </c>
      <c r="I1289" s="34">
        <v>0</v>
      </c>
      <c r="J1289" s="36">
        <v>0</v>
      </c>
      <c r="K1289" s="30">
        <v>0.727</v>
      </c>
    </row>
    <row r="1290" spans="1:11">
      <c r="A1290" s="34" t="s">
        <v>1360</v>
      </c>
      <c r="B1290" s="19" t="s">
        <v>7</v>
      </c>
      <c r="C1290" s="34" t="s">
        <v>38</v>
      </c>
      <c r="D1290" s="21">
        <f ca="1">RANDBETWEEN(DATE(2021,7,1),DATE(2021,9,30))</f>
        <v>44405</v>
      </c>
      <c r="E1290" s="35">
        <v>1162017</v>
      </c>
      <c r="F1290" s="34">
        <v>11.67</v>
      </c>
      <c r="G1290" s="34">
        <v>34</v>
      </c>
      <c r="H1290" s="36">
        <v>1026162</v>
      </c>
      <c r="I1290" s="34">
        <v>0</v>
      </c>
      <c r="J1290" s="36">
        <v>0</v>
      </c>
      <c r="K1290" s="33">
        <v>0.68</v>
      </c>
    </row>
    <row r="1291" spans="1:11">
      <c r="A1291" s="34" t="s">
        <v>1361</v>
      </c>
      <c r="B1291" s="34" t="s">
        <v>8</v>
      </c>
      <c r="C1291" s="34" t="s">
        <v>40</v>
      </c>
      <c r="D1291" s="21">
        <f ca="1">RANDBETWEEN(DATE(2022,1,1),DATE(2022,3,31))</f>
        <v>44623</v>
      </c>
      <c r="E1291" s="35">
        <v>7468775</v>
      </c>
      <c r="F1291" s="34">
        <v>7.52</v>
      </c>
      <c r="G1291" s="34">
        <v>89</v>
      </c>
      <c r="H1291" s="36">
        <v>3794981</v>
      </c>
      <c r="I1291" s="34">
        <v>0</v>
      </c>
      <c r="J1291" s="36">
        <v>0</v>
      </c>
      <c r="K1291" s="31">
        <v>0.71</v>
      </c>
    </row>
    <row r="1292" spans="1:11">
      <c r="A1292" s="34" t="s">
        <v>1362</v>
      </c>
      <c r="B1292" s="34" t="s">
        <v>10</v>
      </c>
      <c r="C1292" s="34" t="s">
        <v>48</v>
      </c>
      <c r="D1292" s="21">
        <f ca="1">RANDBETWEEN(DATE(2024,1,1),DATE(2024,3,31))</f>
        <v>45349</v>
      </c>
      <c r="E1292" s="35">
        <v>1208549</v>
      </c>
      <c r="F1292" s="34">
        <v>10.3</v>
      </c>
      <c r="G1292" s="34">
        <v>60</v>
      </c>
      <c r="H1292" s="36">
        <v>896784</v>
      </c>
      <c r="I1292" s="34">
        <v>1</v>
      </c>
      <c r="J1292" s="36">
        <v>325954</v>
      </c>
      <c r="K1292" s="31">
        <v>0.75</v>
      </c>
    </row>
    <row r="1293" spans="1:11">
      <c r="A1293" s="34" t="s">
        <v>1363</v>
      </c>
      <c r="B1293" s="34" t="s">
        <v>8</v>
      </c>
      <c r="C1293" s="34" t="s">
        <v>30</v>
      </c>
      <c r="D1293" s="21">
        <f ca="1">RANDBETWEEN(DATE(2019,7,1),DATE(2019,9,30))</f>
        <v>43714</v>
      </c>
      <c r="E1293" s="35">
        <v>3290919</v>
      </c>
      <c r="F1293" s="34">
        <v>8.41</v>
      </c>
      <c r="G1293" s="34">
        <v>288</v>
      </c>
      <c r="H1293" s="36">
        <v>2335228</v>
      </c>
      <c r="I1293" s="34">
        <v>0</v>
      </c>
      <c r="J1293" s="36">
        <v>0</v>
      </c>
      <c r="K1293" s="31">
        <v>0.71</v>
      </c>
    </row>
    <row r="1294" spans="1:11">
      <c r="A1294" s="34" t="s">
        <v>1364</v>
      </c>
      <c r="B1294" s="34" t="s">
        <v>9</v>
      </c>
      <c r="C1294" s="34" t="s">
        <v>32</v>
      </c>
      <c r="D1294" s="21">
        <f ca="1">RANDBETWEEN(DATE(2020,1,1),DATE(2020,3,31))</f>
        <v>43843</v>
      </c>
      <c r="E1294" s="35">
        <v>421795</v>
      </c>
      <c r="F1294" s="37">
        <v>10.8</v>
      </c>
      <c r="G1294" s="34">
        <v>24</v>
      </c>
      <c r="H1294" s="36">
        <v>324166</v>
      </c>
      <c r="I1294" s="34">
        <v>0</v>
      </c>
      <c r="J1294" s="36">
        <v>0</v>
      </c>
      <c r="K1294" s="31">
        <v>0.68</v>
      </c>
    </row>
    <row r="1295" spans="1:11">
      <c r="A1295" s="34" t="s">
        <v>1365</v>
      </c>
      <c r="B1295" s="34" t="s">
        <v>9</v>
      </c>
      <c r="C1295" s="34" t="s">
        <v>44</v>
      </c>
      <c r="D1295" s="21">
        <f ca="1">RANDBETWEEN(DATE(2023,1,1),DATE(2023,3,31))</f>
        <v>44965</v>
      </c>
      <c r="E1295" s="35">
        <v>1499672</v>
      </c>
      <c r="F1295" s="37">
        <v>10.12</v>
      </c>
      <c r="G1295" s="34">
        <v>17</v>
      </c>
      <c r="H1295" s="36">
        <v>947646</v>
      </c>
      <c r="I1295" s="34">
        <v>0</v>
      </c>
      <c r="J1295" s="36">
        <v>0</v>
      </c>
      <c r="K1295" s="31">
        <v>0.73</v>
      </c>
    </row>
    <row r="1296" spans="1:11">
      <c r="A1296" s="34" t="s">
        <v>1366</v>
      </c>
      <c r="B1296" s="34" t="s">
        <v>9</v>
      </c>
      <c r="C1296" s="34" t="s">
        <v>47</v>
      </c>
      <c r="D1296" s="21">
        <f ca="1">RANDBETWEEN(DATE(2023,10,1),DATE(2023,12,31))</f>
        <v>45286</v>
      </c>
      <c r="E1296" s="35">
        <v>456462</v>
      </c>
      <c r="F1296" s="37">
        <v>9.18</v>
      </c>
      <c r="G1296" s="34">
        <v>6</v>
      </c>
      <c r="H1296" s="36">
        <v>74276</v>
      </c>
      <c r="I1296" s="34">
        <v>1</v>
      </c>
      <c r="J1296" s="36">
        <v>44948</v>
      </c>
      <c r="K1296" s="32">
        <v>0.74</v>
      </c>
    </row>
    <row r="1297" spans="1:11">
      <c r="A1297" s="34" t="s">
        <v>1367</v>
      </c>
      <c r="B1297" s="34" t="s">
        <v>9</v>
      </c>
      <c r="C1297" s="34" t="s">
        <v>31</v>
      </c>
      <c r="D1297" s="21">
        <f ca="1">RANDBETWEEN(DATE(2019,10,1),DATE(2019,12,31))</f>
        <v>43785</v>
      </c>
      <c r="E1297" s="35">
        <v>1850507</v>
      </c>
      <c r="F1297" s="37">
        <v>11.48</v>
      </c>
      <c r="G1297" s="34">
        <v>25</v>
      </c>
      <c r="H1297" s="36">
        <v>1721105</v>
      </c>
      <c r="I1297" s="34">
        <v>0</v>
      </c>
      <c r="J1297" s="36">
        <v>0</v>
      </c>
      <c r="K1297" s="31">
        <v>0.7</v>
      </c>
    </row>
    <row r="1298" spans="1:11">
      <c r="A1298" s="34" t="s">
        <v>1368</v>
      </c>
      <c r="B1298" s="34" t="s">
        <v>8</v>
      </c>
      <c r="C1298" s="34" t="s">
        <v>45</v>
      </c>
      <c r="D1298" s="21">
        <f ca="1">RANDBETWEEN(DATE(2023,4,1),DATE(2023,6,30))</f>
        <v>45087</v>
      </c>
      <c r="E1298" s="35">
        <v>5359491</v>
      </c>
      <c r="F1298" s="34">
        <v>7.81</v>
      </c>
      <c r="G1298" s="34">
        <v>292</v>
      </c>
      <c r="H1298" s="36">
        <v>333154</v>
      </c>
      <c r="I1298" s="34">
        <v>0</v>
      </c>
      <c r="J1298" s="36">
        <v>0</v>
      </c>
      <c r="K1298" s="31">
        <v>0.73</v>
      </c>
    </row>
    <row r="1299" spans="1:11">
      <c r="A1299" s="34" t="s">
        <v>1369</v>
      </c>
      <c r="B1299" s="19" t="s">
        <v>7</v>
      </c>
      <c r="C1299" s="34" t="s">
        <v>33</v>
      </c>
      <c r="D1299" s="21">
        <f ca="1">RANDBETWEEN(DATE(2020,4,1),DATE(2020,6,30))</f>
        <v>43995</v>
      </c>
      <c r="E1299" s="35">
        <v>1433660</v>
      </c>
      <c r="F1299" s="34">
        <v>11.04</v>
      </c>
      <c r="G1299" s="34">
        <v>9</v>
      </c>
      <c r="H1299" s="36">
        <v>738833</v>
      </c>
      <c r="I1299" s="34">
        <v>0</v>
      </c>
      <c r="J1299" s="36">
        <v>0</v>
      </c>
      <c r="K1299" s="31">
        <v>0.72</v>
      </c>
    </row>
    <row r="1300" spans="1:11">
      <c r="A1300" s="34" t="s">
        <v>1370</v>
      </c>
      <c r="B1300" s="34" t="s">
        <v>8</v>
      </c>
      <c r="C1300" s="34" t="s">
        <v>38</v>
      </c>
      <c r="D1300" s="21">
        <f ca="1">RANDBETWEEN(DATE(2021,7,1),DATE(2021,9,30))</f>
        <v>44439</v>
      </c>
      <c r="E1300" s="35">
        <v>7676724</v>
      </c>
      <c r="F1300" s="34">
        <v>7.89</v>
      </c>
      <c r="G1300" s="34">
        <v>247</v>
      </c>
      <c r="H1300" s="36">
        <v>4512700</v>
      </c>
      <c r="I1300" s="34">
        <v>0</v>
      </c>
      <c r="J1300" s="36">
        <v>0</v>
      </c>
      <c r="K1300" s="33">
        <v>0.68</v>
      </c>
    </row>
    <row r="1301" spans="1:11">
      <c r="A1301" s="34" t="s">
        <v>1371</v>
      </c>
      <c r="B1301" s="34" t="s">
        <v>10</v>
      </c>
      <c r="C1301" s="34" t="s">
        <v>44</v>
      </c>
      <c r="D1301" s="21">
        <f ca="1">RANDBETWEEN(DATE(2023,1,1),DATE(2023,3,31))</f>
        <v>44992</v>
      </c>
      <c r="E1301" s="35">
        <v>658669</v>
      </c>
      <c r="F1301" s="34">
        <v>9.51</v>
      </c>
      <c r="G1301" s="34">
        <v>48</v>
      </c>
      <c r="H1301" s="36">
        <v>54881</v>
      </c>
      <c r="I1301" s="34">
        <v>1</v>
      </c>
      <c r="J1301" s="36">
        <v>34876</v>
      </c>
      <c r="K1301" s="31">
        <v>0.73</v>
      </c>
    </row>
  </sheetData>
  <pageMargins left="0.75" right="0.75" top="1" bottom="1" header="0.5" footer="0.5"/>
  <headerFooter/>
  <ignoredErrors>
    <ignoredError sqref="A1:K1" calculatedColum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E11" sqref="E11"/>
    </sheetView>
  </sheetViews>
  <sheetFormatPr defaultColWidth="9" defaultRowHeight="16.8"/>
  <cols>
    <col min="1" max="1" width="9.75" customWidth="1"/>
    <col min="2" max="2" width="13.9375" customWidth="1"/>
    <col min="3" max="3" width="10.0625" customWidth="1"/>
    <col min="4" max="4" width="16.1875" customWidth="1"/>
    <col min="5" max="5" width="15.6875" style="1" customWidth="1"/>
    <col min="6" max="6" width="21.25" style="1" customWidth="1"/>
    <col min="7" max="7" width="18.1875" customWidth="1"/>
    <col min="8" max="8" width="21" style="1" customWidth="1"/>
    <col min="9" max="9" width="21.3125" customWidth="1"/>
    <col min="10" max="10" width="12.1875" customWidth="1"/>
    <col min="11" max="11" width="17.0625" customWidth="1"/>
    <col min="12" max="12" width="9.625" customWidth="1"/>
    <col min="13" max="13" width="23.5" customWidth="1"/>
    <col min="14" max="14" width="22.125" customWidth="1"/>
  </cols>
  <sheetData>
    <row r="1" spans="1:14">
      <c r="A1" s="2" t="s">
        <v>1372</v>
      </c>
      <c r="B1" s="3" t="s">
        <v>1373</v>
      </c>
      <c r="C1" s="2" t="s">
        <v>63</v>
      </c>
      <c r="D1" s="2" t="s">
        <v>1374</v>
      </c>
      <c r="E1" s="7" t="s">
        <v>1375</v>
      </c>
      <c r="F1" s="7" t="s">
        <v>1376</v>
      </c>
      <c r="G1" s="2" t="s">
        <v>1377</v>
      </c>
      <c r="H1" s="7" t="s">
        <v>1378</v>
      </c>
      <c r="I1" s="2" t="s">
        <v>1379</v>
      </c>
      <c r="J1" s="2" t="s">
        <v>1380</v>
      </c>
      <c r="K1" s="2" t="s">
        <v>1381</v>
      </c>
      <c r="L1" s="2" t="s">
        <v>1382</v>
      </c>
      <c r="M1" s="2" t="s">
        <v>1383</v>
      </c>
      <c r="N1" s="2" t="s">
        <v>1384</v>
      </c>
    </row>
    <row r="2" spans="1:14">
      <c r="A2" s="4" t="s">
        <v>1385</v>
      </c>
      <c r="B2" s="5" t="s">
        <v>6</v>
      </c>
      <c r="C2" s="6" t="s">
        <v>42</v>
      </c>
      <c r="D2" s="6">
        <v>8.931</v>
      </c>
      <c r="E2" s="8">
        <v>767760</v>
      </c>
      <c r="F2" s="8">
        <v>12965</v>
      </c>
      <c r="G2" s="6">
        <v>0</v>
      </c>
      <c r="H2" s="8">
        <v>0</v>
      </c>
      <c r="I2" s="6">
        <v>130.3</v>
      </c>
      <c r="J2" s="6">
        <v>4.9</v>
      </c>
      <c r="K2" s="6">
        <v>6.7</v>
      </c>
      <c r="L2" s="6">
        <v>6.99</v>
      </c>
      <c r="M2" s="6">
        <v>6.6</v>
      </c>
      <c r="N2" s="6">
        <v>5.6</v>
      </c>
    </row>
    <row r="3" spans="1:14">
      <c r="A3" s="4" t="s">
        <v>1386</v>
      </c>
      <c r="B3" s="5" t="s">
        <v>6</v>
      </c>
      <c r="C3" s="6" t="s">
        <v>31</v>
      </c>
      <c r="D3" s="6">
        <v>7.959</v>
      </c>
      <c r="E3" s="8">
        <v>120936</v>
      </c>
      <c r="F3" s="8">
        <v>2114</v>
      </c>
      <c r="G3" s="6">
        <v>0</v>
      </c>
      <c r="H3" s="8">
        <v>0</v>
      </c>
      <c r="I3" s="6">
        <v>121.5</v>
      </c>
      <c r="J3" s="6">
        <v>5.4</v>
      </c>
      <c r="K3" s="6">
        <v>3.73</v>
      </c>
      <c r="L3" s="6">
        <v>3.87</v>
      </c>
      <c r="M3" s="6">
        <v>7.8</v>
      </c>
      <c r="N3" s="6">
        <v>0.7</v>
      </c>
    </row>
    <row r="4" spans="1:14">
      <c r="A4" s="4" t="s">
        <v>1387</v>
      </c>
      <c r="B4" s="5" t="s">
        <v>6</v>
      </c>
      <c r="C4" s="6" t="s">
        <v>29</v>
      </c>
      <c r="D4" s="6">
        <v>8.057</v>
      </c>
      <c r="E4" s="8">
        <v>156945</v>
      </c>
      <c r="F4" s="8">
        <v>4368</v>
      </c>
      <c r="G4" s="6">
        <v>0</v>
      </c>
      <c r="H4" s="8">
        <v>0</v>
      </c>
      <c r="I4" s="6">
        <v>121.5</v>
      </c>
      <c r="J4" s="6">
        <v>6</v>
      </c>
      <c r="K4" s="6">
        <v>3.73</v>
      </c>
      <c r="L4" s="6">
        <v>3.87</v>
      </c>
      <c r="M4" s="6">
        <v>7</v>
      </c>
      <c r="N4" s="6">
        <v>3.6</v>
      </c>
    </row>
    <row r="5" spans="1:14">
      <c r="A5" s="4" t="s">
        <v>1388</v>
      </c>
      <c r="B5" s="5" t="s">
        <v>6</v>
      </c>
      <c r="C5" s="6" t="s">
        <v>44</v>
      </c>
      <c r="D5" s="6">
        <v>8.982</v>
      </c>
      <c r="E5" s="8">
        <v>765877</v>
      </c>
      <c r="F5" s="8">
        <v>19388</v>
      </c>
      <c r="G5" s="6">
        <v>0</v>
      </c>
      <c r="H5" s="8">
        <v>0</v>
      </c>
      <c r="I5" s="6">
        <v>130.3</v>
      </c>
      <c r="J5" s="6">
        <v>6.25</v>
      </c>
      <c r="K5" s="6">
        <v>6.7</v>
      </c>
      <c r="L5" s="6">
        <v>6.99</v>
      </c>
      <c r="M5" s="6">
        <v>6.7</v>
      </c>
      <c r="N5" s="6">
        <v>1.8</v>
      </c>
    </row>
    <row r="6" spans="1:14">
      <c r="A6" s="4" t="s">
        <v>1389</v>
      </c>
      <c r="B6" s="5" t="s">
        <v>6</v>
      </c>
      <c r="C6" s="6" t="s">
        <v>46</v>
      </c>
      <c r="D6" s="6">
        <v>8.981</v>
      </c>
      <c r="E6" s="8">
        <v>452511</v>
      </c>
      <c r="F6" s="8">
        <v>17153</v>
      </c>
      <c r="G6" s="6">
        <v>0</v>
      </c>
      <c r="H6" s="8">
        <v>0</v>
      </c>
      <c r="I6" s="6">
        <v>134.7</v>
      </c>
      <c r="J6" s="6">
        <v>6.5</v>
      </c>
      <c r="K6" s="6">
        <v>5.65</v>
      </c>
      <c r="L6" s="6">
        <v>8.15</v>
      </c>
      <c r="M6" s="6">
        <v>6.6</v>
      </c>
      <c r="N6" s="6">
        <v>9.7</v>
      </c>
    </row>
    <row r="7" spans="1:14">
      <c r="A7" s="4" t="s">
        <v>1390</v>
      </c>
      <c r="B7" s="5" t="s">
        <v>6</v>
      </c>
      <c r="C7" s="6" t="s">
        <v>35</v>
      </c>
      <c r="D7" s="6">
        <v>7.39</v>
      </c>
      <c r="E7" s="8">
        <v>438288</v>
      </c>
      <c r="F7" s="8">
        <v>20367</v>
      </c>
      <c r="G7" s="6">
        <v>0</v>
      </c>
      <c r="H7" s="8">
        <v>0</v>
      </c>
      <c r="I7" s="6">
        <v>118.2</v>
      </c>
      <c r="J7" s="6">
        <v>4</v>
      </c>
      <c r="K7" s="6">
        <v>6.62</v>
      </c>
      <c r="L7" s="6">
        <v>-5.78</v>
      </c>
      <c r="M7" s="6">
        <v>10.3</v>
      </c>
      <c r="N7" s="6">
        <v>-1.6</v>
      </c>
    </row>
    <row r="8" spans="1:14">
      <c r="A8" s="4" t="s">
        <v>1391</v>
      </c>
      <c r="B8" s="5" t="s">
        <v>6</v>
      </c>
      <c r="C8" s="6" t="s">
        <v>40</v>
      </c>
      <c r="D8" s="6">
        <v>7.425</v>
      </c>
      <c r="E8" s="8">
        <v>570014</v>
      </c>
      <c r="F8" s="8">
        <v>23605</v>
      </c>
      <c r="G8" s="6">
        <v>0</v>
      </c>
      <c r="H8" s="8">
        <v>0</v>
      </c>
      <c r="I8" s="6">
        <v>124.8</v>
      </c>
      <c r="J8" s="6">
        <v>4</v>
      </c>
      <c r="K8" s="6">
        <v>5.13</v>
      </c>
      <c r="L8" s="6">
        <v>9.69</v>
      </c>
      <c r="M8" s="6">
        <v>8.2</v>
      </c>
      <c r="N8" s="6">
        <v>1.65</v>
      </c>
    </row>
    <row r="9" spans="1:14">
      <c r="A9" s="4" t="s">
        <v>1392</v>
      </c>
      <c r="B9" s="5" t="s">
        <v>6</v>
      </c>
      <c r="C9" s="6" t="s">
        <v>31</v>
      </c>
      <c r="D9" s="6">
        <v>7.913</v>
      </c>
      <c r="E9" s="8">
        <v>847817</v>
      </c>
      <c r="F9" s="8">
        <v>691787</v>
      </c>
      <c r="G9" s="6">
        <v>1</v>
      </c>
      <c r="H9" s="8">
        <v>304718</v>
      </c>
      <c r="I9" s="6">
        <v>121.5</v>
      </c>
      <c r="J9" s="6">
        <v>5.4</v>
      </c>
      <c r="K9" s="6">
        <v>3.73</v>
      </c>
      <c r="L9" s="6">
        <v>3.87</v>
      </c>
      <c r="M9" s="6">
        <v>7.8</v>
      </c>
      <c r="N9" s="6">
        <v>0.7</v>
      </c>
    </row>
    <row r="10" spans="1:14">
      <c r="A10" s="4" t="s">
        <v>1393</v>
      </c>
      <c r="B10" s="5" t="s">
        <v>6</v>
      </c>
      <c r="C10" s="6" t="s">
        <v>29</v>
      </c>
      <c r="D10" s="6">
        <v>7.974</v>
      </c>
      <c r="E10" s="8">
        <v>329564</v>
      </c>
      <c r="F10" s="8">
        <v>14102</v>
      </c>
      <c r="G10" s="6">
        <v>0</v>
      </c>
      <c r="H10" s="8">
        <v>0</v>
      </c>
      <c r="I10" s="6">
        <v>121.5</v>
      </c>
      <c r="J10" s="6">
        <v>6</v>
      </c>
      <c r="K10" s="6">
        <v>3.73</v>
      </c>
      <c r="L10" s="6">
        <v>3.87</v>
      </c>
      <c r="M10" s="6">
        <v>7</v>
      </c>
      <c r="N10" s="6">
        <v>3.6</v>
      </c>
    </row>
    <row r="11" spans="1:14">
      <c r="A11" s="4" t="s">
        <v>1394</v>
      </c>
      <c r="B11" s="5" t="s">
        <v>6</v>
      </c>
      <c r="C11" s="6" t="s">
        <v>38</v>
      </c>
      <c r="D11" s="6">
        <v>7.276</v>
      </c>
      <c r="E11" s="8">
        <v>1136188</v>
      </c>
      <c r="F11" s="8">
        <v>55516</v>
      </c>
      <c r="G11" s="6">
        <v>0</v>
      </c>
      <c r="H11" s="8">
        <v>0</v>
      </c>
      <c r="I11" s="6">
        <v>124.8</v>
      </c>
      <c r="J11" s="6">
        <v>4</v>
      </c>
      <c r="K11" s="6">
        <v>5.13</v>
      </c>
      <c r="L11" s="6">
        <v>9.69</v>
      </c>
      <c r="M11" s="6">
        <v>9.8</v>
      </c>
      <c r="N11" s="6">
        <v>8.7</v>
      </c>
    </row>
    <row r="12" spans="1:14">
      <c r="A12" s="4" t="s">
        <v>1395</v>
      </c>
      <c r="B12" s="5" t="s">
        <v>6</v>
      </c>
      <c r="C12" s="6" t="s">
        <v>47</v>
      </c>
      <c r="D12" s="6">
        <v>9.203</v>
      </c>
      <c r="E12" s="8">
        <v>795894</v>
      </c>
      <c r="F12" s="8">
        <v>2752</v>
      </c>
      <c r="G12" s="6">
        <v>0</v>
      </c>
      <c r="H12" s="8">
        <v>0</v>
      </c>
      <c r="I12" s="6">
        <v>134.7</v>
      </c>
      <c r="J12" s="6">
        <v>6.5</v>
      </c>
      <c r="K12" s="6">
        <v>5.65</v>
      </c>
      <c r="L12" s="6">
        <v>8.15</v>
      </c>
      <c r="M12" s="6">
        <v>6.5</v>
      </c>
      <c r="N12" s="6">
        <v>3.6</v>
      </c>
    </row>
    <row r="13" spans="1:14">
      <c r="A13" s="4" t="s">
        <v>1396</v>
      </c>
      <c r="B13" s="5" t="s">
        <v>6</v>
      </c>
      <c r="C13" s="6" t="s">
        <v>33</v>
      </c>
      <c r="D13" s="6">
        <v>8.265</v>
      </c>
      <c r="E13" s="8">
        <v>276260</v>
      </c>
      <c r="F13" s="8">
        <v>152626</v>
      </c>
      <c r="G13" s="6">
        <v>1</v>
      </c>
      <c r="H13" s="8">
        <v>37086</v>
      </c>
      <c r="I13" s="6">
        <v>118.2</v>
      </c>
      <c r="J13" s="6">
        <v>4.4</v>
      </c>
      <c r="K13" s="6">
        <v>6.62</v>
      </c>
      <c r="L13" s="6">
        <v>-5.78</v>
      </c>
      <c r="M13" s="6">
        <v>20.8</v>
      </c>
      <c r="N13" s="6">
        <v>-37</v>
      </c>
    </row>
    <row r="14" spans="1:14">
      <c r="A14" s="4" t="s">
        <v>1397</v>
      </c>
      <c r="B14" s="5" t="s">
        <v>6</v>
      </c>
      <c r="C14" s="6" t="s">
        <v>30</v>
      </c>
      <c r="D14" s="6">
        <v>7.938</v>
      </c>
      <c r="E14" s="8">
        <v>609384</v>
      </c>
      <c r="F14" s="8">
        <v>10483</v>
      </c>
      <c r="G14" s="6">
        <v>0</v>
      </c>
      <c r="H14" s="8">
        <v>0</v>
      </c>
      <c r="I14" s="6">
        <v>121.5</v>
      </c>
      <c r="J14" s="6">
        <v>5.75</v>
      </c>
      <c r="K14" s="6">
        <v>3.73</v>
      </c>
      <c r="L14" s="6">
        <v>3.87</v>
      </c>
      <c r="M14" s="6">
        <v>8.4</v>
      </c>
      <c r="N14" s="6">
        <v>0.6</v>
      </c>
    </row>
    <row r="15" spans="1:14">
      <c r="A15" s="4" t="s">
        <v>1398</v>
      </c>
      <c r="B15" s="5" t="s">
        <v>6</v>
      </c>
      <c r="C15" s="6" t="s">
        <v>29</v>
      </c>
      <c r="D15" s="6">
        <v>8.206</v>
      </c>
      <c r="E15" s="8">
        <v>302135</v>
      </c>
      <c r="F15" s="8">
        <v>6468</v>
      </c>
      <c r="G15" s="6">
        <v>0</v>
      </c>
      <c r="H15" s="8">
        <v>0</v>
      </c>
      <c r="I15" s="6">
        <v>121.5</v>
      </c>
      <c r="J15" s="6">
        <v>6</v>
      </c>
      <c r="K15" s="6">
        <v>3.73</v>
      </c>
      <c r="L15" s="6">
        <v>3.87</v>
      </c>
      <c r="M15" s="6">
        <v>7</v>
      </c>
      <c r="N15" s="6">
        <v>3.6</v>
      </c>
    </row>
    <row r="16" spans="1:14">
      <c r="A16" s="4" t="s">
        <v>1399</v>
      </c>
      <c r="B16" s="5" t="s">
        <v>6</v>
      </c>
      <c r="C16" s="6" t="s">
        <v>42</v>
      </c>
      <c r="D16" s="6">
        <v>8.183</v>
      </c>
      <c r="E16" s="8">
        <v>1122471</v>
      </c>
      <c r="F16" s="8">
        <v>50036</v>
      </c>
      <c r="G16" s="6">
        <v>0</v>
      </c>
      <c r="H16" s="8">
        <v>0</v>
      </c>
      <c r="I16" s="6">
        <v>130.3</v>
      </c>
      <c r="J16" s="6">
        <v>4.9</v>
      </c>
      <c r="K16" s="6">
        <v>6.7</v>
      </c>
      <c r="L16" s="6">
        <v>6.99</v>
      </c>
      <c r="M16" s="6">
        <v>6.6</v>
      </c>
      <c r="N16" s="6">
        <v>5.6</v>
      </c>
    </row>
    <row r="17" spans="1:14">
      <c r="A17" s="4" t="s">
        <v>1400</v>
      </c>
      <c r="B17" s="5" t="s">
        <v>6</v>
      </c>
      <c r="C17" s="6" t="s">
        <v>36</v>
      </c>
      <c r="D17" s="6">
        <v>8.309</v>
      </c>
      <c r="E17" s="8">
        <v>870435</v>
      </c>
      <c r="F17" s="8">
        <v>30715</v>
      </c>
      <c r="G17" s="6">
        <v>0</v>
      </c>
      <c r="H17" s="8">
        <v>0</v>
      </c>
      <c r="I17" s="6">
        <v>118.2</v>
      </c>
      <c r="J17" s="6">
        <v>4</v>
      </c>
      <c r="K17" s="6">
        <v>6.62</v>
      </c>
      <c r="L17" s="6">
        <v>-5.78</v>
      </c>
      <c r="M17" s="6">
        <v>9.3</v>
      </c>
      <c r="N17" s="6">
        <v>6.4</v>
      </c>
    </row>
    <row r="18" spans="1:14">
      <c r="A18" s="4" t="s">
        <v>1401</v>
      </c>
      <c r="B18" s="5" t="s">
        <v>6</v>
      </c>
      <c r="C18" s="6" t="s">
        <v>45</v>
      </c>
      <c r="D18" s="6">
        <v>8.625</v>
      </c>
      <c r="E18" s="8">
        <v>80608</v>
      </c>
      <c r="F18" s="8">
        <v>1677</v>
      </c>
      <c r="G18" s="6">
        <v>0</v>
      </c>
      <c r="H18" s="8">
        <v>0</v>
      </c>
      <c r="I18" s="6">
        <v>134.7</v>
      </c>
      <c r="J18" s="6">
        <v>6.5</v>
      </c>
      <c r="K18" s="6">
        <v>5.65</v>
      </c>
      <c r="L18" s="6">
        <v>8.15</v>
      </c>
      <c r="M18" s="6">
        <v>6.6</v>
      </c>
      <c r="N18" s="6">
        <v>4.1</v>
      </c>
    </row>
    <row r="19" spans="1:14">
      <c r="A19" s="4" t="s">
        <v>1402</v>
      </c>
      <c r="B19" s="5" t="s">
        <v>6</v>
      </c>
      <c r="C19" s="6" t="s">
        <v>40</v>
      </c>
      <c r="D19" s="6">
        <v>7.606</v>
      </c>
      <c r="E19" s="8">
        <v>271257</v>
      </c>
      <c r="F19" s="8">
        <v>9991</v>
      </c>
      <c r="G19" s="6">
        <v>0</v>
      </c>
      <c r="H19" s="8">
        <v>0</v>
      </c>
      <c r="I19" s="6">
        <v>124.8</v>
      </c>
      <c r="J19" s="6">
        <v>4</v>
      </c>
      <c r="K19" s="6">
        <v>5.13</v>
      </c>
      <c r="L19" s="6">
        <v>9.69</v>
      </c>
      <c r="M19" s="6">
        <v>8.2</v>
      </c>
      <c r="N19" s="6">
        <v>1.65</v>
      </c>
    </row>
    <row r="20" spans="1:14">
      <c r="A20" s="4" t="s">
        <v>1403</v>
      </c>
      <c r="B20" s="5" t="s">
        <v>6</v>
      </c>
      <c r="C20" s="6" t="s">
        <v>40</v>
      </c>
      <c r="D20" s="6">
        <v>8.798</v>
      </c>
      <c r="E20" s="8">
        <v>504403</v>
      </c>
      <c r="F20" s="8">
        <v>11165</v>
      </c>
      <c r="G20" s="6">
        <v>0</v>
      </c>
      <c r="H20" s="8">
        <v>0</v>
      </c>
      <c r="I20" s="6">
        <v>124.8</v>
      </c>
      <c r="J20" s="6">
        <v>4</v>
      </c>
      <c r="K20" s="6">
        <v>5.13</v>
      </c>
      <c r="L20" s="6">
        <v>9.69</v>
      </c>
      <c r="M20" s="6">
        <v>8.2</v>
      </c>
      <c r="N20" s="6">
        <v>1.65</v>
      </c>
    </row>
    <row r="21" spans="1:14">
      <c r="A21" s="4" t="s">
        <v>1404</v>
      </c>
      <c r="B21" s="5" t="s">
        <v>6</v>
      </c>
      <c r="C21" s="6" t="s">
        <v>43</v>
      </c>
      <c r="D21" s="6">
        <v>9.011</v>
      </c>
      <c r="E21" s="8">
        <v>789565</v>
      </c>
      <c r="F21" s="8">
        <v>31495</v>
      </c>
      <c r="G21" s="6">
        <v>0</v>
      </c>
      <c r="H21" s="8">
        <v>0</v>
      </c>
      <c r="I21" s="6">
        <v>130.3</v>
      </c>
      <c r="J21" s="6">
        <v>5.9</v>
      </c>
      <c r="K21" s="6">
        <v>6.7</v>
      </c>
      <c r="L21" s="6">
        <v>6.99</v>
      </c>
      <c r="M21" s="6">
        <v>7.2</v>
      </c>
      <c r="N21" s="6">
        <v>4.5</v>
      </c>
    </row>
    <row r="22" spans="1:14">
      <c r="A22" s="4" t="s">
        <v>1405</v>
      </c>
      <c r="B22" s="5" t="s">
        <v>6</v>
      </c>
      <c r="C22" s="6" t="s">
        <v>35</v>
      </c>
      <c r="D22" s="6">
        <v>8.067</v>
      </c>
      <c r="E22" s="8">
        <v>364376</v>
      </c>
      <c r="F22" s="8">
        <v>3543</v>
      </c>
      <c r="G22" s="6">
        <v>0</v>
      </c>
      <c r="H22" s="8">
        <v>0</v>
      </c>
      <c r="I22" s="6">
        <v>118.2</v>
      </c>
      <c r="J22" s="6">
        <v>4</v>
      </c>
      <c r="K22" s="6">
        <v>6.62</v>
      </c>
      <c r="L22" s="6">
        <v>-5.78</v>
      </c>
      <c r="M22" s="6">
        <v>10.3</v>
      </c>
      <c r="N22" s="6">
        <v>-1.6</v>
      </c>
    </row>
    <row r="23" spans="1:14">
      <c r="A23" s="4" t="s">
        <v>1406</v>
      </c>
      <c r="B23" s="5" t="s">
        <v>6</v>
      </c>
      <c r="C23" s="6" t="s">
        <v>31</v>
      </c>
      <c r="D23" s="6">
        <v>8.317</v>
      </c>
      <c r="E23" s="8">
        <v>331995</v>
      </c>
      <c r="F23" s="8">
        <v>188555</v>
      </c>
      <c r="G23" s="6">
        <v>1</v>
      </c>
      <c r="H23" s="8">
        <v>61991</v>
      </c>
      <c r="I23" s="6">
        <v>121.5</v>
      </c>
      <c r="J23" s="6">
        <v>5.4</v>
      </c>
      <c r="K23" s="6">
        <v>3.73</v>
      </c>
      <c r="L23" s="6">
        <v>3.87</v>
      </c>
      <c r="M23" s="6">
        <v>7.8</v>
      </c>
      <c r="N23" s="6">
        <v>0.7</v>
      </c>
    </row>
    <row r="24" spans="1:14">
      <c r="A24" s="4" t="s">
        <v>1407</v>
      </c>
      <c r="B24" s="5" t="s">
        <v>6</v>
      </c>
      <c r="C24" s="6" t="s">
        <v>43</v>
      </c>
      <c r="D24" s="6">
        <v>8.721</v>
      </c>
      <c r="E24" s="8">
        <v>754072</v>
      </c>
      <c r="F24" s="8">
        <v>7010</v>
      </c>
      <c r="G24" s="6">
        <v>0</v>
      </c>
      <c r="H24" s="8">
        <v>0</v>
      </c>
      <c r="I24" s="6">
        <v>130.3</v>
      </c>
      <c r="J24" s="6">
        <v>5.9</v>
      </c>
      <c r="K24" s="6">
        <v>6.7</v>
      </c>
      <c r="L24" s="6">
        <v>6.99</v>
      </c>
      <c r="M24" s="6">
        <v>7.2</v>
      </c>
      <c r="N24" s="6">
        <v>4.5</v>
      </c>
    </row>
    <row r="25" spans="1:14">
      <c r="A25" s="4" t="s">
        <v>1408</v>
      </c>
      <c r="B25" s="5" t="s">
        <v>6</v>
      </c>
      <c r="C25" s="6" t="s">
        <v>41</v>
      </c>
      <c r="D25" s="6">
        <v>7.65</v>
      </c>
      <c r="E25" s="8">
        <v>612815</v>
      </c>
      <c r="F25" s="8">
        <v>14275</v>
      </c>
      <c r="G25" s="6">
        <v>0</v>
      </c>
      <c r="H25" s="8">
        <v>0</v>
      </c>
      <c r="I25" s="6">
        <v>130.3</v>
      </c>
      <c r="J25" s="6">
        <v>4</v>
      </c>
      <c r="K25" s="6">
        <v>6.7</v>
      </c>
      <c r="L25" s="6">
        <v>6.99</v>
      </c>
      <c r="M25" s="6">
        <v>6.6</v>
      </c>
      <c r="N25" s="6">
        <v>13.8</v>
      </c>
    </row>
    <row r="26" spans="1:14">
      <c r="A26" s="4" t="s">
        <v>1409</v>
      </c>
      <c r="B26" s="5" t="s">
        <v>6</v>
      </c>
      <c r="C26" s="6" t="s">
        <v>45</v>
      </c>
      <c r="D26" s="6">
        <v>8.372</v>
      </c>
      <c r="E26" s="8">
        <v>493823</v>
      </c>
      <c r="F26" s="8">
        <v>12270</v>
      </c>
      <c r="G26" s="6">
        <v>0</v>
      </c>
      <c r="H26" s="8">
        <v>0</v>
      </c>
      <c r="I26" s="6">
        <v>134.7</v>
      </c>
      <c r="J26" s="6">
        <v>6.5</v>
      </c>
      <c r="K26" s="6">
        <v>5.65</v>
      </c>
      <c r="L26" s="6">
        <v>8.15</v>
      </c>
      <c r="M26" s="6">
        <v>6.6</v>
      </c>
      <c r="N26" s="6">
        <v>4.1</v>
      </c>
    </row>
    <row r="27" spans="1:14">
      <c r="A27" s="4" t="s">
        <v>1410</v>
      </c>
      <c r="B27" s="5" t="s">
        <v>6</v>
      </c>
      <c r="C27" s="6" t="s">
        <v>47</v>
      </c>
      <c r="D27" s="6">
        <v>8.658</v>
      </c>
      <c r="E27" s="8">
        <v>117298</v>
      </c>
      <c r="F27" s="8">
        <v>2070</v>
      </c>
      <c r="G27" s="6">
        <v>0</v>
      </c>
      <c r="H27" s="8">
        <v>0</v>
      </c>
      <c r="I27" s="6">
        <v>134.7</v>
      </c>
      <c r="J27" s="6">
        <v>6.5</v>
      </c>
      <c r="K27" s="6">
        <v>5.65</v>
      </c>
      <c r="L27" s="6">
        <v>8.15</v>
      </c>
      <c r="M27" s="6">
        <v>6.5</v>
      </c>
      <c r="N27" s="6">
        <v>3.6</v>
      </c>
    </row>
    <row r="28" spans="1:14">
      <c r="A28" s="4" t="s">
        <v>1411</v>
      </c>
      <c r="B28" s="5" t="s">
        <v>6</v>
      </c>
      <c r="C28" s="6" t="s">
        <v>47</v>
      </c>
      <c r="D28" s="6">
        <v>8.226</v>
      </c>
      <c r="E28" s="8">
        <v>205720</v>
      </c>
      <c r="F28" s="8">
        <v>8534</v>
      </c>
      <c r="G28" s="6">
        <v>0</v>
      </c>
      <c r="H28" s="8">
        <v>0</v>
      </c>
      <c r="I28" s="6">
        <v>134.7</v>
      </c>
      <c r="J28" s="6">
        <v>6.5</v>
      </c>
      <c r="K28" s="6">
        <v>5.65</v>
      </c>
      <c r="L28" s="6">
        <v>8.15</v>
      </c>
      <c r="M28" s="6">
        <v>6.5</v>
      </c>
      <c r="N28" s="6">
        <v>3.6</v>
      </c>
    </row>
    <row r="29" spans="1:14">
      <c r="A29" s="4" t="s">
        <v>1412</v>
      </c>
      <c r="B29" s="5" t="s">
        <v>6</v>
      </c>
      <c r="C29" s="6" t="s">
        <v>48</v>
      </c>
      <c r="D29" s="6">
        <v>8.52</v>
      </c>
      <c r="E29" s="8">
        <v>583678</v>
      </c>
      <c r="F29" s="8">
        <v>3681</v>
      </c>
      <c r="G29" s="6">
        <v>0</v>
      </c>
      <c r="H29" s="8">
        <v>0</v>
      </c>
      <c r="I29" s="6">
        <v>134.7</v>
      </c>
      <c r="J29" s="6">
        <v>6.5</v>
      </c>
      <c r="K29" s="6">
        <v>5.65</v>
      </c>
      <c r="L29" s="6">
        <v>8.15</v>
      </c>
      <c r="M29" s="6">
        <v>6.7</v>
      </c>
      <c r="N29" s="6">
        <v>5</v>
      </c>
    </row>
    <row r="30" spans="1:14">
      <c r="A30" s="4" t="s">
        <v>1413</v>
      </c>
      <c r="B30" s="5" t="s">
        <v>6</v>
      </c>
      <c r="C30" s="6" t="s">
        <v>29</v>
      </c>
      <c r="D30" s="6">
        <v>7.445</v>
      </c>
      <c r="E30" s="8">
        <v>1047319</v>
      </c>
      <c r="F30" s="8">
        <v>11472</v>
      </c>
      <c r="G30" s="6">
        <v>0</v>
      </c>
      <c r="H30" s="8">
        <v>0</v>
      </c>
      <c r="I30" s="6">
        <v>121.5</v>
      </c>
      <c r="J30" s="6">
        <v>6</v>
      </c>
      <c r="K30" s="6">
        <v>3.73</v>
      </c>
      <c r="L30" s="6">
        <v>3.87</v>
      </c>
      <c r="M30" s="6">
        <v>7</v>
      </c>
      <c r="N30" s="6">
        <v>3.6</v>
      </c>
    </row>
    <row r="31" spans="1:14">
      <c r="A31" s="4" t="s">
        <v>1414</v>
      </c>
      <c r="B31" s="5" t="s">
        <v>6</v>
      </c>
      <c r="C31" s="6" t="s">
        <v>31</v>
      </c>
      <c r="D31" s="6">
        <v>8.132</v>
      </c>
      <c r="E31" s="8">
        <v>282725</v>
      </c>
      <c r="F31" s="8">
        <v>9448</v>
      </c>
      <c r="G31" s="6">
        <v>0</v>
      </c>
      <c r="H31" s="8">
        <v>0</v>
      </c>
      <c r="I31" s="6">
        <v>121.5</v>
      </c>
      <c r="J31" s="6">
        <v>5.4</v>
      </c>
      <c r="K31" s="6">
        <v>3.73</v>
      </c>
      <c r="L31" s="6">
        <v>3.87</v>
      </c>
      <c r="M31" s="6">
        <v>7.8</v>
      </c>
      <c r="N31" s="6">
        <v>0.7</v>
      </c>
    </row>
    <row r="32" spans="1:14">
      <c r="A32" s="4" t="s">
        <v>1415</v>
      </c>
      <c r="B32" s="5" t="s">
        <v>6</v>
      </c>
      <c r="C32" s="6" t="s">
        <v>36</v>
      </c>
      <c r="D32" s="6">
        <v>7.511</v>
      </c>
      <c r="E32" s="8">
        <v>315533</v>
      </c>
      <c r="F32" s="8">
        <v>2256</v>
      </c>
      <c r="G32" s="6">
        <v>0</v>
      </c>
      <c r="H32" s="8">
        <v>0</v>
      </c>
      <c r="I32" s="6">
        <v>118.2</v>
      </c>
      <c r="J32" s="6">
        <v>4</v>
      </c>
      <c r="K32" s="6">
        <v>6.62</v>
      </c>
      <c r="L32" s="6">
        <v>-5.78</v>
      </c>
      <c r="M32" s="6">
        <v>9.3</v>
      </c>
      <c r="N32" s="6">
        <v>6.4</v>
      </c>
    </row>
    <row r="33" spans="1:14">
      <c r="A33" s="4" t="s">
        <v>1416</v>
      </c>
      <c r="B33" s="5" t="s">
        <v>6</v>
      </c>
      <c r="C33" s="6" t="s">
        <v>34</v>
      </c>
      <c r="D33" s="6">
        <v>7.706</v>
      </c>
      <c r="E33" s="8">
        <v>823134</v>
      </c>
      <c r="F33" s="8">
        <v>281505</v>
      </c>
      <c r="G33" s="6">
        <v>1</v>
      </c>
      <c r="H33" s="8">
        <v>160433</v>
      </c>
      <c r="I33" s="6">
        <v>118.2</v>
      </c>
      <c r="J33" s="6">
        <v>4</v>
      </c>
      <c r="K33" s="6">
        <v>6.62</v>
      </c>
      <c r="L33" s="6">
        <v>-5.78</v>
      </c>
      <c r="M33" s="6">
        <v>13.2</v>
      </c>
      <c r="N33" s="6">
        <v>-8.6</v>
      </c>
    </row>
    <row r="34" spans="1:14">
      <c r="A34" s="4" t="s">
        <v>1417</v>
      </c>
      <c r="B34" s="5" t="s">
        <v>6</v>
      </c>
      <c r="C34" s="6" t="s">
        <v>34</v>
      </c>
      <c r="D34" s="6">
        <v>7.306</v>
      </c>
      <c r="E34" s="8">
        <v>1206147</v>
      </c>
      <c r="F34" s="8">
        <v>52938</v>
      </c>
      <c r="G34" s="6">
        <v>0</v>
      </c>
      <c r="H34" s="8">
        <v>0</v>
      </c>
      <c r="I34" s="6">
        <v>118.2</v>
      </c>
      <c r="J34" s="6">
        <v>4</v>
      </c>
      <c r="K34" s="6">
        <v>6.62</v>
      </c>
      <c r="L34" s="6">
        <v>-5.78</v>
      </c>
      <c r="M34" s="6">
        <v>13.2</v>
      </c>
      <c r="N34" s="6">
        <v>-8.6</v>
      </c>
    </row>
    <row r="35" spans="1:14">
      <c r="A35" s="4" t="s">
        <v>1418</v>
      </c>
      <c r="B35" s="5" t="s">
        <v>6</v>
      </c>
      <c r="C35" s="6" t="s">
        <v>32</v>
      </c>
      <c r="D35" s="6">
        <v>7.969</v>
      </c>
      <c r="E35" s="8">
        <v>337120</v>
      </c>
      <c r="F35" s="8">
        <v>14780</v>
      </c>
      <c r="G35" s="6">
        <v>0</v>
      </c>
      <c r="H35" s="8">
        <v>0</v>
      </c>
      <c r="I35" s="6">
        <v>121.5</v>
      </c>
      <c r="J35" s="6">
        <v>5.15</v>
      </c>
      <c r="K35" s="6">
        <v>3.73</v>
      </c>
      <c r="L35" s="6">
        <v>3.87</v>
      </c>
      <c r="M35" s="6">
        <v>9.1</v>
      </c>
      <c r="N35" s="6">
        <v>-16.7</v>
      </c>
    </row>
    <row r="36" spans="1:14">
      <c r="A36" s="4" t="s">
        <v>1419</v>
      </c>
      <c r="B36" s="5" t="s">
        <v>6</v>
      </c>
      <c r="C36" s="6" t="s">
        <v>72</v>
      </c>
      <c r="D36" s="6">
        <v>8.584</v>
      </c>
      <c r="E36" s="8">
        <v>687518</v>
      </c>
      <c r="F36" s="8">
        <v>337700</v>
      </c>
      <c r="G36" s="6">
        <v>1</v>
      </c>
      <c r="H36" s="8">
        <v>118671</v>
      </c>
      <c r="I36" s="6">
        <v>120</v>
      </c>
      <c r="J36" s="6">
        <v>6.5</v>
      </c>
      <c r="K36" s="6">
        <v>4.87</v>
      </c>
      <c r="L36" s="6">
        <v>6.5</v>
      </c>
      <c r="M36" s="6">
        <v>6.5</v>
      </c>
      <c r="N36" s="6">
        <v>4</v>
      </c>
    </row>
    <row r="37" spans="1:14">
      <c r="A37" s="4" t="s">
        <v>1420</v>
      </c>
      <c r="B37" s="5" t="s">
        <v>6</v>
      </c>
      <c r="C37" s="6" t="s">
        <v>43</v>
      </c>
      <c r="D37" s="6">
        <v>8.595</v>
      </c>
      <c r="E37" s="8">
        <v>520655</v>
      </c>
      <c r="F37" s="8">
        <v>16528</v>
      </c>
      <c r="G37" s="6">
        <v>0</v>
      </c>
      <c r="H37" s="8">
        <v>0</v>
      </c>
      <c r="I37" s="6">
        <v>130.3</v>
      </c>
      <c r="J37" s="6">
        <v>5.9</v>
      </c>
      <c r="K37" s="6">
        <v>6.7</v>
      </c>
      <c r="L37" s="6">
        <v>6.99</v>
      </c>
      <c r="M37" s="6">
        <v>7.2</v>
      </c>
      <c r="N37" s="6">
        <v>4.5</v>
      </c>
    </row>
    <row r="38" spans="1:14">
      <c r="A38" s="4" t="s">
        <v>1421</v>
      </c>
      <c r="B38" s="5" t="s">
        <v>6</v>
      </c>
      <c r="C38" s="6" t="s">
        <v>44</v>
      </c>
      <c r="D38" s="6">
        <v>8.54</v>
      </c>
      <c r="E38" s="8">
        <v>425355</v>
      </c>
      <c r="F38" s="8">
        <v>11584</v>
      </c>
      <c r="G38" s="6">
        <v>0</v>
      </c>
      <c r="H38" s="8">
        <v>0</v>
      </c>
      <c r="I38" s="6">
        <v>130.3</v>
      </c>
      <c r="J38" s="6">
        <v>6.25</v>
      </c>
      <c r="K38" s="6">
        <v>6.7</v>
      </c>
      <c r="L38" s="6">
        <v>6.99</v>
      </c>
      <c r="M38" s="6">
        <v>6.7</v>
      </c>
      <c r="N38" s="6">
        <v>1.8</v>
      </c>
    </row>
    <row r="39" spans="1:14">
      <c r="A39" s="4" t="s">
        <v>1422</v>
      </c>
      <c r="B39" s="5" t="s">
        <v>6</v>
      </c>
      <c r="C39" s="6" t="s">
        <v>36</v>
      </c>
      <c r="D39" s="6">
        <v>8.069</v>
      </c>
      <c r="E39" s="8">
        <v>724427</v>
      </c>
      <c r="F39" s="8">
        <v>13240</v>
      </c>
      <c r="G39" s="6">
        <v>0</v>
      </c>
      <c r="H39" s="8">
        <v>0</v>
      </c>
      <c r="I39" s="6">
        <v>118.2</v>
      </c>
      <c r="J39" s="6">
        <v>4</v>
      </c>
      <c r="K39" s="6">
        <v>6.62</v>
      </c>
      <c r="L39" s="6">
        <v>-5.78</v>
      </c>
      <c r="M39" s="6">
        <v>9.3</v>
      </c>
      <c r="N39" s="6">
        <v>6.4</v>
      </c>
    </row>
    <row r="40" spans="1:14">
      <c r="A40" s="4" t="s">
        <v>1423</v>
      </c>
      <c r="B40" s="5" t="s">
        <v>6</v>
      </c>
      <c r="C40" s="6" t="s">
        <v>45</v>
      </c>
      <c r="D40" s="6">
        <v>8.039</v>
      </c>
      <c r="E40" s="8">
        <v>129263</v>
      </c>
      <c r="F40" s="8">
        <v>5912</v>
      </c>
      <c r="G40" s="6">
        <v>0</v>
      </c>
      <c r="H40" s="8">
        <v>0</v>
      </c>
      <c r="I40" s="6">
        <v>134.7</v>
      </c>
      <c r="J40" s="6">
        <v>6.5</v>
      </c>
      <c r="K40" s="6">
        <v>5.65</v>
      </c>
      <c r="L40" s="6">
        <v>8.15</v>
      </c>
      <c r="M40" s="6">
        <v>6.6</v>
      </c>
      <c r="N40" s="6">
        <v>4.1</v>
      </c>
    </row>
    <row r="41" spans="1:14">
      <c r="A41" s="4" t="s">
        <v>1424</v>
      </c>
      <c r="B41" s="5" t="s">
        <v>6</v>
      </c>
      <c r="C41" s="6" t="s">
        <v>34</v>
      </c>
      <c r="D41" s="6">
        <v>7.926</v>
      </c>
      <c r="E41" s="8">
        <v>460715</v>
      </c>
      <c r="F41" s="8">
        <v>298409</v>
      </c>
      <c r="G41" s="6">
        <v>1</v>
      </c>
      <c r="H41" s="8">
        <v>176081</v>
      </c>
      <c r="I41" s="6">
        <v>118.2</v>
      </c>
      <c r="J41" s="6">
        <v>4</v>
      </c>
      <c r="K41" s="6">
        <v>6.62</v>
      </c>
      <c r="L41" s="6">
        <v>-5.78</v>
      </c>
      <c r="M41" s="6">
        <v>13.2</v>
      </c>
      <c r="N41" s="6">
        <v>-8.6</v>
      </c>
    </row>
    <row r="42" spans="1:14">
      <c r="A42" s="4" t="s">
        <v>1425</v>
      </c>
      <c r="B42" s="5" t="s">
        <v>6</v>
      </c>
      <c r="C42" s="6" t="s">
        <v>35</v>
      </c>
      <c r="D42" s="6">
        <v>8.171</v>
      </c>
      <c r="E42" s="8">
        <v>787925</v>
      </c>
      <c r="F42" s="8">
        <v>211</v>
      </c>
      <c r="G42" s="6">
        <v>0</v>
      </c>
      <c r="H42" s="8">
        <v>0</v>
      </c>
      <c r="I42" s="6">
        <v>118.2</v>
      </c>
      <c r="J42" s="6">
        <v>4</v>
      </c>
      <c r="K42" s="6">
        <v>6.62</v>
      </c>
      <c r="L42" s="6">
        <v>-5.78</v>
      </c>
      <c r="M42" s="6">
        <v>10.3</v>
      </c>
      <c r="N42" s="6">
        <v>-1.6</v>
      </c>
    </row>
    <row r="43" spans="1:14">
      <c r="A43" s="4" t="s">
        <v>1426</v>
      </c>
      <c r="B43" s="5" t="s">
        <v>6</v>
      </c>
      <c r="C43" s="6" t="s">
        <v>44</v>
      </c>
      <c r="D43" s="6">
        <v>9.053</v>
      </c>
      <c r="E43" s="8">
        <v>348918</v>
      </c>
      <c r="F43" s="8">
        <v>16451</v>
      </c>
      <c r="G43" s="6">
        <v>0</v>
      </c>
      <c r="H43" s="8">
        <v>0</v>
      </c>
      <c r="I43" s="6">
        <v>130.3</v>
      </c>
      <c r="J43" s="6">
        <v>6.25</v>
      </c>
      <c r="K43" s="6">
        <v>6.7</v>
      </c>
      <c r="L43" s="6">
        <v>6.99</v>
      </c>
      <c r="M43" s="6">
        <v>6.7</v>
      </c>
      <c r="N43" s="6">
        <v>1.8</v>
      </c>
    </row>
    <row r="44" spans="1:14">
      <c r="A44" s="4" t="s">
        <v>1427</v>
      </c>
      <c r="B44" s="5" t="s">
        <v>6</v>
      </c>
      <c r="C44" s="6" t="s">
        <v>42</v>
      </c>
      <c r="D44" s="6">
        <v>8.64</v>
      </c>
      <c r="E44" s="8">
        <v>274047</v>
      </c>
      <c r="F44" s="8">
        <v>1776</v>
      </c>
      <c r="G44" s="6">
        <v>0</v>
      </c>
      <c r="H44" s="8">
        <v>0</v>
      </c>
      <c r="I44" s="6">
        <v>130.3</v>
      </c>
      <c r="J44" s="6">
        <v>4.9</v>
      </c>
      <c r="K44" s="6">
        <v>6.7</v>
      </c>
      <c r="L44" s="6">
        <v>6.99</v>
      </c>
      <c r="M44" s="6">
        <v>6.6</v>
      </c>
      <c r="N44" s="6">
        <v>5.6</v>
      </c>
    </row>
    <row r="45" spans="1:14">
      <c r="A45" s="4" t="s">
        <v>1428</v>
      </c>
      <c r="B45" s="5" t="s">
        <v>6</v>
      </c>
      <c r="C45" s="6" t="s">
        <v>41</v>
      </c>
      <c r="D45" s="6">
        <v>7.493</v>
      </c>
      <c r="E45" s="8">
        <v>1142367</v>
      </c>
      <c r="F45" s="8">
        <v>360403</v>
      </c>
      <c r="G45" s="6">
        <v>1</v>
      </c>
      <c r="H45" s="8">
        <v>186146</v>
      </c>
      <c r="I45" s="6">
        <v>130.3</v>
      </c>
      <c r="J45" s="6">
        <v>4</v>
      </c>
      <c r="K45" s="6">
        <v>6.7</v>
      </c>
      <c r="L45" s="6">
        <v>6.99</v>
      </c>
      <c r="M45" s="6">
        <v>6.6</v>
      </c>
      <c r="N45" s="6">
        <v>13.8</v>
      </c>
    </row>
    <row r="46" spans="1:14">
      <c r="A46" s="4" t="s">
        <v>1429</v>
      </c>
      <c r="B46" s="5" t="s">
        <v>6</v>
      </c>
      <c r="C46" s="6" t="s">
        <v>35</v>
      </c>
      <c r="D46" s="6">
        <v>7.98</v>
      </c>
      <c r="E46" s="8">
        <v>591504</v>
      </c>
      <c r="F46" s="8">
        <v>16190</v>
      </c>
      <c r="G46" s="6">
        <v>0</v>
      </c>
      <c r="H46" s="8">
        <v>0</v>
      </c>
      <c r="I46" s="6">
        <v>118.2</v>
      </c>
      <c r="J46" s="6">
        <v>4</v>
      </c>
      <c r="K46" s="6">
        <v>6.62</v>
      </c>
      <c r="L46" s="6">
        <v>-5.78</v>
      </c>
      <c r="M46" s="6">
        <v>10.3</v>
      </c>
      <c r="N46" s="6">
        <v>-1.6</v>
      </c>
    </row>
    <row r="47" spans="1:14">
      <c r="A47" s="4" t="s">
        <v>1430</v>
      </c>
      <c r="B47" s="5" t="s">
        <v>6</v>
      </c>
      <c r="C47" s="6" t="s">
        <v>47</v>
      </c>
      <c r="D47" s="6">
        <v>8.083</v>
      </c>
      <c r="E47" s="8">
        <v>265075</v>
      </c>
      <c r="F47" s="8">
        <v>6594</v>
      </c>
      <c r="G47" s="6">
        <v>0</v>
      </c>
      <c r="H47" s="8">
        <v>0</v>
      </c>
      <c r="I47" s="6">
        <v>134.7</v>
      </c>
      <c r="J47" s="6">
        <v>6.5</v>
      </c>
      <c r="K47" s="6">
        <v>5.65</v>
      </c>
      <c r="L47" s="6">
        <v>8.15</v>
      </c>
      <c r="M47" s="6">
        <v>6.5</v>
      </c>
      <c r="N47" s="6">
        <v>3.6</v>
      </c>
    </row>
    <row r="48" spans="1:14">
      <c r="A48" s="4" t="s">
        <v>1431</v>
      </c>
      <c r="B48" s="5" t="s">
        <v>6</v>
      </c>
      <c r="C48" s="6" t="s">
        <v>29</v>
      </c>
      <c r="D48" s="6">
        <v>8.254</v>
      </c>
      <c r="E48" s="8">
        <v>166356</v>
      </c>
      <c r="F48" s="8">
        <v>6898</v>
      </c>
      <c r="G48" s="6">
        <v>0</v>
      </c>
      <c r="H48" s="8">
        <v>0</v>
      </c>
      <c r="I48" s="6">
        <v>121.5</v>
      </c>
      <c r="J48" s="6">
        <v>6</v>
      </c>
      <c r="K48" s="6">
        <v>3.73</v>
      </c>
      <c r="L48" s="6">
        <v>3.87</v>
      </c>
      <c r="M48" s="6">
        <v>7</v>
      </c>
      <c r="N48" s="6">
        <v>3.6</v>
      </c>
    </row>
    <row r="49" spans="1:14">
      <c r="A49" s="4" t="s">
        <v>1432</v>
      </c>
      <c r="B49" s="5" t="s">
        <v>6</v>
      </c>
      <c r="C49" s="6" t="s">
        <v>44</v>
      </c>
      <c r="D49" s="6">
        <v>9.182</v>
      </c>
      <c r="E49" s="8">
        <v>702935</v>
      </c>
      <c r="F49" s="8">
        <v>12833</v>
      </c>
      <c r="G49" s="6">
        <v>0</v>
      </c>
      <c r="H49" s="8">
        <v>0</v>
      </c>
      <c r="I49" s="6">
        <v>130.3</v>
      </c>
      <c r="J49" s="6">
        <v>6.25</v>
      </c>
      <c r="K49" s="6">
        <v>6.7</v>
      </c>
      <c r="L49" s="6">
        <v>6.99</v>
      </c>
      <c r="M49" s="6">
        <v>6.7</v>
      </c>
      <c r="N49" s="6">
        <v>1.8</v>
      </c>
    </row>
    <row r="50" spans="1:14">
      <c r="A50" s="4" t="s">
        <v>1433</v>
      </c>
      <c r="B50" s="5" t="s">
        <v>6</v>
      </c>
      <c r="C50" s="6" t="s">
        <v>47</v>
      </c>
      <c r="D50" s="6">
        <v>8.472</v>
      </c>
      <c r="E50" s="8">
        <v>287131</v>
      </c>
      <c r="F50" s="8">
        <v>2242</v>
      </c>
      <c r="G50" s="6">
        <v>0</v>
      </c>
      <c r="H50" s="8">
        <v>0</v>
      </c>
      <c r="I50" s="6">
        <v>134.7</v>
      </c>
      <c r="J50" s="6">
        <v>6.5</v>
      </c>
      <c r="K50" s="6">
        <v>5.65</v>
      </c>
      <c r="L50" s="6">
        <v>8.15</v>
      </c>
      <c r="M50" s="6">
        <v>6.5</v>
      </c>
      <c r="N50" s="6">
        <v>3.6</v>
      </c>
    </row>
    <row r="51" spans="1:14">
      <c r="A51" s="4" t="s">
        <v>1434</v>
      </c>
      <c r="B51" s="5" t="s">
        <v>6</v>
      </c>
      <c r="C51" s="6" t="s">
        <v>40</v>
      </c>
      <c r="D51" s="6">
        <v>7.483</v>
      </c>
      <c r="E51" s="8">
        <v>746280</v>
      </c>
      <c r="F51" s="8">
        <v>14341</v>
      </c>
      <c r="G51" s="6">
        <v>0</v>
      </c>
      <c r="H51" s="8">
        <v>0</v>
      </c>
      <c r="I51" s="6">
        <v>124.8</v>
      </c>
      <c r="J51" s="6">
        <v>4</v>
      </c>
      <c r="K51" s="6">
        <v>5.13</v>
      </c>
      <c r="L51" s="6">
        <v>9.69</v>
      </c>
      <c r="M51" s="6">
        <v>8.2</v>
      </c>
      <c r="N51" s="6">
        <v>1.65</v>
      </c>
    </row>
    <row r="52" spans="1:14">
      <c r="A52" s="4" t="s">
        <v>1435</v>
      </c>
      <c r="B52" s="5" t="s">
        <v>6</v>
      </c>
      <c r="C52" s="6" t="s">
        <v>31</v>
      </c>
      <c r="D52" s="6">
        <v>8.047</v>
      </c>
      <c r="E52" s="8">
        <v>563003</v>
      </c>
      <c r="F52" s="8">
        <v>4285</v>
      </c>
      <c r="G52" s="6">
        <v>0</v>
      </c>
      <c r="H52" s="8">
        <v>0</v>
      </c>
      <c r="I52" s="6">
        <v>121.5</v>
      </c>
      <c r="J52" s="6">
        <v>5.4</v>
      </c>
      <c r="K52" s="6">
        <v>3.73</v>
      </c>
      <c r="L52" s="6">
        <v>3.87</v>
      </c>
      <c r="M52" s="6">
        <v>7.8</v>
      </c>
      <c r="N52" s="6">
        <v>0.7</v>
      </c>
    </row>
    <row r="53" spans="1:14">
      <c r="A53" s="4" t="s">
        <v>1436</v>
      </c>
      <c r="B53" s="5" t="s">
        <v>6</v>
      </c>
      <c r="C53" s="6" t="s">
        <v>36</v>
      </c>
      <c r="D53" s="6">
        <v>7.889</v>
      </c>
      <c r="E53" s="8">
        <v>343542</v>
      </c>
      <c r="F53" s="8">
        <v>7059</v>
      </c>
      <c r="G53" s="6">
        <v>0</v>
      </c>
      <c r="H53" s="8">
        <v>0</v>
      </c>
      <c r="I53" s="6">
        <v>118.2</v>
      </c>
      <c r="J53" s="6">
        <v>4</v>
      </c>
      <c r="K53" s="6">
        <v>6.62</v>
      </c>
      <c r="L53" s="6">
        <v>-5.78</v>
      </c>
      <c r="M53" s="6">
        <v>9.3</v>
      </c>
      <c r="N53" s="6">
        <v>6.4</v>
      </c>
    </row>
    <row r="54" spans="1:14">
      <c r="A54" s="4" t="s">
        <v>1437</v>
      </c>
      <c r="B54" s="5" t="s">
        <v>6</v>
      </c>
      <c r="C54" s="6" t="s">
        <v>40</v>
      </c>
      <c r="D54" s="6">
        <v>8.359</v>
      </c>
      <c r="E54" s="8">
        <v>120310</v>
      </c>
      <c r="F54" s="8">
        <v>81477</v>
      </c>
      <c r="G54" s="6">
        <v>1</v>
      </c>
      <c r="H54" s="8">
        <v>39410</v>
      </c>
      <c r="I54" s="6">
        <v>124.8</v>
      </c>
      <c r="J54" s="6">
        <v>4</v>
      </c>
      <c r="K54" s="6">
        <v>5.13</v>
      </c>
      <c r="L54" s="6">
        <v>9.69</v>
      </c>
      <c r="M54" s="6">
        <v>8.2</v>
      </c>
      <c r="N54" s="6">
        <v>1.65</v>
      </c>
    </row>
    <row r="55" spans="1:14">
      <c r="A55" s="4" t="s">
        <v>1438</v>
      </c>
      <c r="B55" s="5" t="s">
        <v>6</v>
      </c>
      <c r="C55" s="6" t="s">
        <v>34</v>
      </c>
      <c r="D55" s="6">
        <v>8.406</v>
      </c>
      <c r="E55" s="8">
        <v>413907</v>
      </c>
      <c r="F55" s="8">
        <v>17129</v>
      </c>
      <c r="G55" s="6">
        <v>0</v>
      </c>
      <c r="H55" s="8">
        <v>0</v>
      </c>
      <c r="I55" s="6">
        <v>118.2</v>
      </c>
      <c r="J55" s="6">
        <v>4</v>
      </c>
      <c r="K55" s="6">
        <v>6.62</v>
      </c>
      <c r="L55" s="6">
        <v>-5.78</v>
      </c>
      <c r="M55" s="6">
        <v>13.2</v>
      </c>
      <c r="N55" s="6">
        <v>-8.6</v>
      </c>
    </row>
    <row r="56" spans="1:14">
      <c r="A56" s="4" t="s">
        <v>1439</v>
      </c>
      <c r="B56" s="5" t="s">
        <v>6</v>
      </c>
      <c r="C56" s="6" t="s">
        <v>34</v>
      </c>
      <c r="D56" s="6">
        <v>8.058</v>
      </c>
      <c r="E56" s="8">
        <v>315944</v>
      </c>
      <c r="F56" s="8">
        <v>12063</v>
      </c>
      <c r="G56" s="6">
        <v>0</v>
      </c>
      <c r="H56" s="8">
        <v>0</v>
      </c>
      <c r="I56" s="6">
        <v>118.2</v>
      </c>
      <c r="J56" s="6">
        <v>4</v>
      </c>
      <c r="K56" s="6">
        <v>6.62</v>
      </c>
      <c r="L56" s="6">
        <v>-5.78</v>
      </c>
      <c r="M56" s="6">
        <v>13.2</v>
      </c>
      <c r="N56" s="6">
        <v>-8.6</v>
      </c>
    </row>
    <row r="57" spans="1:14">
      <c r="A57" s="4" t="s">
        <v>1440</v>
      </c>
      <c r="B57" s="5" t="s">
        <v>6</v>
      </c>
      <c r="C57" s="6" t="s">
        <v>30</v>
      </c>
      <c r="D57" s="6">
        <v>7.894</v>
      </c>
      <c r="E57" s="8">
        <v>96821</v>
      </c>
      <c r="F57" s="8">
        <v>3884</v>
      </c>
      <c r="G57" s="6">
        <v>0</v>
      </c>
      <c r="H57" s="8">
        <v>0</v>
      </c>
      <c r="I57" s="6">
        <v>121.5</v>
      </c>
      <c r="J57" s="6">
        <v>5.75</v>
      </c>
      <c r="K57" s="6">
        <v>3.73</v>
      </c>
      <c r="L57" s="6">
        <v>3.87</v>
      </c>
      <c r="M57" s="6">
        <v>8.4</v>
      </c>
      <c r="N57" s="6">
        <v>0.6</v>
      </c>
    </row>
    <row r="58" spans="1:14">
      <c r="A58" s="4" t="s">
        <v>1441</v>
      </c>
      <c r="B58" s="5" t="s">
        <v>6</v>
      </c>
      <c r="C58" s="6" t="s">
        <v>29</v>
      </c>
      <c r="D58" s="6">
        <v>8.759</v>
      </c>
      <c r="E58" s="8">
        <v>530462</v>
      </c>
      <c r="F58" s="8">
        <v>3602</v>
      </c>
      <c r="G58" s="6">
        <v>0</v>
      </c>
      <c r="H58" s="8">
        <v>0</v>
      </c>
      <c r="I58" s="6">
        <v>121.5</v>
      </c>
      <c r="J58" s="6">
        <v>6</v>
      </c>
      <c r="K58" s="6">
        <v>3.73</v>
      </c>
      <c r="L58" s="6">
        <v>3.87</v>
      </c>
      <c r="M58" s="6">
        <v>7</v>
      </c>
      <c r="N58" s="6">
        <v>3.6</v>
      </c>
    </row>
    <row r="59" spans="1:14">
      <c r="A59" s="4" t="s">
        <v>1442</v>
      </c>
      <c r="B59" s="5" t="s">
        <v>6</v>
      </c>
      <c r="C59" s="6" t="s">
        <v>29</v>
      </c>
      <c r="D59" s="6">
        <v>8.271</v>
      </c>
      <c r="E59" s="8">
        <v>559657</v>
      </c>
      <c r="F59" s="8">
        <v>14697</v>
      </c>
      <c r="G59" s="6">
        <v>0</v>
      </c>
      <c r="H59" s="8">
        <v>0</v>
      </c>
      <c r="I59" s="6">
        <v>121.5</v>
      </c>
      <c r="J59" s="6">
        <v>6</v>
      </c>
      <c r="K59" s="6">
        <v>3.73</v>
      </c>
      <c r="L59" s="6">
        <v>3.87</v>
      </c>
      <c r="M59" s="6">
        <v>7</v>
      </c>
      <c r="N59" s="6">
        <v>3.6</v>
      </c>
    </row>
    <row r="60" spans="1:14">
      <c r="A60" s="4" t="s">
        <v>1443</v>
      </c>
      <c r="B60" s="5" t="s">
        <v>6</v>
      </c>
      <c r="C60" s="6" t="s">
        <v>48</v>
      </c>
      <c r="D60" s="6">
        <v>8.782</v>
      </c>
      <c r="E60" s="8">
        <v>680520</v>
      </c>
      <c r="F60" s="8">
        <v>9099</v>
      </c>
      <c r="G60" s="6">
        <v>0</v>
      </c>
      <c r="H60" s="8">
        <v>0</v>
      </c>
      <c r="I60" s="6">
        <v>134.7</v>
      </c>
      <c r="J60" s="6">
        <v>6.5</v>
      </c>
      <c r="K60" s="6">
        <v>5.65</v>
      </c>
      <c r="L60" s="6">
        <v>8.15</v>
      </c>
      <c r="M60" s="6">
        <v>6.7</v>
      </c>
      <c r="N60" s="6">
        <v>5</v>
      </c>
    </row>
    <row r="61" spans="1:14">
      <c r="A61" s="4" t="s">
        <v>1444</v>
      </c>
      <c r="B61" s="5" t="s">
        <v>6</v>
      </c>
      <c r="C61" s="6" t="s">
        <v>46</v>
      </c>
      <c r="D61" s="6">
        <v>8.666</v>
      </c>
      <c r="E61" s="8">
        <v>726343</v>
      </c>
      <c r="F61" s="8">
        <v>5219</v>
      </c>
      <c r="G61" s="6">
        <v>0</v>
      </c>
      <c r="H61" s="8">
        <v>0</v>
      </c>
      <c r="I61" s="6">
        <v>134.7</v>
      </c>
      <c r="J61" s="6">
        <v>6.5</v>
      </c>
      <c r="K61" s="6">
        <v>5.65</v>
      </c>
      <c r="L61" s="6">
        <v>8.15</v>
      </c>
      <c r="M61" s="6">
        <v>6.6</v>
      </c>
      <c r="N61" s="6">
        <v>9.7</v>
      </c>
    </row>
    <row r="62" spans="1:14">
      <c r="A62" s="4" t="s">
        <v>1445</v>
      </c>
      <c r="B62" s="5" t="s">
        <v>6</v>
      </c>
      <c r="C62" s="6" t="s">
        <v>42</v>
      </c>
      <c r="D62" s="6">
        <v>7.807</v>
      </c>
      <c r="E62" s="8">
        <v>709331</v>
      </c>
      <c r="F62" s="8">
        <v>19796</v>
      </c>
      <c r="G62" s="6">
        <v>0</v>
      </c>
      <c r="H62" s="8">
        <v>0</v>
      </c>
      <c r="I62" s="6">
        <v>130.3</v>
      </c>
      <c r="J62" s="6">
        <v>4.9</v>
      </c>
      <c r="K62" s="6">
        <v>6.7</v>
      </c>
      <c r="L62" s="6">
        <v>6.99</v>
      </c>
      <c r="M62" s="6">
        <v>6.6</v>
      </c>
      <c r="N62" s="6">
        <v>5.6</v>
      </c>
    </row>
    <row r="63" spans="1:14">
      <c r="A63" s="4" t="s">
        <v>1446</v>
      </c>
      <c r="B63" s="5" t="s">
        <v>6</v>
      </c>
      <c r="C63" s="6" t="s">
        <v>45</v>
      </c>
      <c r="D63" s="6">
        <v>9.209</v>
      </c>
      <c r="E63" s="8">
        <v>431920</v>
      </c>
      <c r="F63" s="8">
        <v>5975</v>
      </c>
      <c r="G63" s="6">
        <v>0</v>
      </c>
      <c r="H63" s="8">
        <v>0</v>
      </c>
      <c r="I63" s="6">
        <v>134.7</v>
      </c>
      <c r="J63" s="6">
        <v>6.5</v>
      </c>
      <c r="K63" s="6">
        <v>5.65</v>
      </c>
      <c r="L63" s="6">
        <v>8.15</v>
      </c>
      <c r="M63" s="6">
        <v>6.6</v>
      </c>
      <c r="N63" s="6">
        <v>4.1</v>
      </c>
    </row>
    <row r="64" spans="1:14">
      <c r="A64" s="4" t="s">
        <v>1447</v>
      </c>
      <c r="B64" s="5" t="s">
        <v>6</v>
      </c>
      <c r="C64" s="6" t="s">
        <v>34</v>
      </c>
      <c r="D64" s="6">
        <v>7.872</v>
      </c>
      <c r="E64" s="8">
        <v>984713</v>
      </c>
      <c r="F64" s="8">
        <v>2328</v>
      </c>
      <c r="G64" s="6">
        <v>0</v>
      </c>
      <c r="H64" s="8">
        <v>0</v>
      </c>
      <c r="I64" s="6">
        <v>118.2</v>
      </c>
      <c r="J64" s="6">
        <v>4</v>
      </c>
      <c r="K64" s="6">
        <v>6.62</v>
      </c>
      <c r="L64" s="6">
        <v>-5.78</v>
      </c>
      <c r="M64" s="6">
        <v>13.2</v>
      </c>
      <c r="N64" s="6">
        <v>-8.6</v>
      </c>
    </row>
    <row r="65" spans="1:14">
      <c r="A65" s="4" t="s">
        <v>1448</v>
      </c>
      <c r="B65" s="5" t="s">
        <v>6</v>
      </c>
      <c r="C65" s="6" t="s">
        <v>46</v>
      </c>
      <c r="D65" s="6">
        <v>9.918</v>
      </c>
      <c r="E65" s="8">
        <v>396651</v>
      </c>
      <c r="F65" s="8">
        <v>369553</v>
      </c>
      <c r="G65" s="6">
        <v>1</v>
      </c>
      <c r="H65" s="8">
        <v>127886</v>
      </c>
      <c r="I65" s="6">
        <v>134.7</v>
      </c>
      <c r="J65" s="6">
        <v>6.5</v>
      </c>
      <c r="K65" s="6">
        <v>5.65</v>
      </c>
      <c r="L65" s="6">
        <v>8.15</v>
      </c>
      <c r="M65" s="6">
        <v>6.6</v>
      </c>
      <c r="N65" s="6">
        <v>9.7</v>
      </c>
    </row>
    <row r="66" spans="1:14">
      <c r="A66" s="4" t="s">
        <v>1449</v>
      </c>
      <c r="B66" s="5" t="s">
        <v>6</v>
      </c>
      <c r="C66" s="6" t="s">
        <v>38</v>
      </c>
      <c r="D66" s="6">
        <v>8.606</v>
      </c>
      <c r="E66" s="8">
        <v>695340</v>
      </c>
      <c r="F66" s="8">
        <v>24170</v>
      </c>
      <c r="G66" s="6">
        <v>0</v>
      </c>
      <c r="H66" s="8">
        <v>0</v>
      </c>
      <c r="I66" s="6">
        <v>124.8</v>
      </c>
      <c r="J66" s="6">
        <v>4</v>
      </c>
      <c r="K66" s="6">
        <v>5.13</v>
      </c>
      <c r="L66" s="6">
        <v>9.69</v>
      </c>
      <c r="M66" s="6">
        <v>9.8</v>
      </c>
      <c r="N66" s="6">
        <v>8.7</v>
      </c>
    </row>
    <row r="67" spans="1:14">
      <c r="A67" s="4" t="s">
        <v>1450</v>
      </c>
      <c r="B67" s="5" t="s">
        <v>6</v>
      </c>
      <c r="C67" s="6" t="s">
        <v>41</v>
      </c>
      <c r="D67" s="6">
        <v>7.978</v>
      </c>
      <c r="E67" s="8">
        <v>199761</v>
      </c>
      <c r="F67" s="8">
        <v>6386</v>
      </c>
      <c r="G67" s="6">
        <v>0</v>
      </c>
      <c r="H67" s="8">
        <v>0</v>
      </c>
      <c r="I67" s="6">
        <v>130.3</v>
      </c>
      <c r="J67" s="6">
        <v>4</v>
      </c>
      <c r="K67" s="6">
        <v>6.7</v>
      </c>
      <c r="L67" s="6">
        <v>6.99</v>
      </c>
      <c r="M67" s="6">
        <v>6.6</v>
      </c>
      <c r="N67" s="6">
        <v>13.8</v>
      </c>
    </row>
    <row r="68" spans="1:14">
      <c r="A68" s="4" t="s">
        <v>1451</v>
      </c>
      <c r="B68" s="5" t="s">
        <v>6</v>
      </c>
      <c r="C68" s="6" t="s">
        <v>35</v>
      </c>
      <c r="D68" s="6">
        <v>7.43</v>
      </c>
      <c r="E68" s="8">
        <v>1202474</v>
      </c>
      <c r="F68" s="8">
        <v>4298</v>
      </c>
      <c r="G68" s="6">
        <v>0</v>
      </c>
      <c r="H68" s="8">
        <v>0</v>
      </c>
      <c r="I68" s="6">
        <v>118.2</v>
      </c>
      <c r="J68" s="6">
        <v>4</v>
      </c>
      <c r="K68" s="6">
        <v>6.62</v>
      </c>
      <c r="L68" s="6">
        <v>-5.78</v>
      </c>
      <c r="M68" s="6">
        <v>10.3</v>
      </c>
      <c r="N68" s="6">
        <v>-1.6</v>
      </c>
    </row>
    <row r="69" spans="1:14">
      <c r="A69" s="4" t="s">
        <v>1452</v>
      </c>
      <c r="B69" s="5" t="s">
        <v>6</v>
      </c>
      <c r="C69" s="6" t="s">
        <v>33</v>
      </c>
      <c r="D69" s="6">
        <v>8.074</v>
      </c>
      <c r="E69" s="8">
        <v>609145</v>
      </c>
      <c r="F69" s="8">
        <v>12173</v>
      </c>
      <c r="G69" s="6">
        <v>0</v>
      </c>
      <c r="H69" s="8">
        <v>0</v>
      </c>
      <c r="I69" s="6">
        <v>118.2</v>
      </c>
      <c r="J69" s="6">
        <v>4.4</v>
      </c>
      <c r="K69" s="6">
        <v>6.62</v>
      </c>
      <c r="L69" s="6">
        <v>-5.78</v>
      </c>
      <c r="M69" s="6">
        <v>20.8</v>
      </c>
      <c r="N69" s="6">
        <v>-37</v>
      </c>
    </row>
    <row r="70" spans="1:14">
      <c r="A70" s="4" t="s">
        <v>1453</v>
      </c>
      <c r="B70" s="5" t="s">
        <v>6</v>
      </c>
      <c r="C70" s="6" t="s">
        <v>45</v>
      </c>
      <c r="D70" s="6">
        <v>8.287</v>
      </c>
      <c r="E70" s="8">
        <v>301764</v>
      </c>
      <c r="F70" s="8">
        <v>5974</v>
      </c>
      <c r="G70" s="6">
        <v>0</v>
      </c>
      <c r="H70" s="8">
        <v>0</v>
      </c>
      <c r="I70" s="6">
        <v>134.7</v>
      </c>
      <c r="J70" s="6">
        <v>6.5</v>
      </c>
      <c r="K70" s="6">
        <v>5.65</v>
      </c>
      <c r="L70" s="6">
        <v>8.15</v>
      </c>
      <c r="M70" s="6">
        <v>6.6</v>
      </c>
      <c r="N70" s="6">
        <v>4.1</v>
      </c>
    </row>
    <row r="71" spans="1:14">
      <c r="A71" s="4" t="s">
        <v>1454</v>
      </c>
      <c r="B71" s="5" t="s">
        <v>6</v>
      </c>
      <c r="C71" s="6" t="s">
        <v>44</v>
      </c>
      <c r="D71" s="6">
        <v>8.808</v>
      </c>
      <c r="E71" s="8">
        <v>102446</v>
      </c>
      <c r="F71" s="8">
        <v>422</v>
      </c>
      <c r="G71" s="6">
        <v>0</v>
      </c>
      <c r="H71" s="8">
        <v>0</v>
      </c>
      <c r="I71" s="6">
        <v>130.3</v>
      </c>
      <c r="J71" s="6">
        <v>6.25</v>
      </c>
      <c r="K71" s="6">
        <v>6.7</v>
      </c>
      <c r="L71" s="6">
        <v>6.99</v>
      </c>
      <c r="M71" s="6">
        <v>6.7</v>
      </c>
      <c r="N71" s="6">
        <v>1.8</v>
      </c>
    </row>
    <row r="72" spans="1:14">
      <c r="A72" s="4" t="s">
        <v>1455</v>
      </c>
      <c r="B72" s="5" t="s">
        <v>6</v>
      </c>
      <c r="C72" s="6" t="s">
        <v>72</v>
      </c>
      <c r="D72" s="6">
        <v>8.664</v>
      </c>
      <c r="E72" s="8">
        <v>793426</v>
      </c>
      <c r="F72" s="8">
        <v>1602</v>
      </c>
      <c r="G72" s="6">
        <v>0</v>
      </c>
      <c r="H72" s="8">
        <v>0</v>
      </c>
      <c r="I72" s="6">
        <v>120</v>
      </c>
      <c r="J72" s="6">
        <v>6.5</v>
      </c>
      <c r="K72" s="6">
        <v>4.87</v>
      </c>
      <c r="L72" s="6">
        <v>6.5</v>
      </c>
      <c r="M72" s="6">
        <v>6.5</v>
      </c>
      <c r="N72" s="6">
        <v>4</v>
      </c>
    </row>
    <row r="73" spans="1:14">
      <c r="A73" s="4" t="s">
        <v>1456</v>
      </c>
      <c r="B73" s="5" t="s">
        <v>6</v>
      </c>
      <c r="C73" s="6" t="s">
        <v>30</v>
      </c>
      <c r="D73" s="6">
        <v>7.703</v>
      </c>
      <c r="E73" s="8">
        <v>433248</v>
      </c>
      <c r="F73" s="8">
        <v>7564</v>
      </c>
      <c r="G73" s="6">
        <v>0</v>
      </c>
      <c r="H73" s="8">
        <v>0</v>
      </c>
      <c r="I73" s="6">
        <v>121.5</v>
      </c>
      <c r="J73" s="6">
        <v>5.75</v>
      </c>
      <c r="K73" s="6">
        <v>3.73</v>
      </c>
      <c r="L73" s="6">
        <v>3.87</v>
      </c>
      <c r="M73" s="6">
        <v>8.4</v>
      </c>
      <c r="N73" s="6">
        <v>0.6</v>
      </c>
    </row>
    <row r="74" spans="1:14">
      <c r="A74" s="4" t="s">
        <v>1457</v>
      </c>
      <c r="B74" s="5" t="s">
        <v>6</v>
      </c>
      <c r="C74" s="6" t="s">
        <v>37</v>
      </c>
      <c r="D74" s="6">
        <v>7.877</v>
      </c>
      <c r="E74" s="8">
        <v>725440</v>
      </c>
      <c r="F74" s="8">
        <v>10410</v>
      </c>
      <c r="G74" s="6">
        <v>0</v>
      </c>
      <c r="H74" s="8">
        <v>0</v>
      </c>
      <c r="I74" s="6">
        <v>124.8</v>
      </c>
      <c r="J74" s="6">
        <v>4</v>
      </c>
      <c r="K74" s="6">
        <v>5.13</v>
      </c>
      <c r="L74" s="6">
        <v>9.69</v>
      </c>
      <c r="M74" s="6">
        <v>12.6</v>
      </c>
      <c r="N74" s="6">
        <v>45</v>
      </c>
    </row>
    <row r="75" spans="1:14">
      <c r="A75" s="4" t="s">
        <v>1458</v>
      </c>
      <c r="B75" s="5" t="s">
        <v>6</v>
      </c>
      <c r="C75" s="6" t="s">
        <v>48</v>
      </c>
      <c r="D75" s="6">
        <v>8.409</v>
      </c>
      <c r="E75" s="8">
        <v>216525</v>
      </c>
      <c r="F75" s="8">
        <v>131234</v>
      </c>
      <c r="G75" s="6">
        <v>1</v>
      </c>
      <c r="H75" s="8">
        <v>34421</v>
      </c>
      <c r="I75" s="6">
        <v>134.7</v>
      </c>
      <c r="J75" s="6">
        <v>6.5</v>
      </c>
      <c r="K75" s="6">
        <v>5.65</v>
      </c>
      <c r="L75" s="6">
        <v>8.15</v>
      </c>
      <c r="M75" s="6">
        <v>6.7</v>
      </c>
      <c r="N75" s="6">
        <v>5</v>
      </c>
    </row>
    <row r="76" spans="1:14">
      <c r="A76" s="4" t="s">
        <v>1459</v>
      </c>
      <c r="B76" s="5" t="s">
        <v>6</v>
      </c>
      <c r="C76" s="6" t="s">
        <v>72</v>
      </c>
      <c r="D76" s="6">
        <v>7.964</v>
      </c>
      <c r="E76" s="8">
        <v>295704</v>
      </c>
      <c r="F76" s="8">
        <v>7131</v>
      </c>
      <c r="G76" s="6">
        <v>0</v>
      </c>
      <c r="H76" s="8">
        <v>0</v>
      </c>
      <c r="I76" s="6">
        <v>120</v>
      </c>
      <c r="J76" s="6">
        <v>6.5</v>
      </c>
      <c r="K76" s="6">
        <v>4.87</v>
      </c>
      <c r="L76" s="6">
        <v>6.5</v>
      </c>
      <c r="M76" s="6">
        <v>6.5</v>
      </c>
      <c r="N76" s="6">
        <v>4</v>
      </c>
    </row>
    <row r="77" spans="1:14">
      <c r="A77" s="4" t="s">
        <v>1460</v>
      </c>
      <c r="B77" s="5" t="s">
        <v>6</v>
      </c>
      <c r="C77" s="6" t="s">
        <v>48</v>
      </c>
      <c r="D77" s="6">
        <v>8.745</v>
      </c>
      <c r="E77" s="8">
        <v>252449</v>
      </c>
      <c r="F77" s="8">
        <v>8221</v>
      </c>
      <c r="G77" s="6">
        <v>0</v>
      </c>
      <c r="H77" s="8">
        <v>0</v>
      </c>
      <c r="I77" s="6">
        <v>134.7</v>
      </c>
      <c r="J77" s="6">
        <v>6.5</v>
      </c>
      <c r="K77" s="6">
        <v>5.65</v>
      </c>
      <c r="L77" s="6">
        <v>8.15</v>
      </c>
      <c r="M77" s="6">
        <v>6.7</v>
      </c>
      <c r="N77" s="6">
        <v>5</v>
      </c>
    </row>
    <row r="78" spans="1:14">
      <c r="A78" s="4" t="s">
        <v>1461</v>
      </c>
      <c r="B78" s="5" t="s">
        <v>6</v>
      </c>
      <c r="C78" s="6" t="s">
        <v>34</v>
      </c>
      <c r="D78" s="6">
        <v>8.916</v>
      </c>
      <c r="E78" s="8">
        <v>299355</v>
      </c>
      <c r="F78" s="8">
        <v>1936</v>
      </c>
      <c r="G78" s="6">
        <v>0</v>
      </c>
      <c r="H78" s="8">
        <v>0</v>
      </c>
      <c r="I78" s="6">
        <v>118.2</v>
      </c>
      <c r="J78" s="6">
        <v>4</v>
      </c>
      <c r="K78" s="6">
        <v>6.62</v>
      </c>
      <c r="L78" s="6">
        <v>-5.78</v>
      </c>
      <c r="M78" s="6">
        <v>13.2</v>
      </c>
      <c r="N78" s="6">
        <v>-8.6</v>
      </c>
    </row>
    <row r="79" spans="1:14">
      <c r="A79" s="4" t="s">
        <v>1462</v>
      </c>
      <c r="B79" s="5" t="s">
        <v>6</v>
      </c>
      <c r="C79" s="6" t="s">
        <v>30</v>
      </c>
      <c r="D79" s="6">
        <v>7.704</v>
      </c>
      <c r="E79" s="8">
        <v>749673</v>
      </c>
      <c r="F79" s="8">
        <v>10892</v>
      </c>
      <c r="G79" s="6">
        <v>0</v>
      </c>
      <c r="H79" s="8">
        <v>0</v>
      </c>
      <c r="I79" s="6">
        <v>121.5</v>
      </c>
      <c r="J79" s="6">
        <v>5.75</v>
      </c>
      <c r="K79" s="6">
        <v>3.73</v>
      </c>
      <c r="L79" s="6">
        <v>3.87</v>
      </c>
      <c r="M79" s="6">
        <v>8.4</v>
      </c>
      <c r="N79" s="6">
        <v>0.6</v>
      </c>
    </row>
    <row r="80" spans="1:14">
      <c r="A80" s="4" t="s">
        <v>1463</v>
      </c>
      <c r="B80" s="5" t="s">
        <v>6</v>
      </c>
      <c r="C80" s="6" t="s">
        <v>41</v>
      </c>
      <c r="D80" s="6">
        <v>8.133</v>
      </c>
      <c r="E80" s="8">
        <v>835406</v>
      </c>
      <c r="F80" s="8">
        <v>15382</v>
      </c>
      <c r="G80" s="6">
        <v>0</v>
      </c>
      <c r="H80" s="8">
        <v>0</v>
      </c>
      <c r="I80" s="6">
        <v>130.3</v>
      </c>
      <c r="J80" s="6">
        <v>4</v>
      </c>
      <c r="K80" s="6">
        <v>6.7</v>
      </c>
      <c r="L80" s="6">
        <v>6.99</v>
      </c>
      <c r="M80" s="6">
        <v>6.6</v>
      </c>
      <c r="N80" s="6">
        <v>13.8</v>
      </c>
    </row>
    <row r="81" spans="1:14">
      <c r="A81" s="4" t="s">
        <v>1464</v>
      </c>
      <c r="B81" s="5" t="s">
        <v>6</v>
      </c>
      <c r="C81" s="6" t="s">
        <v>39</v>
      </c>
      <c r="D81" s="6">
        <v>7.601</v>
      </c>
      <c r="E81" s="8">
        <v>1165605</v>
      </c>
      <c r="F81" s="8">
        <v>46530</v>
      </c>
      <c r="G81" s="6">
        <v>0</v>
      </c>
      <c r="H81" s="8">
        <v>0</v>
      </c>
      <c r="I81" s="6">
        <v>124.8</v>
      </c>
      <c r="J81" s="6">
        <v>4</v>
      </c>
      <c r="K81" s="6">
        <v>5.13</v>
      </c>
      <c r="L81" s="6">
        <v>9.69</v>
      </c>
      <c r="M81" s="6">
        <v>8.7</v>
      </c>
      <c r="N81" s="6">
        <v>2.1</v>
      </c>
    </row>
    <row r="82" spans="1:14">
      <c r="A82" s="4" t="s">
        <v>1465</v>
      </c>
      <c r="B82" s="5" t="s">
        <v>6</v>
      </c>
      <c r="C82" s="6" t="s">
        <v>48</v>
      </c>
      <c r="D82" s="6">
        <v>8.554</v>
      </c>
      <c r="E82" s="8">
        <v>537622</v>
      </c>
      <c r="F82" s="8">
        <v>15970</v>
      </c>
      <c r="G82" s="6">
        <v>0</v>
      </c>
      <c r="H82" s="8">
        <v>0</v>
      </c>
      <c r="I82" s="6">
        <v>134.7</v>
      </c>
      <c r="J82" s="6">
        <v>6.5</v>
      </c>
      <c r="K82" s="6">
        <v>5.65</v>
      </c>
      <c r="L82" s="6">
        <v>8.15</v>
      </c>
      <c r="M82" s="6">
        <v>6.7</v>
      </c>
      <c r="N82" s="6">
        <v>5</v>
      </c>
    </row>
    <row r="83" spans="1:14">
      <c r="A83" s="4" t="s">
        <v>1466</v>
      </c>
      <c r="B83" s="5" t="s">
        <v>6</v>
      </c>
      <c r="C83" s="6" t="s">
        <v>30</v>
      </c>
      <c r="D83" s="6">
        <v>8.806</v>
      </c>
      <c r="E83" s="8">
        <v>58463</v>
      </c>
      <c r="F83" s="8">
        <v>1946</v>
      </c>
      <c r="G83" s="6">
        <v>0</v>
      </c>
      <c r="H83" s="8">
        <v>0</v>
      </c>
      <c r="I83" s="6">
        <v>121.5</v>
      </c>
      <c r="J83" s="6">
        <v>5.75</v>
      </c>
      <c r="K83" s="6">
        <v>3.73</v>
      </c>
      <c r="L83" s="6">
        <v>3.87</v>
      </c>
      <c r="M83" s="6">
        <v>8.4</v>
      </c>
      <c r="N83" s="6">
        <v>0.6</v>
      </c>
    </row>
    <row r="84" spans="1:14">
      <c r="A84" s="4" t="s">
        <v>1467</v>
      </c>
      <c r="B84" s="5" t="s">
        <v>6</v>
      </c>
      <c r="C84" s="6" t="s">
        <v>41</v>
      </c>
      <c r="D84" s="6">
        <v>7.366</v>
      </c>
      <c r="E84" s="8">
        <v>337176</v>
      </c>
      <c r="F84" s="8">
        <v>2900</v>
      </c>
      <c r="G84" s="6">
        <v>0</v>
      </c>
      <c r="H84" s="8">
        <v>0</v>
      </c>
      <c r="I84" s="6">
        <v>130.3</v>
      </c>
      <c r="J84" s="6">
        <v>4</v>
      </c>
      <c r="K84" s="6">
        <v>6.7</v>
      </c>
      <c r="L84" s="6">
        <v>6.99</v>
      </c>
      <c r="M84" s="6">
        <v>6.6</v>
      </c>
      <c r="N84" s="6">
        <v>13.8</v>
      </c>
    </row>
    <row r="85" spans="1:14">
      <c r="A85" s="4" t="s">
        <v>1468</v>
      </c>
      <c r="B85" s="5" t="s">
        <v>6</v>
      </c>
      <c r="C85" s="6" t="s">
        <v>48</v>
      </c>
      <c r="D85" s="6">
        <v>8.675</v>
      </c>
      <c r="E85" s="8">
        <v>113300</v>
      </c>
      <c r="F85" s="8">
        <v>1738</v>
      </c>
      <c r="G85" s="6">
        <v>0</v>
      </c>
      <c r="H85" s="8">
        <v>0</v>
      </c>
      <c r="I85" s="6">
        <v>134.7</v>
      </c>
      <c r="J85" s="6">
        <v>6.5</v>
      </c>
      <c r="K85" s="6">
        <v>5.65</v>
      </c>
      <c r="L85" s="6">
        <v>8.15</v>
      </c>
      <c r="M85" s="6">
        <v>6.7</v>
      </c>
      <c r="N85" s="6">
        <v>5</v>
      </c>
    </row>
    <row r="86" spans="1:14">
      <c r="A86" s="4" t="s">
        <v>1469</v>
      </c>
      <c r="B86" s="5" t="s">
        <v>6</v>
      </c>
      <c r="C86" s="6" t="s">
        <v>46</v>
      </c>
      <c r="D86" s="6">
        <v>9.175</v>
      </c>
      <c r="E86" s="8">
        <v>822998</v>
      </c>
      <c r="F86" s="8">
        <v>17772</v>
      </c>
      <c r="G86" s="6">
        <v>0</v>
      </c>
      <c r="H86" s="8">
        <v>0</v>
      </c>
      <c r="I86" s="6">
        <v>134.7</v>
      </c>
      <c r="J86" s="6">
        <v>6.5</v>
      </c>
      <c r="K86" s="6">
        <v>5.65</v>
      </c>
      <c r="L86" s="6">
        <v>8.15</v>
      </c>
      <c r="M86" s="6">
        <v>6.6</v>
      </c>
      <c r="N86" s="6">
        <v>9.7</v>
      </c>
    </row>
    <row r="87" spans="1:14">
      <c r="A87" s="4" t="s">
        <v>1470</v>
      </c>
      <c r="B87" s="5" t="s">
        <v>6</v>
      </c>
      <c r="C87" s="6" t="s">
        <v>31</v>
      </c>
      <c r="D87" s="6">
        <v>7.265</v>
      </c>
      <c r="E87" s="8">
        <v>470869</v>
      </c>
      <c r="F87" s="8">
        <v>3443</v>
      </c>
      <c r="G87" s="6">
        <v>0</v>
      </c>
      <c r="H87" s="8">
        <v>0</v>
      </c>
      <c r="I87" s="6">
        <v>121.5</v>
      </c>
      <c r="J87" s="6">
        <v>5.4</v>
      </c>
      <c r="K87" s="6">
        <v>3.73</v>
      </c>
      <c r="L87" s="6">
        <v>3.87</v>
      </c>
      <c r="M87" s="6">
        <v>7.8</v>
      </c>
      <c r="N87" s="6">
        <v>0.7</v>
      </c>
    </row>
    <row r="88" spans="1:14">
      <c r="A88" s="4" t="s">
        <v>1471</v>
      </c>
      <c r="B88" s="5" t="s">
        <v>6</v>
      </c>
      <c r="C88" s="6" t="s">
        <v>32</v>
      </c>
      <c r="D88" s="6">
        <v>7.682</v>
      </c>
      <c r="E88" s="8">
        <v>833418</v>
      </c>
      <c r="F88" s="8">
        <v>4946</v>
      </c>
      <c r="G88" s="6">
        <v>0</v>
      </c>
      <c r="H88" s="8">
        <v>0</v>
      </c>
      <c r="I88" s="6">
        <v>121.5</v>
      </c>
      <c r="J88" s="6">
        <v>5.15</v>
      </c>
      <c r="K88" s="6">
        <v>3.73</v>
      </c>
      <c r="L88" s="6">
        <v>3.87</v>
      </c>
      <c r="M88" s="6">
        <v>9.1</v>
      </c>
      <c r="N88" s="6">
        <v>-16.7</v>
      </c>
    </row>
    <row r="89" spans="1:14">
      <c r="A89" s="4" t="s">
        <v>1472</v>
      </c>
      <c r="B89" s="5" t="s">
        <v>6</v>
      </c>
      <c r="C89" s="6" t="s">
        <v>41</v>
      </c>
      <c r="D89" s="6">
        <v>8.324</v>
      </c>
      <c r="E89" s="8">
        <v>777132</v>
      </c>
      <c r="F89" s="8">
        <v>21469</v>
      </c>
      <c r="G89" s="6">
        <v>0</v>
      </c>
      <c r="H89" s="8">
        <v>0</v>
      </c>
      <c r="I89" s="6">
        <v>130.3</v>
      </c>
      <c r="J89" s="6">
        <v>4</v>
      </c>
      <c r="K89" s="6">
        <v>6.7</v>
      </c>
      <c r="L89" s="6">
        <v>6.99</v>
      </c>
      <c r="M89" s="6">
        <v>6.6</v>
      </c>
      <c r="N89" s="6">
        <v>13.8</v>
      </c>
    </row>
    <row r="90" spans="1:14">
      <c r="A90" s="4" t="s">
        <v>1473</v>
      </c>
      <c r="B90" s="5" t="s">
        <v>6</v>
      </c>
      <c r="C90" s="6" t="s">
        <v>72</v>
      </c>
      <c r="D90" s="6">
        <v>8.961</v>
      </c>
      <c r="E90" s="8">
        <v>742571</v>
      </c>
      <c r="F90" s="8">
        <v>11030</v>
      </c>
      <c r="G90" s="6">
        <v>0</v>
      </c>
      <c r="H90" s="8">
        <v>0</v>
      </c>
      <c r="I90" s="6">
        <v>120</v>
      </c>
      <c r="J90" s="6">
        <v>6.5</v>
      </c>
      <c r="K90" s="6">
        <v>4.87</v>
      </c>
      <c r="L90" s="6">
        <v>6.5</v>
      </c>
      <c r="M90" s="6">
        <v>6.5</v>
      </c>
      <c r="N90" s="6">
        <v>4</v>
      </c>
    </row>
    <row r="91" spans="1:14">
      <c r="A91" s="4" t="s">
        <v>1474</v>
      </c>
      <c r="B91" s="5" t="s">
        <v>6</v>
      </c>
      <c r="C91" s="6" t="s">
        <v>39</v>
      </c>
      <c r="D91" s="6">
        <v>8.914</v>
      </c>
      <c r="E91" s="8">
        <v>39349</v>
      </c>
      <c r="F91" s="8">
        <v>1009</v>
      </c>
      <c r="G91" s="6">
        <v>0</v>
      </c>
      <c r="H91" s="8">
        <v>0</v>
      </c>
      <c r="I91" s="6">
        <v>124.8</v>
      </c>
      <c r="J91" s="6">
        <v>4</v>
      </c>
      <c r="K91" s="6">
        <v>5.13</v>
      </c>
      <c r="L91" s="6">
        <v>9.69</v>
      </c>
      <c r="M91" s="6">
        <v>8.7</v>
      </c>
      <c r="N91" s="6">
        <v>2.1</v>
      </c>
    </row>
    <row r="92" spans="1:14">
      <c r="A92" s="4" t="s">
        <v>1475</v>
      </c>
      <c r="B92" s="5" t="s">
        <v>6</v>
      </c>
      <c r="C92" s="6" t="s">
        <v>45</v>
      </c>
      <c r="D92" s="6">
        <v>8.442</v>
      </c>
      <c r="E92" s="8">
        <v>390553</v>
      </c>
      <c r="F92" s="8">
        <v>12441</v>
      </c>
      <c r="G92" s="6">
        <v>0</v>
      </c>
      <c r="H92" s="8">
        <v>0</v>
      </c>
      <c r="I92" s="6">
        <v>134.7</v>
      </c>
      <c r="J92" s="6">
        <v>6.5</v>
      </c>
      <c r="K92" s="6">
        <v>5.65</v>
      </c>
      <c r="L92" s="6">
        <v>8.15</v>
      </c>
      <c r="M92" s="6">
        <v>6.6</v>
      </c>
      <c r="N92" s="6">
        <v>4.1</v>
      </c>
    </row>
    <row r="93" spans="1:14">
      <c r="A93" s="4" t="s">
        <v>1476</v>
      </c>
      <c r="B93" s="5" t="s">
        <v>6</v>
      </c>
      <c r="C93" s="6" t="s">
        <v>38</v>
      </c>
      <c r="D93" s="6">
        <v>7.745</v>
      </c>
      <c r="E93" s="8">
        <v>804345</v>
      </c>
      <c r="F93" s="8">
        <v>19910</v>
      </c>
      <c r="G93" s="6">
        <v>0</v>
      </c>
      <c r="H93" s="8">
        <v>0</v>
      </c>
      <c r="I93" s="6">
        <v>124.8</v>
      </c>
      <c r="J93" s="6">
        <v>4</v>
      </c>
      <c r="K93" s="6">
        <v>5.13</v>
      </c>
      <c r="L93" s="6">
        <v>9.69</v>
      </c>
      <c r="M93" s="6">
        <v>9.8</v>
      </c>
      <c r="N93" s="6">
        <v>8.7</v>
      </c>
    </row>
    <row r="94" spans="1:14">
      <c r="A94" s="4" t="s">
        <v>1477</v>
      </c>
      <c r="B94" s="5" t="s">
        <v>6</v>
      </c>
      <c r="C94" s="6" t="s">
        <v>45</v>
      </c>
      <c r="D94" s="6">
        <v>8.912</v>
      </c>
      <c r="E94" s="8">
        <v>825420</v>
      </c>
      <c r="F94" s="8">
        <v>21752</v>
      </c>
      <c r="G94" s="6">
        <v>0</v>
      </c>
      <c r="H94" s="8">
        <v>0</v>
      </c>
      <c r="I94" s="6">
        <v>134.7</v>
      </c>
      <c r="J94" s="6">
        <v>6.5</v>
      </c>
      <c r="K94" s="6">
        <v>5.65</v>
      </c>
      <c r="L94" s="6">
        <v>8.15</v>
      </c>
      <c r="M94" s="6">
        <v>6.6</v>
      </c>
      <c r="N94" s="6">
        <v>4.1</v>
      </c>
    </row>
    <row r="95" spans="1:14">
      <c r="A95" s="4" t="s">
        <v>1478</v>
      </c>
      <c r="B95" s="5" t="s">
        <v>6</v>
      </c>
      <c r="C95" s="6" t="s">
        <v>31</v>
      </c>
      <c r="D95" s="6">
        <v>7.447</v>
      </c>
      <c r="E95" s="8">
        <v>611916</v>
      </c>
      <c r="F95" s="8">
        <v>5490</v>
      </c>
      <c r="G95" s="6">
        <v>0</v>
      </c>
      <c r="H95" s="8">
        <v>0</v>
      </c>
      <c r="I95" s="6">
        <v>121.5</v>
      </c>
      <c r="J95" s="6">
        <v>5.4</v>
      </c>
      <c r="K95" s="6">
        <v>3.73</v>
      </c>
      <c r="L95" s="6">
        <v>3.87</v>
      </c>
      <c r="M95" s="6">
        <v>7.8</v>
      </c>
      <c r="N95" s="6">
        <v>0.7</v>
      </c>
    </row>
    <row r="96" spans="1:14">
      <c r="A96" s="4" t="s">
        <v>1479</v>
      </c>
      <c r="B96" s="5" t="s">
        <v>6</v>
      </c>
      <c r="C96" s="6" t="s">
        <v>32</v>
      </c>
      <c r="D96" s="6">
        <v>7.741</v>
      </c>
      <c r="E96" s="8">
        <v>870457</v>
      </c>
      <c r="F96" s="8">
        <v>35073</v>
      </c>
      <c r="G96" s="6">
        <v>0</v>
      </c>
      <c r="H96" s="8">
        <v>0</v>
      </c>
      <c r="I96" s="6">
        <v>121.5</v>
      </c>
      <c r="J96" s="6">
        <v>5.15</v>
      </c>
      <c r="K96" s="6">
        <v>3.73</v>
      </c>
      <c r="L96" s="6">
        <v>3.87</v>
      </c>
      <c r="M96" s="6">
        <v>9.1</v>
      </c>
      <c r="N96" s="6">
        <v>-16.7</v>
      </c>
    </row>
    <row r="97" spans="1:14">
      <c r="A97" s="4" t="s">
        <v>1480</v>
      </c>
      <c r="B97" s="5" t="s">
        <v>6</v>
      </c>
      <c r="C97" s="6" t="s">
        <v>39</v>
      </c>
      <c r="D97" s="6">
        <v>7.506</v>
      </c>
      <c r="E97" s="8">
        <v>1087283</v>
      </c>
      <c r="F97" s="8">
        <v>38188</v>
      </c>
      <c r="G97" s="6">
        <v>0</v>
      </c>
      <c r="H97" s="8">
        <v>0</v>
      </c>
      <c r="I97" s="6">
        <v>124.8</v>
      </c>
      <c r="J97" s="6">
        <v>4</v>
      </c>
      <c r="K97" s="6">
        <v>5.13</v>
      </c>
      <c r="L97" s="6">
        <v>9.69</v>
      </c>
      <c r="M97" s="6">
        <v>8.7</v>
      </c>
      <c r="N97" s="6">
        <v>2.1</v>
      </c>
    </row>
    <row r="98" spans="1:14">
      <c r="A98" s="4" t="s">
        <v>1481</v>
      </c>
      <c r="B98" s="5" t="s">
        <v>6</v>
      </c>
      <c r="C98" s="6" t="s">
        <v>35</v>
      </c>
      <c r="D98" s="6">
        <v>8.036</v>
      </c>
      <c r="E98" s="8">
        <v>577398</v>
      </c>
      <c r="F98" s="8">
        <v>534587</v>
      </c>
      <c r="G98" s="6">
        <v>1</v>
      </c>
      <c r="H98" s="8">
        <v>180453</v>
      </c>
      <c r="I98" s="6">
        <v>118.2</v>
      </c>
      <c r="J98" s="6">
        <v>4</v>
      </c>
      <c r="K98" s="6">
        <v>6.62</v>
      </c>
      <c r="L98" s="6">
        <v>-5.78</v>
      </c>
      <c r="M98" s="6">
        <v>10.3</v>
      </c>
      <c r="N98" s="6">
        <v>-1.6</v>
      </c>
    </row>
    <row r="99" spans="1:14">
      <c r="A99" s="4" t="s">
        <v>1482</v>
      </c>
      <c r="B99" s="5" t="s">
        <v>6</v>
      </c>
      <c r="C99" s="6" t="s">
        <v>37</v>
      </c>
      <c r="D99" s="6">
        <v>7.585</v>
      </c>
      <c r="E99" s="8">
        <v>439247</v>
      </c>
      <c r="F99" s="8">
        <v>138299</v>
      </c>
      <c r="G99" s="6">
        <v>1</v>
      </c>
      <c r="H99" s="8">
        <v>35033</v>
      </c>
      <c r="I99" s="6">
        <v>124.8</v>
      </c>
      <c r="J99" s="6">
        <v>4</v>
      </c>
      <c r="K99" s="6">
        <v>5.13</v>
      </c>
      <c r="L99" s="6">
        <v>9.69</v>
      </c>
      <c r="M99" s="6">
        <v>12.6</v>
      </c>
      <c r="N99" s="6">
        <v>45</v>
      </c>
    </row>
    <row r="100" spans="1:14">
      <c r="A100" s="4" t="s">
        <v>1483</v>
      </c>
      <c r="B100" s="5" t="s">
        <v>6</v>
      </c>
      <c r="C100" s="6" t="s">
        <v>36</v>
      </c>
      <c r="D100" s="6">
        <v>8.075</v>
      </c>
      <c r="E100" s="8">
        <v>733652</v>
      </c>
      <c r="F100" s="8">
        <v>527361</v>
      </c>
      <c r="G100" s="6">
        <v>1</v>
      </c>
      <c r="H100" s="8">
        <v>270690</v>
      </c>
      <c r="I100" s="6">
        <v>118.2</v>
      </c>
      <c r="J100" s="6">
        <v>4</v>
      </c>
      <c r="K100" s="6">
        <v>6.62</v>
      </c>
      <c r="L100" s="6">
        <v>-5.78</v>
      </c>
      <c r="M100" s="6">
        <v>9.3</v>
      </c>
      <c r="N100" s="6">
        <v>6.4</v>
      </c>
    </row>
    <row r="101" spans="1:14">
      <c r="A101" s="4" t="s">
        <v>1484</v>
      </c>
      <c r="B101" s="5" t="s">
        <v>6</v>
      </c>
      <c r="C101" s="6" t="s">
        <v>48</v>
      </c>
      <c r="D101" s="6">
        <v>8.357</v>
      </c>
      <c r="E101" s="8">
        <v>836766</v>
      </c>
      <c r="F101" s="8">
        <v>5653</v>
      </c>
      <c r="G101" s="6">
        <v>0</v>
      </c>
      <c r="H101" s="8">
        <v>0</v>
      </c>
      <c r="I101" s="6">
        <v>134.7</v>
      </c>
      <c r="J101" s="6">
        <v>6.5</v>
      </c>
      <c r="K101" s="6">
        <v>5.65</v>
      </c>
      <c r="L101" s="6">
        <v>8.15</v>
      </c>
      <c r="M101" s="6">
        <v>6.7</v>
      </c>
      <c r="N101" s="6">
        <v>5</v>
      </c>
    </row>
    <row r="102" spans="1:14">
      <c r="A102" s="4" t="s">
        <v>1485</v>
      </c>
      <c r="B102" s="5" t="s">
        <v>6</v>
      </c>
      <c r="C102" s="6" t="s">
        <v>40</v>
      </c>
      <c r="D102" s="6">
        <v>8.082</v>
      </c>
      <c r="E102" s="8">
        <v>1099995</v>
      </c>
      <c r="F102" s="8">
        <v>22960</v>
      </c>
      <c r="G102" s="6">
        <v>0</v>
      </c>
      <c r="H102" s="8">
        <v>0</v>
      </c>
      <c r="I102" s="6">
        <v>124.8</v>
      </c>
      <c r="J102" s="6">
        <v>4</v>
      </c>
      <c r="K102" s="6">
        <v>5.13</v>
      </c>
      <c r="L102" s="6">
        <v>9.69</v>
      </c>
      <c r="M102" s="6">
        <v>8.2</v>
      </c>
      <c r="N102" s="6">
        <v>1.65</v>
      </c>
    </row>
    <row r="103" spans="1:14">
      <c r="A103" s="4" t="s">
        <v>1486</v>
      </c>
      <c r="B103" s="5" t="s">
        <v>6</v>
      </c>
      <c r="C103" s="6" t="s">
        <v>34</v>
      </c>
      <c r="D103" s="6">
        <v>7.845</v>
      </c>
      <c r="E103" s="8">
        <v>350746</v>
      </c>
      <c r="F103" s="8">
        <v>1805</v>
      </c>
      <c r="G103" s="6">
        <v>0</v>
      </c>
      <c r="H103" s="8">
        <v>0</v>
      </c>
      <c r="I103" s="6">
        <v>118.2</v>
      </c>
      <c r="J103" s="6">
        <v>4</v>
      </c>
      <c r="K103" s="6">
        <v>6.62</v>
      </c>
      <c r="L103" s="6">
        <v>-5.78</v>
      </c>
      <c r="M103" s="6">
        <v>13.2</v>
      </c>
      <c r="N103" s="6">
        <v>-8.6</v>
      </c>
    </row>
    <row r="104" spans="1:14">
      <c r="A104" s="4" t="s">
        <v>1487</v>
      </c>
      <c r="B104" s="5" t="s">
        <v>6</v>
      </c>
      <c r="C104" s="6" t="s">
        <v>47</v>
      </c>
      <c r="D104" s="6">
        <v>8.776</v>
      </c>
      <c r="E104" s="8">
        <v>786093</v>
      </c>
      <c r="F104" s="8">
        <v>37254</v>
      </c>
      <c r="G104" s="6">
        <v>0</v>
      </c>
      <c r="H104" s="8">
        <v>0</v>
      </c>
      <c r="I104" s="6">
        <v>134.7</v>
      </c>
      <c r="J104" s="6">
        <v>6.5</v>
      </c>
      <c r="K104" s="6">
        <v>5.65</v>
      </c>
      <c r="L104" s="6">
        <v>8.15</v>
      </c>
      <c r="M104" s="6">
        <v>6.5</v>
      </c>
      <c r="N104" s="6">
        <v>3.6</v>
      </c>
    </row>
    <row r="105" spans="1:14">
      <c r="A105" s="4" t="s">
        <v>1488</v>
      </c>
      <c r="B105" s="5" t="s">
        <v>6</v>
      </c>
      <c r="C105" s="6" t="s">
        <v>31</v>
      </c>
      <c r="D105" s="6">
        <v>7.145</v>
      </c>
      <c r="E105" s="8">
        <v>863089</v>
      </c>
      <c r="F105" s="8">
        <v>12561</v>
      </c>
      <c r="G105" s="6">
        <v>0</v>
      </c>
      <c r="H105" s="8">
        <v>0</v>
      </c>
      <c r="I105" s="6">
        <v>121.5</v>
      </c>
      <c r="J105" s="6">
        <v>5.4</v>
      </c>
      <c r="K105" s="6">
        <v>3.73</v>
      </c>
      <c r="L105" s="6">
        <v>3.87</v>
      </c>
      <c r="M105" s="6">
        <v>7.8</v>
      </c>
      <c r="N105" s="6">
        <v>0.7</v>
      </c>
    </row>
    <row r="106" spans="1:14">
      <c r="A106" s="4" t="s">
        <v>1489</v>
      </c>
      <c r="B106" s="5" t="s">
        <v>6</v>
      </c>
      <c r="C106" s="6" t="s">
        <v>40</v>
      </c>
      <c r="D106" s="6">
        <v>7.56</v>
      </c>
      <c r="E106" s="8">
        <v>280892</v>
      </c>
      <c r="F106" s="8">
        <v>490</v>
      </c>
      <c r="G106" s="6">
        <v>0</v>
      </c>
      <c r="H106" s="8">
        <v>0</v>
      </c>
      <c r="I106" s="6">
        <v>124.8</v>
      </c>
      <c r="J106" s="6">
        <v>4</v>
      </c>
      <c r="K106" s="6">
        <v>5.13</v>
      </c>
      <c r="L106" s="6">
        <v>9.69</v>
      </c>
      <c r="M106" s="6">
        <v>8.2</v>
      </c>
      <c r="N106" s="6">
        <v>1.65</v>
      </c>
    </row>
    <row r="107" spans="1:14">
      <c r="A107" s="4" t="s">
        <v>1490</v>
      </c>
      <c r="B107" s="5" t="s">
        <v>6</v>
      </c>
      <c r="C107" s="6" t="s">
        <v>41</v>
      </c>
      <c r="D107" s="6">
        <v>8.689</v>
      </c>
      <c r="E107" s="8">
        <v>259268</v>
      </c>
      <c r="F107" s="8">
        <v>10620</v>
      </c>
      <c r="G107" s="6">
        <v>0</v>
      </c>
      <c r="H107" s="8">
        <v>0</v>
      </c>
      <c r="I107" s="6">
        <v>130.3</v>
      </c>
      <c r="J107" s="6">
        <v>4</v>
      </c>
      <c r="K107" s="6">
        <v>6.7</v>
      </c>
      <c r="L107" s="6">
        <v>6.99</v>
      </c>
      <c r="M107" s="6">
        <v>6.6</v>
      </c>
      <c r="N107" s="6">
        <v>13.8</v>
      </c>
    </row>
    <row r="108" spans="1:14">
      <c r="A108" s="4" t="s">
        <v>1491</v>
      </c>
      <c r="B108" s="5" t="s">
        <v>6</v>
      </c>
      <c r="C108" s="6" t="s">
        <v>48</v>
      </c>
      <c r="D108" s="6">
        <v>8.887</v>
      </c>
      <c r="E108" s="8">
        <v>554732</v>
      </c>
      <c r="F108" s="8">
        <v>12149</v>
      </c>
      <c r="G108" s="6">
        <v>0</v>
      </c>
      <c r="H108" s="8">
        <v>0</v>
      </c>
      <c r="I108" s="6">
        <v>134.7</v>
      </c>
      <c r="J108" s="6">
        <v>6.5</v>
      </c>
      <c r="K108" s="6">
        <v>5.65</v>
      </c>
      <c r="L108" s="6">
        <v>8.15</v>
      </c>
      <c r="M108" s="6">
        <v>6.7</v>
      </c>
      <c r="N108" s="6">
        <v>5</v>
      </c>
    </row>
    <row r="109" spans="1:14">
      <c r="A109" s="4" t="s">
        <v>1492</v>
      </c>
      <c r="B109" s="5" t="s">
        <v>6</v>
      </c>
      <c r="C109" s="6" t="s">
        <v>48</v>
      </c>
      <c r="D109" s="6">
        <v>9.052</v>
      </c>
      <c r="E109" s="8">
        <v>732412</v>
      </c>
      <c r="F109" s="8">
        <v>34990</v>
      </c>
      <c r="G109" s="6">
        <v>0</v>
      </c>
      <c r="H109" s="8">
        <v>0</v>
      </c>
      <c r="I109" s="6">
        <v>134.7</v>
      </c>
      <c r="J109" s="6">
        <v>6.5</v>
      </c>
      <c r="K109" s="6">
        <v>5.65</v>
      </c>
      <c r="L109" s="6">
        <v>8.15</v>
      </c>
      <c r="M109" s="6">
        <v>6.7</v>
      </c>
      <c r="N109" s="6">
        <v>5</v>
      </c>
    </row>
    <row r="110" spans="1:14">
      <c r="A110" s="4" t="s">
        <v>1493</v>
      </c>
      <c r="B110" s="5" t="s">
        <v>6</v>
      </c>
      <c r="C110" s="6" t="s">
        <v>72</v>
      </c>
      <c r="D110" s="6">
        <v>8.438</v>
      </c>
      <c r="E110" s="8">
        <v>702064</v>
      </c>
      <c r="F110" s="8">
        <v>14461</v>
      </c>
      <c r="G110" s="6">
        <v>0</v>
      </c>
      <c r="H110" s="8">
        <v>0</v>
      </c>
      <c r="I110" s="6">
        <v>120</v>
      </c>
      <c r="J110" s="6">
        <v>6.5</v>
      </c>
      <c r="K110" s="6">
        <v>4.87</v>
      </c>
      <c r="L110" s="6">
        <v>6.5</v>
      </c>
      <c r="M110" s="6">
        <v>6.5</v>
      </c>
      <c r="N110" s="6">
        <v>4</v>
      </c>
    </row>
    <row r="111" spans="1:14">
      <c r="A111" s="4" t="s">
        <v>1494</v>
      </c>
      <c r="B111" s="5" t="s">
        <v>6</v>
      </c>
      <c r="C111" s="6" t="s">
        <v>48</v>
      </c>
      <c r="D111" s="6">
        <v>9.026</v>
      </c>
      <c r="E111" s="8">
        <v>262425</v>
      </c>
      <c r="F111" s="8">
        <v>8873</v>
      </c>
      <c r="G111" s="6">
        <v>0</v>
      </c>
      <c r="H111" s="8">
        <v>0</v>
      </c>
      <c r="I111" s="6">
        <v>134.7</v>
      </c>
      <c r="J111" s="6">
        <v>6.5</v>
      </c>
      <c r="K111" s="6">
        <v>5.65</v>
      </c>
      <c r="L111" s="6">
        <v>8.15</v>
      </c>
      <c r="M111" s="6">
        <v>6.7</v>
      </c>
      <c r="N111" s="6">
        <v>5</v>
      </c>
    </row>
    <row r="112" spans="1:14">
      <c r="A112" s="4" t="s">
        <v>1495</v>
      </c>
      <c r="B112" s="5" t="s">
        <v>6</v>
      </c>
      <c r="C112" s="6" t="s">
        <v>43</v>
      </c>
      <c r="D112" s="6">
        <v>8.357</v>
      </c>
      <c r="E112" s="8">
        <v>405872</v>
      </c>
      <c r="F112" s="8">
        <v>2928</v>
      </c>
      <c r="G112" s="6">
        <v>0</v>
      </c>
      <c r="H112" s="8">
        <v>0</v>
      </c>
      <c r="I112" s="6">
        <v>130.3</v>
      </c>
      <c r="J112" s="6">
        <v>5.9</v>
      </c>
      <c r="K112" s="6">
        <v>6.7</v>
      </c>
      <c r="L112" s="6">
        <v>6.99</v>
      </c>
      <c r="M112" s="6">
        <v>7.2</v>
      </c>
      <c r="N112" s="6">
        <v>4.5</v>
      </c>
    </row>
    <row r="113" spans="1:14">
      <c r="A113" s="4" t="s">
        <v>1496</v>
      </c>
      <c r="B113" s="5" t="s">
        <v>6</v>
      </c>
      <c r="C113" s="6" t="s">
        <v>43</v>
      </c>
      <c r="D113" s="6">
        <v>8.883</v>
      </c>
      <c r="E113" s="8">
        <v>435385</v>
      </c>
      <c r="F113" s="8">
        <v>4561</v>
      </c>
      <c r="G113" s="6">
        <v>0</v>
      </c>
      <c r="H113" s="8">
        <v>0</v>
      </c>
      <c r="I113" s="6">
        <v>130.3</v>
      </c>
      <c r="J113" s="6">
        <v>5.9</v>
      </c>
      <c r="K113" s="6">
        <v>6.7</v>
      </c>
      <c r="L113" s="6">
        <v>6.99</v>
      </c>
      <c r="M113" s="6">
        <v>7.2</v>
      </c>
      <c r="N113" s="6">
        <v>4.5</v>
      </c>
    </row>
    <row r="114" spans="1:14">
      <c r="A114" s="4" t="s">
        <v>1497</v>
      </c>
      <c r="B114" s="5" t="s">
        <v>6</v>
      </c>
      <c r="C114" s="6" t="s">
        <v>32</v>
      </c>
      <c r="D114" s="6">
        <v>7.247</v>
      </c>
      <c r="E114" s="8">
        <v>669629</v>
      </c>
      <c r="F114" s="8">
        <v>12674</v>
      </c>
      <c r="G114" s="6">
        <v>0</v>
      </c>
      <c r="H114" s="8">
        <v>0</v>
      </c>
      <c r="I114" s="6">
        <v>121.5</v>
      </c>
      <c r="J114" s="6">
        <v>5.15</v>
      </c>
      <c r="K114" s="6">
        <v>3.73</v>
      </c>
      <c r="L114" s="6">
        <v>3.87</v>
      </c>
      <c r="M114" s="6">
        <v>9.1</v>
      </c>
      <c r="N114" s="6">
        <v>-16.7</v>
      </c>
    </row>
    <row r="115" spans="1:14">
      <c r="A115" s="4" t="s">
        <v>1498</v>
      </c>
      <c r="B115" s="5" t="s">
        <v>6</v>
      </c>
      <c r="C115" s="6" t="s">
        <v>41</v>
      </c>
      <c r="D115" s="6">
        <v>9.296</v>
      </c>
      <c r="E115" s="8">
        <v>517542</v>
      </c>
      <c r="F115" s="8">
        <v>24736</v>
      </c>
      <c r="G115" s="6">
        <v>0</v>
      </c>
      <c r="H115" s="8">
        <v>0</v>
      </c>
      <c r="I115" s="6">
        <v>130.3</v>
      </c>
      <c r="J115" s="6">
        <v>4</v>
      </c>
      <c r="K115" s="6">
        <v>6.7</v>
      </c>
      <c r="L115" s="6">
        <v>6.99</v>
      </c>
      <c r="M115" s="6">
        <v>6.6</v>
      </c>
      <c r="N115" s="6">
        <v>13.8</v>
      </c>
    </row>
    <row r="116" spans="1:14">
      <c r="A116" s="4" t="s">
        <v>1499</v>
      </c>
      <c r="B116" s="5" t="s">
        <v>6</v>
      </c>
      <c r="C116" s="6" t="s">
        <v>39</v>
      </c>
      <c r="D116" s="6">
        <v>7.431</v>
      </c>
      <c r="E116" s="8">
        <v>487976</v>
      </c>
      <c r="F116" s="8">
        <v>23494</v>
      </c>
      <c r="G116" s="6">
        <v>0</v>
      </c>
      <c r="H116" s="8">
        <v>0</v>
      </c>
      <c r="I116" s="6">
        <v>124.8</v>
      </c>
      <c r="J116" s="6">
        <v>4</v>
      </c>
      <c r="K116" s="6">
        <v>5.13</v>
      </c>
      <c r="L116" s="6">
        <v>9.69</v>
      </c>
      <c r="M116" s="6">
        <v>8.7</v>
      </c>
      <c r="N116" s="6">
        <v>2.1</v>
      </c>
    </row>
    <row r="117" spans="1:14">
      <c r="A117" s="4" t="s">
        <v>1500</v>
      </c>
      <c r="B117" s="5" t="s">
        <v>6</v>
      </c>
      <c r="C117" s="6" t="s">
        <v>43</v>
      </c>
      <c r="D117" s="6">
        <v>9.265</v>
      </c>
      <c r="E117" s="8">
        <v>836344</v>
      </c>
      <c r="F117" s="8">
        <v>17706</v>
      </c>
      <c r="G117" s="6">
        <v>0</v>
      </c>
      <c r="H117" s="8">
        <v>0</v>
      </c>
      <c r="I117" s="6">
        <v>130.3</v>
      </c>
      <c r="J117" s="6">
        <v>5.9</v>
      </c>
      <c r="K117" s="6">
        <v>6.7</v>
      </c>
      <c r="L117" s="6">
        <v>6.99</v>
      </c>
      <c r="M117" s="6">
        <v>7.2</v>
      </c>
      <c r="N117" s="6">
        <v>4.5</v>
      </c>
    </row>
    <row r="118" spans="1:14">
      <c r="A118" s="4" t="s">
        <v>1501</v>
      </c>
      <c r="B118" s="5" t="s">
        <v>6</v>
      </c>
      <c r="C118" s="6" t="s">
        <v>33</v>
      </c>
      <c r="D118" s="6">
        <v>8.029</v>
      </c>
      <c r="E118" s="8">
        <v>554373</v>
      </c>
      <c r="F118" s="8">
        <v>9470</v>
      </c>
      <c r="G118" s="6">
        <v>0</v>
      </c>
      <c r="H118" s="8">
        <v>0</v>
      </c>
      <c r="I118" s="6">
        <v>118.2</v>
      </c>
      <c r="J118" s="6">
        <v>4.4</v>
      </c>
      <c r="K118" s="6">
        <v>6.62</v>
      </c>
      <c r="L118" s="6">
        <v>-5.78</v>
      </c>
      <c r="M118" s="6">
        <v>20.8</v>
      </c>
      <c r="N118" s="6">
        <v>-37</v>
      </c>
    </row>
    <row r="119" spans="1:14">
      <c r="A119" s="4" t="s">
        <v>1502</v>
      </c>
      <c r="B119" s="5" t="s">
        <v>6</v>
      </c>
      <c r="C119" s="6" t="s">
        <v>42</v>
      </c>
      <c r="D119" s="6">
        <v>8.658</v>
      </c>
      <c r="E119" s="8">
        <v>58608</v>
      </c>
      <c r="F119" s="8">
        <v>19970</v>
      </c>
      <c r="G119" s="6">
        <v>1</v>
      </c>
      <c r="H119" s="8">
        <v>9712</v>
      </c>
      <c r="I119" s="6">
        <v>130.3</v>
      </c>
      <c r="J119" s="6">
        <v>4.9</v>
      </c>
      <c r="K119" s="6">
        <v>6.7</v>
      </c>
      <c r="L119" s="6">
        <v>6.99</v>
      </c>
      <c r="M119" s="6">
        <v>6.6</v>
      </c>
      <c r="N119" s="6">
        <v>5.6</v>
      </c>
    </row>
    <row r="120" spans="1:14">
      <c r="A120" s="4" t="s">
        <v>1503</v>
      </c>
      <c r="B120" s="5" t="s">
        <v>6</v>
      </c>
      <c r="C120" s="6" t="s">
        <v>41</v>
      </c>
      <c r="D120" s="6">
        <v>8.205</v>
      </c>
      <c r="E120" s="8">
        <v>228236</v>
      </c>
      <c r="F120" s="8">
        <v>414</v>
      </c>
      <c r="G120" s="6">
        <v>0</v>
      </c>
      <c r="H120" s="8">
        <v>0</v>
      </c>
      <c r="I120" s="6">
        <v>130.3</v>
      </c>
      <c r="J120" s="6">
        <v>4</v>
      </c>
      <c r="K120" s="6">
        <v>6.7</v>
      </c>
      <c r="L120" s="6">
        <v>6.99</v>
      </c>
      <c r="M120" s="6">
        <v>6.6</v>
      </c>
      <c r="N120" s="6">
        <v>13.8</v>
      </c>
    </row>
    <row r="121" spans="1:14">
      <c r="A121" s="4" t="s">
        <v>1504</v>
      </c>
      <c r="B121" s="5" t="s">
        <v>6</v>
      </c>
      <c r="C121" s="6" t="s">
        <v>37</v>
      </c>
      <c r="D121" s="6">
        <v>7.07</v>
      </c>
      <c r="E121" s="8">
        <v>321557</v>
      </c>
      <c r="F121" s="8">
        <v>9339</v>
      </c>
      <c r="G121" s="6">
        <v>0</v>
      </c>
      <c r="H121" s="8">
        <v>0</v>
      </c>
      <c r="I121" s="6">
        <v>124.8</v>
      </c>
      <c r="J121" s="6">
        <v>4</v>
      </c>
      <c r="K121" s="6">
        <v>5.13</v>
      </c>
      <c r="L121" s="6">
        <v>9.69</v>
      </c>
      <c r="M121" s="6">
        <v>12.6</v>
      </c>
      <c r="N121" s="6">
        <v>45</v>
      </c>
    </row>
    <row r="122" spans="1:14">
      <c r="A122" s="4" t="s">
        <v>1505</v>
      </c>
      <c r="B122" s="5" t="s">
        <v>6</v>
      </c>
      <c r="C122" s="6" t="s">
        <v>31</v>
      </c>
      <c r="D122" s="6">
        <v>7.681</v>
      </c>
      <c r="E122" s="8">
        <v>144976</v>
      </c>
      <c r="F122" s="8">
        <v>4792</v>
      </c>
      <c r="G122" s="6">
        <v>0</v>
      </c>
      <c r="H122" s="8">
        <v>0</v>
      </c>
      <c r="I122" s="6">
        <v>121.5</v>
      </c>
      <c r="J122" s="6">
        <v>5.4</v>
      </c>
      <c r="K122" s="6">
        <v>3.73</v>
      </c>
      <c r="L122" s="6">
        <v>3.87</v>
      </c>
      <c r="M122" s="6">
        <v>7.8</v>
      </c>
      <c r="N122" s="6">
        <v>0.7</v>
      </c>
    </row>
    <row r="123" spans="1:14">
      <c r="A123" s="4" t="s">
        <v>1506</v>
      </c>
      <c r="B123" s="5" t="s">
        <v>6</v>
      </c>
      <c r="C123" s="6" t="s">
        <v>36</v>
      </c>
      <c r="D123" s="6">
        <v>7.838</v>
      </c>
      <c r="E123" s="8">
        <v>769837</v>
      </c>
      <c r="F123" s="8">
        <v>6315</v>
      </c>
      <c r="G123" s="6">
        <v>0</v>
      </c>
      <c r="H123" s="8">
        <v>0</v>
      </c>
      <c r="I123" s="6">
        <v>118.2</v>
      </c>
      <c r="J123" s="6">
        <v>4</v>
      </c>
      <c r="K123" s="6">
        <v>6.62</v>
      </c>
      <c r="L123" s="6">
        <v>-5.78</v>
      </c>
      <c r="M123" s="6">
        <v>9.3</v>
      </c>
      <c r="N123" s="6">
        <v>6.4</v>
      </c>
    </row>
    <row r="124" spans="1:14">
      <c r="A124" s="4" t="s">
        <v>1507</v>
      </c>
      <c r="B124" s="5" t="s">
        <v>6</v>
      </c>
      <c r="C124" s="6" t="s">
        <v>31</v>
      </c>
      <c r="D124" s="6">
        <v>7.815</v>
      </c>
      <c r="E124" s="8">
        <v>52917</v>
      </c>
      <c r="F124" s="8">
        <v>2568</v>
      </c>
      <c r="G124" s="6">
        <v>0</v>
      </c>
      <c r="H124" s="8">
        <v>0</v>
      </c>
      <c r="I124" s="6">
        <v>121.5</v>
      </c>
      <c r="J124" s="6">
        <v>5.4</v>
      </c>
      <c r="K124" s="6">
        <v>3.73</v>
      </c>
      <c r="L124" s="6">
        <v>3.87</v>
      </c>
      <c r="M124" s="6">
        <v>7.8</v>
      </c>
      <c r="N124" s="6">
        <v>0.7</v>
      </c>
    </row>
    <row r="125" spans="1:14">
      <c r="A125" s="4" t="s">
        <v>1508</v>
      </c>
      <c r="B125" s="5" t="s">
        <v>6</v>
      </c>
      <c r="C125" s="6" t="s">
        <v>39</v>
      </c>
      <c r="D125" s="6">
        <v>6.947</v>
      </c>
      <c r="E125" s="8">
        <v>163791</v>
      </c>
      <c r="F125" s="8">
        <v>6323</v>
      </c>
      <c r="G125" s="6">
        <v>0</v>
      </c>
      <c r="H125" s="8">
        <v>0</v>
      </c>
      <c r="I125" s="6">
        <v>124.8</v>
      </c>
      <c r="J125" s="6">
        <v>4</v>
      </c>
      <c r="K125" s="6">
        <v>5.13</v>
      </c>
      <c r="L125" s="6">
        <v>9.69</v>
      </c>
      <c r="M125" s="6">
        <v>8.7</v>
      </c>
      <c r="N125" s="6">
        <v>2.1</v>
      </c>
    </row>
    <row r="126" spans="1:14">
      <c r="A126" s="4" t="s">
        <v>1509</v>
      </c>
      <c r="B126" s="5" t="s">
        <v>6</v>
      </c>
      <c r="C126" s="6" t="s">
        <v>45</v>
      </c>
      <c r="D126" s="6">
        <v>8.834</v>
      </c>
      <c r="E126" s="8">
        <v>333842</v>
      </c>
      <c r="F126" s="8">
        <v>10319</v>
      </c>
      <c r="G126" s="6">
        <v>0</v>
      </c>
      <c r="H126" s="8">
        <v>0</v>
      </c>
      <c r="I126" s="6">
        <v>134.7</v>
      </c>
      <c r="J126" s="6">
        <v>6.5</v>
      </c>
      <c r="K126" s="6">
        <v>5.65</v>
      </c>
      <c r="L126" s="6">
        <v>8.15</v>
      </c>
      <c r="M126" s="6">
        <v>6.6</v>
      </c>
      <c r="N126" s="6">
        <v>4.1</v>
      </c>
    </row>
    <row r="127" spans="1:14">
      <c r="A127" s="4" t="s">
        <v>1510</v>
      </c>
      <c r="B127" s="5" t="s">
        <v>6</v>
      </c>
      <c r="C127" s="6" t="s">
        <v>32</v>
      </c>
      <c r="D127" s="6">
        <v>7.767</v>
      </c>
      <c r="E127" s="8">
        <v>89839</v>
      </c>
      <c r="F127" s="8">
        <v>1755</v>
      </c>
      <c r="G127" s="6">
        <v>0</v>
      </c>
      <c r="H127" s="8">
        <v>0</v>
      </c>
      <c r="I127" s="6">
        <v>121.5</v>
      </c>
      <c r="J127" s="6">
        <v>5.15</v>
      </c>
      <c r="K127" s="6">
        <v>3.73</v>
      </c>
      <c r="L127" s="6">
        <v>3.87</v>
      </c>
      <c r="M127" s="6">
        <v>9.1</v>
      </c>
      <c r="N127" s="6">
        <v>-16.7</v>
      </c>
    </row>
    <row r="128" spans="1:14">
      <c r="A128" s="4" t="s">
        <v>1511</v>
      </c>
      <c r="B128" s="5" t="s">
        <v>6</v>
      </c>
      <c r="C128" s="6" t="s">
        <v>37</v>
      </c>
      <c r="D128" s="6">
        <v>8.668</v>
      </c>
      <c r="E128" s="8">
        <v>1060512</v>
      </c>
      <c r="F128" s="8">
        <v>18399</v>
      </c>
      <c r="G128" s="6">
        <v>0</v>
      </c>
      <c r="H128" s="8">
        <v>0</v>
      </c>
      <c r="I128" s="6">
        <v>124.8</v>
      </c>
      <c r="J128" s="6">
        <v>4</v>
      </c>
      <c r="K128" s="6">
        <v>5.13</v>
      </c>
      <c r="L128" s="6">
        <v>9.69</v>
      </c>
      <c r="M128" s="6">
        <v>12.6</v>
      </c>
      <c r="N128" s="6">
        <v>45</v>
      </c>
    </row>
    <row r="129" spans="1:14">
      <c r="A129" s="4" t="s">
        <v>1512</v>
      </c>
      <c r="B129" s="5" t="s">
        <v>6</v>
      </c>
      <c r="C129" s="6" t="s">
        <v>48</v>
      </c>
      <c r="D129" s="6">
        <v>8.817</v>
      </c>
      <c r="E129" s="8">
        <v>164616</v>
      </c>
      <c r="F129" s="8">
        <v>2491</v>
      </c>
      <c r="G129" s="6">
        <v>0</v>
      </c>
      <c r="H129" s="8">
        <v>0</v>
      </c>
      <c r="I129" s="6">
        <v>134.7</v>
      </c>
      <c r="J129" s="6">
        <v>6.5</v>
      </c>
      <c r="K129" s="6">
        <v>5.65</v>
      </c>
      <c r="L129" s="6">
        <v>8.15</v>
      </c>
      <c r="M129" s="6">
        <v>6.7</v>
      </c>
      <c r="N129" s="6">
        <v>5</v>
      </c>
    </row>
    <row r="130" spans="1:14">
      <c r="A130" s="4" t="s">
        <v>1513</v>
      </c>
      <c r="B130" s="5" t="s">
        <v>6</v>
      </c>
      <c r="C130" s="6" t="s">
        <v>42</v>
      </c>
      <c r="D130" s="6">
        <v>8.087</v>
      </c>
      <c r="E130" s="8">
        <v>742669</v>
      </c>
      <c r="F130" s="8">
        <v>9723</v>
      </c>
      <c r="G130" s="6">
        <v>0</v>
      </c>
      <c r="H130" s="8">
        <v>0</v>
      </c>
      <c r="I130" s="6">
        <v>130.3</v>
      </c>
      <c r="J130" s="6">
        <v>4.9</v>
      </c>
      <c r="K130" s="6">
        <v>6.7</v>
      </c>
      <c r="L130" s="6">
        <v>6.99</v>
      </c>
      <c r="M130" s="6">
        <v>6.6</v>
      </c>
      <c r="N130" s="6">
        <v>5.6</v>
      </c>
    </row>
    <row r="131" spans="1:14">
      <c r="A131" s="4" t="s">
        <v>1514</v>
      </c>
      <c r="B131" s="5" t="s">
        <v>6</v>
      </c>
      <c r="C131" s="6" t="s">
        <v>30</v>
      </c>
      <c r="D131" s="6">
        <v>8.034</v>
      </c>
      <c r="E131" s="8">
        <v>191644</v>
      </c>
      <c r="F131" s="8">
        <v>9479</v>
      </c>
      <c r="G131" s="6">
        <v>0</v>
      </c>
      <c r="H131" s="8">
        <v>0</v>
      </c>
      <c r="I131" s="6">
        <v>121.5</v>
      </c>
      <c r="J131" s="6">
        <v>5.75</v>
      </c>
      <c r="K131" s="6">
        <v>3.73</v>
      </c>
      <c r="L131" s="6">
        <v>3.87</v>
      </c>
      <c r="M131" s="6">
        <v>8.4</v>
      </c>
      <c r="N131" s="6">
        <v>0.6</v>
      </c>
    </row>
    <row r="132" spans="1:14">
      <c r="A132" s="4" t="s">
        <v>1515</v>
      </c>
      <c r="B132" s="5" t="s">
        <v>6</v>
      </c>
      <c r="C132" s="6" t="s">
        <v>31</v>
      </c>
      <c r="D132" s="6">
        <v>8.606</v>
      </c>
      <c r="E132" s="8">
        <v>675233</v>
      </c>
      <c r="F132" s="8">
        <v>21702</v>
      </c>
      <c r="G132" s="6">
        <v>0</v>
      </c>
      <c r="H132" s="8">
        <v>0</v>
      </c>
      <c r="I132" s="6">
        <v>121.5</v>
      </c>
      <c r="J132" s="6">
        <v>5.4</v>
      </c>
      <c r="K132" s="6">
        <v>3.73</v>
      </c>
      <c r="L132" s="6">
        <v>3.87</v>
      </c>
      <c r="M132" s="6">
        <v>7.8</v>
      </c>
      <c r="N132" s="6">
        <v>0.7</v>
      </c>
    </row>
    <row r="133" spans="1:14">
      <c r="A133" s="4" t="s">
        <v>1516</v>
      </c>
      <c r="B133" s="5" t="s">
        <v>6</v>
      </c>
      <c r="C133" s="6" t="s">
        <v>47</v>
      </c>
      <c r="D133" s="6">
        <v>9.715</v>
      </c>
      <c r="E133" s="8">
        <v>678909</v>
      </c>
      <c r="F133" s="8">
        <v>15995</v>
      </c>
      <c r="G133" s="6">
        <v>0</v>
      </c>
      <c r="H133" s="8">
        <v>0</v>
      </c>
      <c r="I133" s="6">
        <v>134.7</v>
      </c>
      <c r="J133" s="6">
        <v>6.5</v>
      </c>
      <c r="K133" s="6">
        <v>5.65</v>
      </c>
      <c r="L133" s="6">
        <v>8.15</v>
      </c>
      <c r="M133" s="6">
        <v>6.5</v>
      </c>
      <c r="N133" s="6">
        <v>3.6</v>
      </c>
    </row>
    <row r="134" spans="1:14">
      <c r="A134" s="4" t="s">
        <v>1517</v>
      </c>
      <c r="B134" s="5" t="s">
        <v>6</v>
      </c>
      <c r="C134" s="6" t="s">
        <v>40</v>
      </c>
      <c r="D134" s="6">
        <v>7.322</v>
      </c>
      <c r="E134" s="8">
        <v>500641</v>
      </c>
      <c r="F134" s="8">
        <v>23744</v>
      </c>
      <c r="G134" s="6">
        <v>0</v>
      </c>
      <c r="H134" s="8">
        <v>0</v>
      </c>
      <c r="I134" s="6">
        <v>124.8</v>
      </c>
      <c r="J134" s="6">
        <v>4</v>
      </c>
      <c r="K134" s="6">
        <v>5.13</v>
      </c>
      <c r="L134" s="6">
        <v>9.69</v>
      </c>
      <c r="M134" s="6">
        <v>8.2</v>
      </c>
      <c r="N134" s="6">
        <v>1.65</v>
      </c>
    </row>
    <row r="135" spans="1:14">
      <c r="A135" s="4" t="s">
        <v>1518</v>
      </c>
      <c r="B135" s="5" t="s">
        <v>6</v>
      </c>
      <c r="C135" s="6" t="s">
        <v>33</v>
      </c>
      <c r="D135" s="6">
        <v>9.178</v>
      </c>
      <c r="E135" s="8">
        <v>588535</v>
      </c>
      <c r="F135" s="8">
        <v>4084</v>
      </c>
      <c r="G135" s="6">
        <v>0</v>
      </c>
      <c r="H135" s="8">
        <v>0</v>
      </c>
      <c r="I135" s="6">
        <v>118.2</v>
      </c>
      <c r="J135" s="6">
        <v>4.4</v>
      </c>
      <c r="K135" s="6">
        <v>6.62</v>
      </c>
      <c r="L135" s="6">
        <v>-5.78</v>
      </c>
      <c r="M135" s="6">
        <v>20.8</v>
      </c>
      <c r="N135" s="6">
        <v>-37</v>
      </c>
    </row>
    <row r="136" spans="1:14">
      <c r="A136" s="4" t="s">
        <v>1519</v>
      </c>
      <c r="B136" s="5" t="s">
        <v>6</v>
      </c>
      <c r="C136" s="6" t="s">
        <v>37</v>
      </c>
      <c r="D136" s="6">
        <v>7.394</v>
      </c>
      <c r="E136" s="8">
        <v>1331485</v>
      </c>
      <c r="F136" s="8">
        <v>53381</v>
      </c>
      <c r="G136" s="6">
        <v>0</v>
      </c>
      <c r="H136" s="8">
        <v>0</v>
      </c>
      <c r="I136" s="6">
        <v>124.8</v>
      </c>
      <c r="J136" s="6">
        <v>4</v>
      </c>
      <c r="K136" s="6">
        <v>5.13</v>
      </c>
      <c r="L136" s="6">
        <v>9.69</v>
      </c>
      <c r="M136" s="6">
        <v>12.6</v>
      </c>
      <c r="N136" s="6">
        <v>45</v>
      </c>
    </row>
    <row r="137" spans="1:14">
      <c r="A137" s="4" t="s">
        <v>1520</v>
      </c>
      <c r="B137" s="5" t="s">
        <v>6</v>
      </c>
      <c r="C137" s="6" t="s">
        <v>43</v>
      </c>
      <c r="D137" s="6">
        <v>8.574</v>
      </c>
      <c r="E137" s="8">
        <v>260844</v>
      </c>
      <c r="F137" s="8">
        <v>5700</v>
      </c>
      <c r="G137" s="6">
        <v>0</v>
      </c>
      <c r="H137" s="8">
        <v>0</v>
      </c>
      <c r="I137" s="6">
        <v>130.3</v>
      </c>
      <c r="J137" s="6">
        <v>5.9</v>
      </c>
      <c r="K137" s="6">
        <v>6.7</v>
      </c>
      <c r="L137" s="6">
        <v>6.99</v>
      </c>
      <c r="M137" s="6">
        <v>7.2</v>
      </c>
      <c r="N137" s="6">
        <v>4.5</v>
      </c>
    </row>
    <row r="138" spans="1:14">
      <c r="A138" s="4" t="s">
        <v>1521</v>
      </c>
      <c r="B138" s="5" t="s">
        <v>6</v>
      </c>
      <c r="C138" s="6" t="s">
        <v>30</v>
      </c>
      <c r="D138" s="6">
        <v>7.762</v>
      </c>
      <c r="E138" s="8">
        <v>89043</v>
      </c>
      <c r="F138" s="8">
        <v>3438</v>
      </c>
      <c r="G138" s="6">
        <v>0</v>
      </c>
      <c r="H138" s="8">
        <v>0</v>
      </c>
      <c r="I138" s="6">
        <v>121.5</v>
      </c>
      <c r="J138" s="6">
        <v>5.75</v>
      </c>
      <c r="K138" s="6">
        <v>3.73</v>
      </c>
      <c r="L138" s="6">
        <v>3.87</v>
      </c>
      <c r="M138" s="6">
        <v>8.4</v>
      </c>
      <c r="N138" s="6">
        <v>0.6</v>
      </c>
    </row>
    <row r="139" spans="1:14">
      <c r="A139" s="4" t="s">
        <v>1522</v>
      </c>
      <c r="B139" s="5" t="s">
        <v>6</v>
      </c>
      <c r="C139" s="6" t="s">
        <v>39</v>
      </c>
      <c r="D139" s="6">
        <v>7.156</v>
      </c>
      <c r="E139" s="8">
        <v>765064</v>
      </c>
      <c r="F139" s="8">
        <v>8031</v>
      </c>
      <c r="G139" s="6">
        <v>0</v>
      </c>
      <c r="H139" s="8">
        <v>0</v>
      </c>
      <c r="I139" s="6">
        <v>124.8</v>
      </c>
      <c r="J139" s="6">
        <v>4</v>
      </c>
      <c r="K139" s="6">
        <v>5.13</v>
      </c>
      <c r="L139" s="6">
        <v>9.69</v>
      </c>
      <c r="M139" s="6">
        <v>8.7</v>
      </c>
      <c r="N139" s="6">
        <v>2.1</v>
      </c>
    </row>
    <row r="140" spans="1:14">
      <c r="A140" s="4" t="s">
        <v>1523</v>
      </c>
      <c r="B140" s="5" t="s">
        <v>6</v>
      </c>
      <c r="C140" s="6" t="s">
        <v>47</v>
      </c>
      <c r="D140" s="6">
        <v>8.238</v>
      </c>
      <c r="E140" s="8">
        <v>288884</v>
      </c>
      <c r="F140" s="8">
        <v>11875</v>
      </c>
      <c r="G140" s="6">
        <v>0</v>
      </c>
      <c r="H140" s="8">
        <v>0</v>
      </c>
      <c r="I140" s="6">
        <v>134.7</v>
      </c>
      <c r="J140" s="6">
        <v>6.5</v>
      </c>
      <c r="K140" s="6">
        <v>5.65</v>
      </c>
      <c r="L140" s="6">
        <v>8.15</v>
      </c>
      <c r="M140" s="6">
        <v>6.5</v>
      </c>
      <c r="N140" s="6">
        <v>3.6</v>
      </c>
    </row>
    <row r="141" spans="1:14">
      <c r="A141" s="4" t="s">
        <v>1524</v>
      </c>
      <c r="B141" s="5" t="s">
        <v>6</v>
      </c>
      <c r="C141" s="6" t="s">
        <v>34</v>
      </c>
      <c r="D141" s="6">
        <v>9.057</v>
      </c>
      <c r="E141" s="8">
        <v>32736</v>
      </c>
      <c r="F141" s="8">
        <v>25060</v>
      </c>
      <c r="G141" s="6">
        <v>1</v>
      </c>
      <c r="H141" s="8">
        <v>9403</v>
      </c>
      <c r="I141" s="6">
        <v>118.2</v>
      </c>
      <c r="J141" s="6">
        <v>4</v>
      </c>
      <c r="K141" s="6">
        <v>6.62</v>
      </c>
      <c r="L141" s="6">
        <v>-5.78</v>
      </c>
      <c r="M141" s="6">
        <v>13.2</v>
      </c>
      <c r="N141" s="6">
        <v>-8.6</v>
      </c>
    </row>
    <row r="142" spans="1:14">
      <c r="A142" s="4" t="s">
        <v>1525</v>
      </c>
      <c r="B142" s="5" t="s">
        <v>6</v>
      </c>
      <c r="C142" s="6" t="s">
        <v>34</v>
      </c>
      <c r="D142" s="6">
        <v>9.075</v>
      </c>
      <c r="E142" s="8">
        <v>631210</v>
      </c>
      <c r="F142" s="8">
        <v>587741</v>
      </c>
      <c r="G142" s="6">
        <v>1</v>
      </c>
      <c r="H142" s="8">
        <v>221488</v>
      </c>
      <c r="I142" s="6">
        <v>118.2</v>
      </c>
      <c r="J142" s="6">
        <v>4</v>
      </c>
      <c r="K142" s="6">
        <v>6.62</v>
      </c>
      <c r="L142" s="6">
        <v>-5.78</v>
      </c>
      <c r="M142" s="6">
        <v>13.2</v>
      </c>
      <c r="N142" s="6">
        <v>-8.6</v>
      </c>
    </row>
    <row r="143" spans="1:14">
      <c r="A143" s="4" t="s">
        <v>1526</v>
      </c>
      <c r="B143" s="5" t="s">
        <v>6</v>
      </c>
      <c r="C143" s="6" t="s">
        <v>29</v>
      </c>
      <c r="D143" s="6">
        <v>9.125</v>
      </c>
      <c r="E143" s="8">
        <v>143805</v>
      </c>
      <c r="F143" s="8">
        <v>5361</v>
      </c>
      <c r="G143" s="6">
        <v>0</v>
      </c>
      <c r="H143" s="8">
        <v>0</v>
      </c>
      <c r="I143" s="6">
        <v>121.5</v>
      </c>
      <c r="J143" s="6">
        <v>6</v>
      </c>
      <c r="K143" s="6">
        <v>3.73</v>
      </c>
      <c r="L143" s="6">
        <v>3.87</v>
      </c>
      <c r="M143" s="6">
        <v>7</v>
      </c>
      <c r="N143" s="6">
        <v>3.6</v>
      </c>
    </row>
    <row r="144" spans="1:14">
      <c r="A144" s="4" t="s">
        <v>1527</v>
      </c>
      <c r="B144" s="5" t="s">
        <v>6</v>
      </c>
      <c r="C144" s="6" t="s">
        <v>45</v>
      </c>
      <c r="D144" s="6">
        <v>8.767</v>
      </c>
      <c r="E144" s="8">
        <v>46985</v>
      </c>
      <c r="F144" s="8">
        <v>418</v>
      </c>
      <c r="G144" s="6">
        <v>0</v>
      </c>
      <c r="H144" s="8">
        <v>0</v>
      </c>
      <c r="I144" s="6">
        <v>134.7</v>
      </c>
      <c r="J144" s="6">
        <v>6.5</v>
      </c>
      <c r="K144" s="6">
        <v>5.65</v>
      </c>
      <c r="L144" s="6">
        <v>8.15</v>
      </c>
      <c r="M144" s="6">
        <v>6.6</v>
      </c>
      <c r="N144" s="6">
        <v>4.1</v>
      </c>
    </row>
    <row r="145" spans="1:14">
      <c r="A145" s="4" t="s">
        <v>1528</v>
      </c>
      <c r="B145" s="5" t="s">
        <v>6</v>
      </c>
      <c r="C145" s="6" t="s">
        <v>47</v>
      </c>
      <c r="D145" s="6">
        <v>9.775</v>
      </c>
      <c r="E145" s="8">
        <v>33961</v>
      </c>
      <c r="F145" s="8">
        <v>1607</v>
      </c>
      <c r="G145" s="6">
        <v>0</v>
      </c>
      <c r="H145" s="8">
        <v>0</v>
      </c>
      <c r="I145" s="6">
        <v>134.7</v>
      </c>
      <c r="J145" s="6">
        <v>6.5</v>
      </c>
      <c r="K145" s="6">
        <v>5.65</v>
      </c>
      <c r="L145" s="6">
        <v>8.15</v>
      </c>
      <c r="M145" s="6">
        <v>6.5</v>
      </c>
      <c r="N145" s="6">
        <v>3.6</v>
      </c>
    </row>
    <row r="146" spans="1:14">
      <c r="A146" s="4" t="s">
        <v>1529</v>
      </c>
      <c r="B146" s="5" t="s">
        <v>6</v>
      </c>
      <c r="C146" s="6" t="s">
        <v>42</v>
      </c>
      <c r="D146" s="6">
        <v>9.478</v>
      </c>
      <c r="E146" s="8">
        <v>450889</v>
      </c>
      <c r="F146" s="8">
        <v>10974</v>
      </c>
      <c r="G146" s="6">
        <v>0</v>
      </c>
      <c r="H146" s="8">
        <v>0</v>
      </c>
      <c r="I146" s="6">
        <v>130.3</v>
      </c>
      <c r="J146" s="6">
        <v>4.9</v>
      </c>
      <c r="K146" s="6">
        <v>6.7</v>
      </c>
      <c r="L146" s="6">
        <v>6.99</v>
      </c>
      <c r="M146" s="6">
        <v>6.6</v>
      </c>
      <c r="N146" s="6">
        <v>5.6</v>
      </c>
    </row>
    <row r="147" spans="1:14">
      <c r="A147" s="4" t="s">
        <v>1530</v>
      </c>
      <c r="B147" s="5" t="s">
        <v>6</v>
      </c>
      <c r="C147" s="6" t="s">
        <v>34</v>
      </c>
      <c r="D147" s="6">
        <v>8.91</v>
      </c>
      <c r="E147" s="8">
        <v>208510</v>
      </c>
      <c r="F147" s="8">
        <v>3577</v>
      </c>
      <c r="G147" s="6">
        <v>0</v>
      </c>
      <c r="H147" s="8">
        <v>0</v>
      </c>
      <c r="I147" s="6">
        <v>118.2</v>
      </c>
      <c r="J147" s="6">
        <v>4</v>
      </c>
      <c r="K147" s="6">
        <v>6.62</v>
      </c>
      <c r="L147" s="6">
        <v>-5.78</v>
      </c>
      <c r="M147" s="6">
        <v>13.2</v>
      </c>
      <c r="N147" s="6">
        <v>-8.6</v>
      </c>
    </row>
    <row r="148" spans="1:14">
      <c r="A148" s="4" t="s">
        <v>1531</v>
      </c>
      <c r="B148" s="5" t="s">
        <v>6</v>
      </c>
      <c r="C148" s="6" t="s">
        <v>72</v>
      </c>
      <c r="D148" s="6">
        <v>8.416</v>
      </c>
      <c r="E148" s="8">
        <v>837189</v>
      </c>
      <c r="F148" s="8">
        <v>16845</v>
      </c>
      <c r="G148" s="6">
        <v>0</v>
      </c>
      <c r="H148" s="8">
        <v>0</v>
      </c>
      <c r="I148" s="6">
        <v>120</v>
      </c>
      <c r="J148" s="6">
        <v>6.5</v>
      </c>
      <c r="K148" s="6">
        <v>4.87</v>
      </c>
      <c r="L148" s="6">
        <v>6.5</v>
      </c>
      <c r="M148" s="6">
        <v>6.5</v>
      </c>
      <c r="N148" s="6">
        <v>4</v>
      </c>
    </row>
    <row r="149" spans="1:14">
      <c r="A149" s="4" t="s">
        <v>1532</v>
      </c>
      <c r="B149" s="5" t="s">
        <v>6</v>
      </c>
      <c r="C149" s="6" t="s">
        <v>44</v>
      </c>
      <c r="D149" s="6">
        <v>9.092</v>
      </c>
      <c r="E149" s="8">
        <v>471812</v>
      </c>
      <c r="F149" s="8">
        <v>18932</v>
      </c>
      <c r="G149" s="6">
        <v>0</v>
      </c>
      <c r="H149" s="8">
        <v>0</v>
      </c>
      <c r="I149" s="6">
        <v>130.3</v>
      </c>
      <c r="J149" s="6">
        <v>6.25</v>
      </c>
      <c r="K149" s="6">
        <v>6.7</v>
      </c>
      <c r="L149" s="6">
        <v>6.99</v>
      </c>
      <c r="M149" s="6">
        <v>6.7</v>
      </c>
      <c r="N149" s="6">
        <v>1.8</v>
      </c>
    </row>
    <row r="150" spans="1:14">
      <c r="A150" s="4" t="s">
        <v>1533</v>
      </c>
      <c r="B150" s="5" t="s">
        <v>6</v>
      </c>
      <c r="C150" s="6" t="s">
        <v>31</v>
      </c>
      <c r="D150" s="6">
        <v>8.398</v>
      </c>
      <c r="E150" s="8">
        <v>143444</v>
      </c>
      <c r="F150" s="8">
        <v>165</v>
      </c>
      <c r="G150" s="6">
        <v>0</v>
      </c>
      <c r="H150" s="8">
        <v>0</v>
      </c>
      <c r="I150" s="6">
        <v>121.5</v>
      </c>
      <c r="J150" s="6">
        <v>5.4</v>
      </c>
      <c r="K150" s="6">
        <v>3.73</v>
      </c>
      <c r="L150" s="6">
        <v>3.87</v>
      </c>
      <c r="M150" s="6">
        <v>7.8</v>
      </c>
      <c r="N150" s="6">
        <v>0.7</v>
      </c>
    </row>
    <row r="151" spans="1:14">
      <c r="A151" s="4" t="s">
        <v>1534</v>
      </c>
      <c r="B151" s="5" t="s">
        <v>6</v>
      </c>
      <c r="C151" s="6" t="s">
        <v>32</v>
      </c>
      <c r="D151" s="6">
        <v>7.394</v>
      </c>
      <c r="E151" s="8">
        <v>1043442</v>
      </c>
      <c r="F151" s="8">
        <v>31175</v>
      </c>
      <c r="G151" s="6">
        <v>0</v>
      </c>
      <c r="H151" s="8">
        <v>0</v>
      </c>
      <c r="I151" s="6">
        <v>121.5</v>
      </c>
      <c r="J151" s="6">
        <v>5.15</v>
      </c>
      <c r="K151" s="6">
        <v>3.73</v>
      </c>
      <c r="L151" s="6">
        <v>3.87</v>
      </c>
      <c r="M151" s="6">
        <v>9.1</v>
      </c>
      <c r="N151" s="6">
        <v>-16.7</v>
      </c>
    </row>
    <row r="152" spans="1:14">
      <c r="A152" s="4" t="s">
        <v>1535</v>
      </c>
      <c r="B152" s="5" t="s">
        <v>6</v>
      </c>
      <c r="C152" s="6" t="s">
        <v>44</v>
      </c>
      <c r="D152" s="6">
        <v>8.494</v>
      </c>
      <c r="E152" s="8">
        <v>497152</v>
      </c>
      <c r="F152" s="8">
        <v>16251</v>
      </c>
      <c r="G152" s="6">
        <v>0</v>
      </c>
      <c r="H152" s="8">
        <v>0</v>
      </c>
      <c r="I152" s="6">
        <v>130.3</v>
      </c>
      <c r="J152" s="6">
        <v>6.25</v>
      </c>
      <c r="K152" s="6">
        <v>6.7</v>
      </c>
      <c r="L152" s="6">
        <v>6.99</v>
      </c>
      <c r="M152" s="6">
        <v>6.7</v>
      </c>
      <c r="N152" s="6">
        <v>1.8</v>
      </c>
    </row>
    <row r="153" spans="1:14">
      <c r="A153" s="4" t="s">
        <v>1536</v>
      </c>
      <c r="B153" s="5" t="s">
        <v>6</v>
      </c>
      <c r="C153" s="6" t="s">
        <v>29</v>
      </c>
      <c r="D153" s="6">
        <v>8.112</v>
      </c>
      <c r="E153" s="8">
        <v>722739</v>
      </c>
      <c r="F153" s="8">
        <v>7273</v>
      </c>
      <c r="G153" s="6">
        <v>0</v>
      </c>
      <c r="H153" s="8">
        <v>0</v>
      </c>
      <c r="I153" s="6">
        <v>121.5</v>
      </c>
      <c r="J153" s="6">
        <v>6</v>
      </c>
      <c r="K153" s="6">
        <v>3.73</v>
      </c>
      <c r="L153" s="6">
        <v>3.87</v>
      </c>
      <c r="M153" s="6">
        <v>7</v>
      </c>
      <c r="N153" s="6">
        <v>3.6</v>
      </c>
    </row>
    <row r="154" spans="1:14">
      <c r="A154" s="4" t="s">
        <v>1537</v>
      </c>
      <c r="B154" s="5" t="s">
        <v>6</v>
      </c>
      <c r="C154" s="6" t="s">
        <v>42</v>
      </c>
      <c r="D154" s="6">
        <v>8.387</v>
      </c>
      <c r="E154" s="8">
        <v>182904</v>
      </c>
      <c r="F154" s="8">
        <v>2383</v>
      </c>
      <c r="G154" s="6">
        <v>0</v>
      </c>
      <c r="H154" s="8">
        <v>0</v>
      </c>
      <c r="I154" s="6">
        <v>130.3</v>
      </c>
      <c r="J154" s="6">
        <v>4.9</v>
      </c>
      <c r="K154" s="6">
        <v>6.7</v>
      </c>
      <c r="L154" s="6">
        <v>6.99</v>
      </c>
      <c r="M154" s="6">
        <v>6.6</v>
      </c>
      <c r="N154" s="6">
        <v>5.6</v>
      </c>
    </row>
    <row r="155" spans="1:14">
      <c r="A155" s="4" t="s">
        <v>1538</v>
      </c>
      <c r="B155" s="5" t="s">
        <v>6</v>
      </c>
      <c r="C155" s="6" t="s">
        <v>72</v>
      </c>
      <c r="D155" s="6">
        <v>8.134</v>
      </c>
      <c r="E155" s="8">
        <v>827977</v>
      </c>
      <c r="F155" s="8">
        <v>14395</v>
      </c>
      <c r="G155" s="6">
        <v>0</v>
      </c>
      <c r="H155" s="8">
        <v>0</v>
      </c>
      <c r="I155" s="6">
        <v>120</v>
      </c>
      <c r="J155" s="6">
        <v>6.5</v>
      </c>
      <c r="K155" s="6">
        <v>4.87</v>
      </c>
      <c r="L155" s="6">
        <v>6.5</v>
      </c>
      <c r="M155" s="6">
        <v>6.5</v>
      </c>
      <c r="N155" s="6">
        <v>4</v>
      </c>
    </row>
    <row r="156" spans="1:14">
      <c r="A156" s="4" t="s">
        <v>1539</v>
      </c>
      <c r="B156" s="5" t="s">
        <v>6</v>
      </c>
      <c r="C156" s="6" t="s">
        <v>29</v>
      </c>
      <c r="D156" s="6">
        <v>9.241</v>
      </c>
      <c r="E156" s="8">
        <v>343360</v>
      </c>
      <c r="F156" s="8">
        <v>16180</v>
      </c>
      <c r="G156" s="6">
        <v>0</v>
      </c>
      <c r="H156" s="8">
        <v>0</v>
      </c>
      <c r="I156" s="6">
        <v>121.5</v>
      </c>
      <c r="J156" s="6">
        <v>6</v>
      </c>
      <c r="K156" s="6">
        <v>3.73</v>
      </c>
      <c r="L156" s="6">
        <v>3.87</v>
      </c>
      <c r="M156" s="6">
        <v>7</v>
      </c>
      <c r="N156" s="6">
        <v>3.6</v>
      </c>
    </row>
    <row r="157" spans="1:14">
      <c r="A157" s="4" t="s">
        <v>1540</v>
      </c>
      <c r="B157" s="5" t="s">
        <v>6</v>
      </c>
      <c r="C157" s="6" t="s">
        <v>39</v>
      </c>
      <c r="D157" s="6">
        <v>8.334</v>
      </c>
      <c r="E157" s="8">
        <v>86048</v>
      </c>
      <c r="F157" s="8">
        <v>48557</v>
      </c>
      <c r="G157" s="6">
        <v>1</v>
      </c>
      <c r="H157" s="8">
        <v>13085</v>
      </c>
      <c r="I157" s="6">
        <v>124.8</v>
      </c>
      <c r="J157" s="6">
        <v>4</v>
      </c>
      <c r="K157" s="6">
        <v>5.13</v>
      </c>
      <c r="L157" s="6">
        <v>9.69</v>
      </c>
      <c r="M157" s="6">
        <v>8.7</v>
      </c>
      <c r="N157" s="6">
        <v>2.1</v>
      </c>
    </row>
    <row r="158" spans="1:14">
      <c r="A158" s="4" t="s">
        <v>1541</v>
      </c>
      <c r="B158" s="5" t="s">
        <v>6</v>
      </c>
      <c r="C158" s="6" t="s">
        <v>35</v>
      </c>
      <c r="D158" s="6">
        <v>8.615</v>
      </c>
      <c r="E158" s="8">
        <v>429615</v>
      </c>
      <c r="F158" s="8">
        <v>6623</v>
      </c>
      <c r="G158" s="6">
        <v>0</v>
      </c>
      <c r="H158" s="8">
        <v>0</v>
      </c>
      <c r="I158" s="6">
        <v>118.2</v>
      </c>
      <c r="J158" s="6">
        <v>4</v>
      </c>
      <c r="K158" s="6">
        <v>6.62</v>
      </c>
      <c r="L158" s="6">
        <v>-5.78</v>
      </c>
      <c r="M158" s="6">
        <v>10.3</v>
      </c>
      <c r="N158" s="6">
        <v>-1.6</v>
      </c>
    </row>
    <row r="159" spans="1:14">
      <c r="A159" s="4" t="s">
        <v>1542</v>
      </c>
      <c r="B159" s="5" t="s">
        <v>6</v>
      </c>
      <c r="C159" s="6" t="s">
        <v>34</v>
      </c>
      <c r="D159" s="6">
        <v>8.354</v>
      </c>
      <c r="E159" s="8">
        <v>297961</v>
      </c>
      <c r="F159" s="8">
        <v>101800</v>
      </c>
      <c r="G159" s="6">
        <v>1</v>
      </c>
      <c r="H159" s="8">
        <v>22798</v>
      </c>
      <c r="I159" s="6">
        <v>118.2</v>
      </c>
      <c r="J159" s="6">
        <v>4</v>
      </c>
      <c r="K159" s="6">
        <v>6.62</v>
      </c>
      <c r="L159" s="6">
        <v>-5.78</v>
      </c>
      <c r="M159" s="6">
        <v>13.2</v>
      </c>
      <c r="N159" s="6">
        <v>-8.6</v>
      </c>
    </row>
    <row r="160" spans="1:14">
      <c r="A160" s="4" t="s">
        <v>1543</v>
      </c>
      <c r="B160" s="5" t="s">
        <v>6</v>
      </c>
      <c r="C160" s="6" t="s">
        <v>72</v>
      </c>
      <c r="D160" s="6">
        <v>9.284</v>
      </c>
      <c r="E160" s="8">
        <v>64129</v>
      </c>
      <c r="F160" s="8">
        <v>1629</v>
      </c>
      <c r="G160" s="6">
        <v>0</v>
      </c>
      <c r="H160" s="8">
        <v>0</v>
      </c>
      <c r="I160" s="6">
        <v>120</v>
      </c>
      <c r="J160" s="6">
        <v>6.5</v>
      </c>
      <c r="K160" s="6">
        <v>4.87</v>
      </c>
      <c r="L160" s="6">
        <v>6.5</v>
      </c>
      <c r="M160" s="6">
        <v>6.5</v>
      </c>
      <c r="N160" s="6">
        <v>4</v>
      </c>
    </row>
    <row r="161" spans="1:14">
      <c r="A161" s="4" t="s">
        <v>1544</v>
      </c>
      <c r="B161" s="5" t="s">
        <v>6</v>
      </c>
      <c r="C161" s="6" t="s">
        <v>40</v>
      </c>
      <c r="D161" s="6">
        <v>7.216</v>
      </c>
      <c r="E161" s="8">
        <v>1369769</v>
      </c>
      <c r="F161" s="8">
        <v>12354</v>
      </c>
      <c r="G161" s="6">
        <v>0</v>
      </c>
      <c r="H161" s="8">
        <v>0</v>
      </c>
      <c r="I161" s="6">
        <v>124.8</v>
      </c>
      <c r="J161" s="6">
        <v>4</v>
      </c>
      <c r="K161" s="6">
        <v>5.13</v>
      </c>
      <c r="L161" s="6">
        <v>9.69</v>
      </c>
      <c r="M161" s="6">
        <v>8.2</v>
      </c>
      <c r="N161" s="6">
        <v>1.65</v>
      </c>
    </row>
    <row r="162" spans="1:14">
      <c r="A162" s="4" t="s">
        <v>1545</v>
      </c>
      <c r="B162" s="5" t="s">
        <v>6</v>
      </c>
      <c r="C162" s="6" t="s">
        <v>37</v>
      </c>
      <c r="D162" s="6">
        <v>8.51</v>
      </c>
      <c r="E162" s="8">
        <v>1258791</v>
      </c>
      <c r="F162" s="8">
        <v>17015</v>
      </c>
      <c r="G162" s="6">
        <v>0</v>
      </c>
      <c r="H162" s="8">
        <v>0</v>
      </c>
      <c r="I162" s="6">
        <v>124.8</v>
      </c>
      <c r="J162" s="6">
        <v>4</v>
      </c>
      <c r="K162" s="6">
        <v>5.13</v>
      </c>
      <c r="L162" s="6">
        <v>9.69</v>
      </c>
      <c r="M162" s="6">
        <v>12.6</v>
      </c>
      <c r="N162" s="6">
        <v>45</v>
      </c>
    </row>
    <row r="163" spans="1:14">
      <c r="A163" s="4" t="s">
        <v>1546</v>
      </c>
      <c r="B163" s="5" t="s">
        <v>6</v>
      </c>
      <c r="C163" s="6" t="s">
        <v>38</v>
      </c>
      <c r="D163" s="6">
        <v>7.217</v>
      </c>
      <c r="E163" s="8">
        <v>1119004</v>
      </c>
      <c r="F163" s="8">
        <v>35235</v>
      </c>
      <c r="G163" s="6">
        <v>0</v>
      </c>
      <c r="H163" s="8">
        <v>0</v>
      </c>
      <c r="I163" s="6">
        <v>124.8</v>
      </c>
      <c r="J163" s="6">
        <v>4</v>
      </c>
      <c r="K163" s="6">
        <v>5.13</v>
      </c>
      <c r="L163" s="6">
        <v>9.69</v>
      </c>
      <c r="M163" s="6">
        <v>9.8</v>
      </c>
      <c r="N163" s="6">
        <v>8.7</v>
      </c>
    </row>
    <row r="164" spans="1:14">
      <c r="A164" s="4" t="s">
        <v>1547</v>
      </c>
      <c r="B164" s="5" t="s">
        <v>6</v>
      </c>
      <c r="C164" s="6" t="s">
        <v>34</v>
      </c>
      <c r="D164" s="6">
        <v>7.855</v>
      </c>
      <c r="E164" s="8">
        <v>353449</v>
      </c>
      <c r="F164" s="8">
        <v>2047</v>
      </c>
      <c r="G164" s="6">
        <v>0</v>
      </c>
      <c r="H164" s="8">
        <v>0</v>
      </c>
      <c r="I164" s="6">
        <v>118.2</v>
      </c>
      <c r="J164" s="6">
        <v>4</v>
      </c>
      <c r="K164" s="6">
        <v>6.62</v>
      </c>
      <c r="L164" s="6">
        <v>-5.78</v>
      </c>
      <c r="M164" s="6">
        <v>13.2</v>
      </c>
      <c r="N164" s="6">
        <v>-8.6</v>
      </c>
    </row>
    <row r="165" spans="1:14">
      <c r="A165" s="4" t="s">
        <v>1548</v>
      </c>
      <c r="B165" s="5" t="s">
        <v>6</v>
      </c>
      <c r="C165" s="6" t="s">
        <v>35</v>
      </c>
      <c r="D165" s="6">
        <v>8.711</v>
      </c>
      <c r="E165" s="8">
        <v>279326</v>
      </c>
      <c r="F165" s="8">
        <v>12756</v>
      </c>
      <c r="G165" s="6">
        <v>0</v>
      </c>
      <c r="H165" s="8">
        <v>0</v>
      </c>
      <c r="I165" s="6">
        <v>118.2</v>
      </c>
      <c r="J165" s="6">
        <v>4</v>
      </c>
      <c r="K165" s="6">
        <v>6.62</v>
      </c>
      <c r="L165" s="6">
        <v>-5.78</v>
      </c>
      <c r="M165" s="6">
        <v>10.3</v>
      </c>
      <c r="N165" s="6">
        <v>-1.6</v>
      </c>
    </row>
    <row r="166" spans="1:14">
      <c r="A166" s="4" t="s">
        <v>1549</v>
      </c>
      <c r="B166" s="5" t="s">
        <v>6</v>
      </c>
      <c r="C166" s="6" t="s">
        <v>30</v>
      </c>
      <c r="D166" s="6">
        <v>7.735</v>
      </c>
      <c r="E166" s="8">
        <v>919335</v>
      </c>
      <c r="F166" s="8">
        <v>42099</v>
      </c>
      <c r="G166" s="6">
        <v>0</v>
      </c>
      <c r="H166" s="8">
        <v>0</v>
      </c>
      <c r="I166" s="6">
        <v>121.5</v>
      </c>
      <c r="J166" s="6">
        <v>5.75</v>
      </c>
      <c r="K166" s="6">
        <v>3.73</v>
      </c>
      <c r="L166" s="6">
        <v>3.87</v>
      </c>
      <c r="M166" s="6">
        <v>8.4</v>
      </c>
      <c r="N166" s="6">
        <v>0.6</v>
      </c>
    </row>
    <row r="167" spans="1:14">
      <c r="A167" s="4" t="s">
        <v>1550</v>
      </c>
      <c r="B167" s="5" t="s">
        <v>6</v>
      </c>
      <c r="C167" s="6" t="s">
        <v>38</v>
      </c>
      <c r="D167" s="6">
        <v>7.795</v>
      </c>
      <c r="E167" s="8">
        <v>462333</v>
      </c>
      <c r="F167" s="8">
        <v>19743</v>
      </c>
      <c r="G167" s="6">
        <v>0</v>
      </c>
      <c r="H167" s="8">
        <v>0</v>
      </c>
      <c r="I167" s="6">
        <v>124.8</v>
      </c>
      <c r="J167" s="6">
        <v>4</v>
      </c>
      <c r="K167" s="6">
        <v>5.13</v>
      </c>
      <c r="L167" s="6">
        <v>9.69</v>
      </c>
      <c r="M167" s="6">
        <v>9.8</v>
      </c>
      <c r="N167" s="6">
        <v>8.7</v>
      </c>
    </row>
    <row r="168" spans="1:14">
      <c r="A168" s="4" t="s">
        <v>1551</v>
      </c>
      <c r="B168" s="5" t="s">
        <v>6</v>
      </c>
      <c r="C168" s="6" t="s">
        <v>41</v>
      </c>
      <c r="D168" s="6">
        <v>8.204</v>
      </c>
      <c r="E168" s="8">
        <v>186793</v>
      </c>
      <c r="F168" s="8">
        <v>8532</v>
      </c>
      <c r="G168" s="6">
        <v>0</v>
      </c>
      <c r="H168" s="8">
        <v>0</v>
      </c>
      <c r="I168" s="6">
        <v>130.3</v>
      </c>
      <c r="J168" s="6">
        <v>4</v>
      </c>
      <c r="K168" s="6">
        <v>6.7</v>
      </c>
      <c r="L168" s="6">
        <v>6.99</v>
      </c>
      <c r="M168" s="6">
        <v>6.6</v>
      </c>
      <c r="N168" s="6">
        <v>13.8</v>
      </c>
    </row>
    <row r="169" hidden="1" spans="1:14">
      <c r="A169" s="4" t="s">
        <v>1552</v>
      </c>
      <c r="B169" s="5" t="s">
        <v>1553</v>
      </c>
      <c r="C169" s="6" t="s">
        <v>41</v>
      </c>
      <c r="D169" s="6">
        <v>10.1</v>
      </c>
      <c r="E169" s="8">
        <v>494723</v>
      </c>
      <c r="F169" s="8">
        <v>3333</v>
      </c>
      <c r="G169" s="6">
        <v>0</v>
      </c>
      <c r="H169" s="8">
        <v>0</v>
      </c>
      <c r="I169" s="6">
        <v>130.3</v>
      </c>
      <c r="J169" s="6">
        <v>4</v>
      </c>
      <c r="K169" s="6">
        <v>6.7</v>
      </c>
      <c r="L169" s="6">
        <v>6.99</v>
      </c>
      <c r="M169" s="6">
        <v>6.6</v>
      </c>
      <c r="N169" s="6">
        <v>13.8</v>
      </c>
    </row>
    <row r="170" hidden="1" spans="1:14">
      <c r="A170" s="4" t="s">
        <v>1554</v>
      </c>
      <c r="B170" s="5" t="s">
        <v>1553</v>
      </c>
      <c r="C170" s="6" t="s">
        <v>32</v>
      </c>
      <c r="D170" s="6">
        <v>12.904</v>
      </c>
      <c r="E170" s="8">
        <v>606153</v>
      </c>
      <c r="F170" s="8">
        <v>5817</v>
      </c>
      <c r="G170" s="6">
        <v>0</v>
      </c>
      <c r="H170" s="8">
        <v>0</v>
      </c>
      <c r="I170" s="6">
        <v>121.5</v>
      </c>
      <c r="J170" s="6">
        <v>5.15</v>
      </c>
      <c r="K170" s="6">
        <v>3.73</v>
      </c>
      <c r="L170" s="6">
        <v>3.87</v>
      </c>
      <c r="M170" s="6">
        <v>9.1</v>
      </c>
      <c r="N170" s="6">
        <v>-16.7</v>
      </c>
    </row>
    <row r="171" hidden="1" spans="1:14">
      <c r="A171" s="4" t="s">
        <v>1555</v>
      </c>
      <c r="B171" s="5" t="s">
        <v>1553</v>
      </c>
      <c r="C171" s="6" t="s">
        <v>45</v>
      </c>
      <c r="D171" s="6">
        <v>13.21</v>
      </c>
      <c r="E171" s="8">
        <v>349921</v>
      </c>
      <c r="F171" s="8">
        <v>2455</v>
      </c>
      <c r="G171" s="6">
        <v>0</v>
      </c>
      <c r="H171" s="8">
        <v>0</v>
      </c>
      <c r="I171" s="6">
        <v>134.7</v>
      </c>
      <c r="J171" s="6">
        <v>6.5</v>
      </c>
      <c r="K171" s="6">
        <v>5.65</v>
      </c>
      <c r="L171" s="6">
        <v>8.15</v>
      </c>
      <c r="M171" s="6">
        <v>6.6</v>
      </c>
      <c r="N171" s="6">
        <v>4.1</v>
      </c>
    </row>
    <row r="172" hidden="1" spans="1:14">
      <c r="A172" s="4" t="s">
        <v>1556</v>
      </c>
      <c r="B172" s="5" t="s">
        <v>1553</v>
      </c>
      <c r="C172" s="6" t="s">
        <v>46</v>
      </c>
      <c r="D172" s="6">
        <v>12.434</v>
      </c>
      <c r="E172" s="8">
        <v>82927</v>
      </c>
      <c r="F172" s="8">
        <v>3351</v>
      </c>
      <c r="G172" s="6">
        <v>0</v>
      </c>
      <c r="H172" s="8">
        <v>0</v>
      </c>
      <c r="I172" s="6">
        <v>134.7</v>
      </c>
      <c r="J172" s="6">
        <v>6.5</v>
      </c>
      <c r="K172" s="6">
        <v>5.65</v>
      </c>
      <c r="L172" s="6">
        <v>8.15</v>
      </c>
      <c r="M172" s="6">
        <v>6.6</v>
      </c>
      <c r="N172" s="6">
        <v>9.7</v>
      </c>
    </row>
    <row r="173" hidden="1" spans="1:14">
      <c r="A173" s="4" t="s">
        <v>1557</v>
      </c>
      <c r="B173" s="5" t="s">
        <v>1553</v>
      </c>
      <c r="C173" s="6" t="s">
        <v>33</v>
      </c>
      <c r="D173" s="6">
        <v>12.894</v>
      </c>
      <c r="E173" s="8">
        <v>1436347</v>
      </c>
      <c r="F173" s="8">
        <v>23002</v>
      </c>
      <c r="G173" s="6">
        <v>0</v>
      </c>
      <c r="H173" s="8">
        <v>0</v>
      </c>
      <c r="I173" s="6">
        <v>118.2</v>
      </c>
      <c r="J173" s="6">
        <v>4.4</v>
      </c>
      <c r="K173" s="6">
        <v>6.62</v>
      </c>
      <c r="L173" s="6">
        <v>-5.78</v>
      </c>
      <c r="M173" s="6">
        <v>20.8</v>
      </c>
      <c r="N173" s="6">
        <v>-37</v>
      </c>
    </row>
    <row r="174" hidden="1" spans="1:14">
      <c r="A174" s="4" t="s">
        <v>1558</v>
      </c>
      <c r="B174" s="5" t="s">
        <v>1553</v>
      </c>
      <c r="C174" s="6" t="s">
        <v>35</v>
      </c>
      <c r="D174" s="6">
        <v>11.489</v>
      </c>
      <c r="E174" s="8">
        <v>231378</v>
      </c>
      <c r="F174" s="8">
        <v>3145</v>
      </c>
      <c r="G174" s="6">
        <v>0</v>
      </c>
      <c r="H174" s="8">
        <v>0</v>
      </c>
      <c r="I174" s="6">
        <v>118.2</v>
      </c>
      <c r="J174" s="6">
        <v>4</v>
      </c>
      <c r="K174" s="6">
        <v>6.62</v>
      </c>
      <c r="L174" s="6">
        <v>-5.78</v>
      </c>
      <c r="M174" s="6">
        <v>10.3</v>
      </c>
      <c r="N174" s="6">
        <v>-1.6</v>
      </c>
    </row>
    <row r="175" hidden="1" spans="1:14">
      <c r="A175" s="4" t="s">
        <v>1559</v>
      </c>
      <c r="B175" s="5" t="s">
        <v>1553</v>
      </c>
      <c r="C175" s="6" t="s">
        <v>32</v>
      </c>
      <c r="D175" s="6">
        <v>13.046</v>
      </c>
      <c r="E175" s="8">
        <v>442740</v>
      </c>
      <c r="F175" s="8">
        <v>6562</v>
      </c>
      <c r="G175" s="6">
        <v>0</v>
      </c>
      <c r="H175" s="8">
        <v>0</v>
      </c>
      <c r="I175" s="6">
        <v>121.5</v>
      </c>
      <c r="J175" s="6">
        <v>5.15</v>
      </c>
      <c r="K175" s="6">
        <v>3.73</v>
      </c>
      <c r="L175" s="6">
        <v>3.87</v>
      </c>
      <c r="M175" s="6">
        <v>9.1</v>
      </c>
      <c r="N175" s="6">
        <v>-16.7</v>
      </c>
    </row>
    <row r="176" hidden="1" spans="1:14">
      <c r="A176" s="4" t="s">
        <v>1560</v>
      </c>
      <c r="B176" s="5" t="s">
        <v>1553</v>
      </c>
      <c r="C176" s="6" t="s">
        <v>72</v>
      </c>
      <c r="D176" s="6">
        <v>12.641</v>
      </c>
      <c r="E176" s="8">
        <v>629366</v>
      </c>
      <c r="F176" s="8">
        <v>19419</v>
      </c>
      <c r="G176" s="6">
        <v>0</v>
      </c>
      <c r="H176" s="8">
        <v>0</v>
      </c>
      <c r="I176" s="6">
        <v>120</v>
      </c>
      <c r="J176" s="6">
        <v>6.5</v>
      </c>
      <c r="K176" s="6">
        <v>4.87</v>
      </c>
      <c r="L176" s="6">
        <v>6.5</v>
      </c>
      <c r="M176" s="6">
        <v>6.5</v>
      </c>
      <c r="N176" s="6">
        <v>4</v>
      </c>
    </row>
    <row r="177" hidden="1" spans="1:14">
      <c r="A177" s="4" t="s">
        <v>1561</v>
      </c>
      <c r="B177" s="5" t="s">
        <v>1553</v>
      </c>
      <c r="C177" s="6" t="s">
        <v>38</v>
      </c>
      <c r="D177" s="6">
        <v>10.882</v>
      </c>
      <c r="E177" s="8">
        <v>510240</v>
      </c>
      <c r="F177" s="8">
        <v>16048</v>
      </c>
      <c r="G177" s="6">
        <v>0</v>
      </c>
      <c r="H177" s="8">
        <v>0</v>
      </c>
      <c r="I177" s="6">
        <v>124.8</v>
      </c>
      <c r="J177" s="6">
        <v>4</v>
      </c>
      <c r="K177" s="6">
        <v>5.13</v>
      </c>
      <c r="L177" s="6">
        <v>9.69</v>
      </c>
      <c r="M177" s="6">
        <v>9.8</v>
      </c>
      <c r="N177" s="6">
        <v>8.7</v>
      </c>
    </row>
    <row r="178" hidden="1" spans="1:14">
      <c r="A178" s="4" t="s">
        <v>1562</v>
      </c>
      <c r="B178" s="5" t="s">
        <v>1553</v>
      </c>
      <c r="C178" s="6" t="s">
        <v>45</v>
      </c>
      <c r="D178" s="6">
        <v>12.32</v>
      </c>
      <c r="E178" s="8">
        <v>620935</v>
      </c>
      <c r="F178" s="8">
        <v>11618</v>
      </c>
      <c r="G178" s="6">
        <v>0</v>
      </c>
      <c r="H178" s="8">
        <v>0</v>
      </c>
      <c r="I178" s="6">
        <v>134.7</v>
      </c>
      <c r="J178" s="6">
        <v>6.5</v>
      </c>
      <c r="K178" s="6">
        <v>5.65</v>
      </c>
      <c r="L178" s="6">
        <v>8.15</v>
      </c>
      <c r="M178" s="6">
        <v>6.6</v>
      </c>
      <c r="N178" s="6">
        <v>4.1</v>
      </c>
    </row>
    <row r="179" hidden="1" spans="1:14">
      <c r="A179" s="4" t="s">
        <v>1563</v>
      </c>
      <c r="B179" s="5" t="s">
        <v>1553</v>
      </c>
      <c r="C179" s="6" t="s">
        <v>48</v>
      </c>
      <c r="D179" s="6">
        <v>11.481</v>
      </c>
      <c r="E179" s="8">
        <v>760666</v>
      </c>
      <c r="F179" s="8">
        <v>8497</v>
      </c>
      <c r="G179" s="6">
        <v>0</v>
      </c>
      <c r="H179" s="8">
        <v>0</v>
      </c>
      <c r="I179" s="6">
        <v>134.7</v>
      </c>
      <c r="J179" s="6">
        <v>6.5</v>
      </c>
      <c r="K179" s="6">
        <v>5.65</v>
      </c>
      <c r="L179" s="6">
        <v>8.15</v>
      </c>
      <c r="M179" s="6">
        <v>6.7</v>
      </c>
      <c r="N179" s="6">
        <v>5</v>
      </c>
    </row>
    <row r="180" hidden="1" spans="1:14">
      <c r="A180" s="4" t="s">
        <v>1564</v>
      </c>
      <c r="B180" s="5" t="s">
        <v>1553</v>
      </c>
      <c r="C180" s="6" t="s">
        <v>33</v>
      </c>
      <c r="D180" s="6">
        <v>11.694</v>
      </c>
      <c r="E180" s="8">
        <v>584736</v>
      </c>
      <c r="F180" s="8">
        <v>536976</v>
      </c>
      <c r="G180" s="6">
        <v>1</v>
      </c>
      <c r="H180" s="8">
        <v>107865</v>
      </c>
      <c r="I180" s="6">
        <v>118.2</v>
      </c>
      <c r="J180" s="6">
        <v>4.4</v>
      </c>
      <c r="K180" s="6">
        <v>6.62</v>
      </c>
      <c r="L180" s="6">
        <v>-5.78</v>
      </c>
      <c r="M180" s="6">
        <v>20.8</v>
      </c>
      <c r="N180" s="6">
        <v>-37</v>
      </c>
    </row>
    <row r="181" hidden="1" spans="1:14">
      <c r="A181" s="4" t="s">
        <v>1565</v>
      </c>
      <c r="B181" s="5" t="s">
        <v>1553</v>
      </c>
      <c r="C181" s="6" t="s">
        <v>42</v>
      </c>
      <c r="D181" s="6">
        <v>13.62</v>
      </c>
      <c r="E181" s="8">
        <v>816027</v>
      </c>
      <c r="F181" s="8">
        <v>36486</v>
      </c>
      <c r="G181" s="6">
        <v>0</v>
      </c>
      <c r="H181" s="8">
        <v>0</v>
      </c>
      <c r="I181" s="6">
        <v>130.3</v>
      </c>
      <c r="J181" s="6">
        <v>4.9</v>
      </c>
      <c r="K181" s="6">
        <v>6.7</v>
      </c>
      <c r="L181" s="6">
        <v>6.99</v>
      </c>
      <c r="M181" s="6">
        <v>6.6</v>
      </c>
      <c r="N181" s="6">
        <v>5.6</v>
      </c>
    </row>
    <row r="182" hidden="1" spans="1:14">
      <c r="A182" s="4" t="s">
        <v>1566</v>
      </c>
      <c r="B182" s="5" t="s">
        <v>1553</v>
      </c>
      <c r="C182" s="6" t="s">
        <v>33</v>
      </c>
      <c r="D182" s="6">
        <v>14.36</v>
      </c>
      <c r="E182" s="8">
        <v>761034</v>
      </c>
      <c r="F182" s="8">
        <v>14516</v>
      </c>
      <c r="G182" s="6">
        <v>0</v>
      </c>
      <c r="H182" s="8">
        <v>0</v>
      </c>
      <c r="I182" s="6">
        <v>118.2</v>
      </c>
      <c r="J182" s="6">
        <v>4.4</v>
      </c>
      <c r="K182" s="6">
        <v>6.62</v>
      </c>
      <c r="L182" s="6">
        <v>-5.78</v>
      </c>
      <c r="M182" s="6">
        <v>20.8</v>
      </c>
      <c r="N182" s="6">
        <v>-37</v>
      </c>
    </row>
    <row r="183" hidden="1" spans="1:14">
      <c r="A183" s="4" t="s">
        <v>1567</v>
      </c>
      <c r="B183" s="5" t="s">
        <v>1553</v>
      </c>
      <c r="C183" s="6" t="s">
        <v>36</v>
      </c>
      <c r="D183" s="6">
        <v>11.954</v>
      </c>
      <c r="E183" s="8">
        <v>82079</v>
      </c>
      <c r="F183" s="8">
        <v>2310</v>
      </c>
      <c r="G183" s="6">
        <v>0</v>
      </c>
      <c r="H183" s="8">
        <v>0</v>
      </c>
      <c r="I183" s="6">
        <v>118.2</v>
      </c>
      <c r="J183" s="6">
        <v>4</v>
      </c>
      <c r="K183" s="6">
        <v>6.62</v>
      </c>
      <c r="L183" s="6">
        <v>-5.78</v>
      </c>
      <c r="M183" s="6">
        <v>9.3</v>
      </c>
      <c r="N183" s="6">
        <v>6.4</v>
      </c>
    </row>
    <row r="184" hidden="1" spans="1:14">
      <c r="A184" s="4" t="s">
        <v>1568</v>
      </c>
      <c r="B184" s="5" t="s">
        <v>1553</v>
      </c>
      <c r="C184" s="6" t="s">
        <v>30</v>
      </c>
      <c r="D184" s="6">
        <v>12.888</v>
      </c>
      <c r="E184" s="8">
        <v>986804</v>
      </c>
      <c r="F184" s="8">
        <v>36125</v>
      </c>
      <c r="G184" s="6">
        <v>0</v>
      </c>
      <c r="H184" s="8">
        <v>0</v>
      </c>
      <c r="I184" s="6">
        <v>121.5</v>
      </c>
      <c r="J184" s="6">
        <v>5.75</v>
      </c>
      <c r="K184" s="6">
        <v>3.73</v>
      </c>
      <c r="L184" s="6">
        <v>3.87</v>
      </c>
      <c r="M184" s="6">
        <v>8.4</v>
      </c>
      <c r="N184" s="6">
        <v>0.6</v>
      </c>
    </row>
    <row r="185" hidden="1" spans="1:14">
      <c r="A185" s="4" t="s">
        <v>1569</v>
      </c>
      <c r="B185" s="5" t="s">
        <v>1553</v>
      </c>
      <c r="C185" s="6" t="s">
        <v>31</v>
      </c>
      <c r="D185" s="6">
        <v>12.951</v>
      </c>
      <c r="E185" s="8">
        <v>1349603</v>
      </c>
      <c r="F185" s="8">
        <v>66063</v>
      </c>
      <c r="G185" s="6">
        <v>0</v>
      </c>
      <c r="H185" s="8">
        <v>0</v>
      </c>
      <c r="I185" s="6">
        <v>121.5</v>
      </c>
      <c r="J185" s="6">
        <v>5.4</v>
      </c>
      <c r="K185" s="6">
        <v>3.73</v>
      </c>
      <c r="L185" s="6">
        <v>3.87</v>
      </c>
      <c r="M185" s="6">
        <v>7.8</v>
      </c>
      <c r="N185" s="6">
        <v>0.7</v>
      </c>
    </row>
    <row r="186" hidden="1" spans="1:14">
      <c r="A186" s="4" t="s">
        <v>1570</v>
      </c>
      <c r="B186" s="5" t="s">
        <v>1553</v>
      </c>
      <c r="C186" s="6" t="s">
        <v>32</v>
      </c>
      <c r="D186" s="6">
        <v>9.669</v>
      </c>
      <c r="E186" s="8">
        <v>914879</v>
      </c>
      <c r="F186" s="8">
        <v>28901</v>
      </c>
      <c r="G186" s="6">
        <v>0</v>
      </c>
      <c r="H186" s="8">
        <v>0</v>
      </c>
      <c r="I186" s="6">
        <v>121.5</v>
      </c>
      <c r="J186" s="6">
        <v>5.15</v>
      </c>
      <c r="K186" s="6">
        <v>3.73</v>
      </c>
      <c r="L186" s="6">
        <v>3.87</v>
      </c>
      <c r="M186" s="6">
        <v>9.1</v>
      </c>
      <c r="N186" s="6">
        <v>-16.7</v>
      </c>
    </row>
    <row r="187" hidden="1" spans="1:14">
      <c r="A187" s="4" t="s">
        <v>1571</v>
      </c>
      <c r="B187" s="5" t="s">
        <v>1553</v>
      </c>
      <c r="C187" s="6" t="s">
        <v>32</v>
      </c>
      <c r="D187" s="6">
        <v>13.253</v>
      </c>
      <c r="E187" s="8">
        <v>1191205</v>
      </c>
      <c r="F187" s="8">
        <v>46863</v>
      </c>
      <c r="G187" s="6">
        <v>0</v>
      </c>
      <c r="H187" s="8">
        <v>0</v>
      </c>
      <c r="I187" s="6">
        <v>121.5</v>
      </c>
      <c r="J187" s="6">
        <v>5.15</v>
      </c>
      <c r="K187" s="6">
        <v>3.73</v>
      </c>
      <c r="L187" s="6">
        <v>3.87</v>
      </c>
      <c r="M187" s="6">
        <v>9.1</v>
      </c>
      <c r="N187" s="6">
        <v>-16.7</v>
      </c>
    </row>
    <row r="188" hidden="1" spans="1:14">
      <c r="A188" s="4" t="s">
        <v>1572</v>
      </c>
      <c r="B188" s="5" t="s">
        <v>1553</v>
      </c>
      <c r="C188" s="6" t="s">
        <v>31</v>
      </c>
      <c r="D188" s="6">
        <v>12.891</v>
      </c>
      <c r="E188" s="8">
        <v>552139</v>
      </c>
      <c r="F188" s="8">
        <v>20975</v>
      </c>
      <c r="G188" s="6">
        <v>0</v>
      </c>
      <c r="H188" s="8">
        <v>0</v>
      </c>
      <c r="I188" s="6">
        <v>121.5</v>
      </c>
      <c r="J188" s="6">
        <v>5.4</v>
      </c>
      <c r="K188" s="6">
        <v>3.73</v>
      </c>
      <c r="L188" s="6">
        <v>3.87</v>
      </c>
      <c r="M188" s="6">
        <v>7.8</v>
      </c>
      <c r="N188" s="6">
        <v>0.7</v>
      </c>
    </row>
    <row r="189" hidden="1" spans="1:14">
      <c r="A189" s="4" t="s">
        <v>1573</v>
      </c>
      <c r="B189" s="5" t="s">
        <v>1553</v>
      </c>
      <c r="C189" s="6" t="s">
        <v>40</v>
      </c>
      <c r="D189" s="6">
        <v>11.83</v>
      </c>
      <c r="E189" s="8">
        <v>1361784</v>
      </c>
      <c r="F189" s="8">
        <v>46351</v>
      </c>
      <c r="G189" s="6">
        <v>0</v>
      </c>
      <c r="H189" s="8">
        <v>0</v>
      </c>
      <c r="I189" s="6">
        <v>124.8</v>
      </c>
      <c r="J189" s="6">
        <v>4</v>
      </c>
      <c r="K189" s="6">
        <v>5.13</v>
      </c>
      <c r="L189" s="6">
        <v>9.69</v>
      </c>
      <c r="M189" s="6">
        <v>8.2</v>
      </c>
      <c r="N189" s="6">
        <v>1.65</v>
      </c>
    </row>
    <row r="190" hidden="1" spans="1:14">
      <c r="A190" s="4" t="s">
        <v>1574</v>
      </c>
      <c r="B190" s="5" t="s">
        <v>1553</v>
      </c>
      <c r="C190" s="6" t="s">
        <v>41</v>
      </c>
      <c r="D190" s="6">
        <v>13.811</v>
      </c>
      <c r="E190" s="8">
        <v>877258</v>
      </c>
      <c r="F190" s="8">
        <v>13096</v>
      </c>
      <c r="G190" s="6">
        <v>0</v>
      </c>
      <c r="H190" s="8">
        <v>0</v>
      </c>
      <c r="I190" s="6">
        <v>130.3</v>
      </c>
      <c r="J190" s="6">
        <v>4</v>
      </c>
      <c r="K190" s="6">
        <v>6.7</v>
      </c>
      <c r="L190" s="6">
        <v>6.99</v>
      </c>
      <c r="M190" s="6">
        <v>6.6</v>
      </c>
      <c r="N190" s="6">
        <v>13.8</v>
      </c>
    </row>
    <row r="191" hidden="1" spans="1:14">
      <c r="A191" s="4" t="s">
        <v>1575</v>
      </c>
      <c r="B191" s="5" t="s">
        <v>1553</v>
      </c>
      <c r="C191" s="6" t="s">
        <v>44</v>
      </c>
      <c r="D191" s="6">
        <v>12.479</v>
      </c>
      <c r="E191" s="8">
        <v>875903</v>
      </c>
      <c r="F191" s="8">
        <v>20816</v>
      </c>
      <c r="G191" s="6">
        <v>0</v>
      </c>
      <c r="H191" s="8">
        <v>0</v>
      </c>
      <c r="I191" s="6">
        <v>130.3</v>
      </c>
      <c r="J191" s="6">
        <v>6.25</v>
      </c>
      <c r="K191" s="6">
        <v>6.7</v>
      </c>
      <c r="L191" s="6">
        <v>6.99</v>
      </c>
      <c r="M191" s="6">
        <v>6.7</v>
      </c>
      <c r="N191" s="6">
        <v>1.8</v>
      </c>
    </row>
    <row r="192" hidden="1" spans="1:14">
      <c r="A192" s="4" t="s">
        <v>1576</v>
      </c>
      <c r="B192" s="5" t="s">
        <v>1553</v>
      </c>
      <c r="C192" s="6" t="s">
        <v>37</v>
      </c>
      <c r="D192" s="6">
        <v>11.794</v>
      </c>
      <c r="E192" s="8">
        <v>920058</v>
      </c>
      <c r="F192" s="8">
        <v>811772</v>
      </c>
      <c r="G192" s="6">
        <v>1</v>
      </c>
      <c r="H192" s="8">
        <v>84428</v>
      </c>
      <c r="I192" s="6">
        <v>124.8</v>
      </c>
      <c r="J192" s="6">
        <v>4</v>
      </c>
      <c r="K192" s="6">
        <v>5.13</v>
      </c>
      <c r="L192" s="6">
        <v>9.69</v>
      </c>
      <c r="M192" s="6">
        <v>12.6</v>
      </c>
      <c r="N192" s="6">
        <v>45</v>
      </c>
    </row>
    <row r="193" hidden="1" spans="1:14">
      <c r="A193" s="4" t="s">
        <v>1577</v>
      </c>
      <c r="B193" s="5" t="s">
        <v>1553</v>
      </c>
      <c r="C193" s="6" t="s">
        <v>35</v>
      </c>
      <c r="D193" s="6">
        <v>12.486</v>
      </c>
      <c r="E193" s="8">
        <v>1136457</v>
      </c>
      <c r="F193" s="8">
        <v>26990</v>
      </c>
      <c r="G193" s="6">
        <v>0</v>
      </c>
      <c r="H193" s="8">
        <v>0</v>
      </c>
      <c r="I193" s="6">
        <v>118.2</v>
      </c>
      <c r="J193" s="6">
        <v>4</v>
      </c>
      <c r="K193" s="6">
        <v>6.62</v>
      </c>
      <c r="L193" s="6">
        <v>-5.78</v>
      </c>
      <c r="M193" s="6">
        <v>10.3</v>
      </c>
      <c r="N193" s="6">
        <v>-1.6</v>
      </c>
    </row>
    <row r="194" hidden="1" spans="1:14">
      <c r="A194" s="4" t="s">
        <v>1578</v>
      </c>
      <c r="B194" s="5" t="s">
        <v>1553</v>
      </c>
      <c r="C194" s="6" t="s">
        <v>43</v>
      </c>
      <c r="D194" s="6">
        <v>12.496</v>
      </c>
      <c r="E194" s="8">
        <v>1149776</v>
      </c>
      <c r="F194" s="8">
        <v>25665</v>
      </c>
      <c r="G194" s="6">
        <v>0</v>
      </c>
      <c r="H194" s="8">
        <v>0</v>
      </c>
      <c r="I194" s="6">
        <v>130.3</v>
      </c>
      <c r="J194" s="6">
        <v>5.9</v>
      </c>
      <c r="K194" s="6">
        <v>6.7</v>
      </c>
      <c r="L194" s="6">
        <v>6.99</v>
      </c>
      <c r="M194" s="6">
        <v>7.2</v>
      </c>
      <c r="N194" s="6">
        <v>4.5</v>
      </c>
    </row>
    <row r="195" hidden="1" spans="1:14">
      <c r="A195" s="4" t="s">
        <v>1579</v>
      </c>
      <c r="B195" s="5" t="s">
        <v>1553</v>
      </c>
      <c r="C195" s="6" t="s">
        <v>44</v>
      </c>
      <c r="D195" s="6">
        <v>13.433</v>
      </c>
      <c r="E195" s="8">
        <v>905393</v>
      </c>
      <c r="F195" s="8">
        <v>18547</v>
      </c>
      <c r="G195" s="6">
        <v>0</v>
      </c>
      <c r="H195" s="8">
        <v>0</v>
      </c>
      <c r="I195" s="6">
        <v>130.3</v>
      </c>
      <c r="J195" s="6">
        <v>6.25</v>
      </c>
      <c r="K195" s="6">
        <v>6.7</v>
      </c>
      <c r="L195" s="6">
        <v>6.99</v>
      </c>
      <c r="M195" s="6">
        <v>6.7</v>
      </c>
      <c r="N195" s="6">
        <v>1.8</v>
      </c>
    </row>
    <row r="196" hidden="1" spans="1:14">
      <c r="A196" s="4" t="s">
        <v>1580</v>
      </c>
      <c r="B196" s="5" t="s">
        <v>1553</v>
      </c>
      <c r="C196" s="6" t="s">
        <v>44</v>
      </c>
      <c r="D196" s="6">
        <v>11.985</v>
      </c>
      <c r="E196" s="8">
        <v>1102633</v>
      </c>
      <c r="F196" s="8">
        <v>53930</v>
      </c>
      <c r="G196" s="6">
        <v>0</v>
      </c>
      <c r="H196" s="8">
        <v>0</v>
      </c>
      <c r="I196" s="6">
        <v>130.3</v>
      </c>
      <c r="J196" s="6">
        <v>6.25</v>
      </c>
      <c r="K196" s="6">
        <v>6.7</v>
      </c>
      <c r="L196" s="6">
        <v>6.99</v>
      </c>
      <c r="M196" s="6">
        <v>6.7</v>
      </c>
      <c r="N196" s="6">
        <v>1.8</v>
      </c>
    </row>
    <row r="197" hidden="1" spans="1:14">
      <c r="A197" s="4" t="s">
        <v>1581</v>
      </c>
      <c r="B197" s="5" t="s">
        <v>1553</v>
      </c>
      <c r="C197" s="6" t="s">
        <v>30</v>
      </c>
      <c r="D197" s="6">
        <v>13.442</v>
      </c>
      <c r="E197" s="8">
        <v>1293544</v>
      </c>
      <c r="F197" s="8">
        <v>725832</v>
      </c>
      <c r="G197" s="6">
        <v>1</v>
      </c>
      <c r="H197" s="8">
        <v>88857</v>
      </c>
      <c r="I197" s="6">
        <v>121.5</v>
      </c>
      <c r="J197" s="6">
        <v>5.75</v>
      </c>
      <c r="K197" s="6">
        <v>3.73</v>
      </c>
      <c r="L197" s="6">
        <v>3.87</v>
      </c>
      <c r="M197" s="6">
        <v>8.4</v>
      </c>
      <c r="N197" s="6">
        <v>0.6</v>
      </c>
    </row>
    <row r="198" hidden="1" spans="1:14">
      <c r="A198" s="4" t="s">
        <v>1582</v>
      </c>
      <c r="B198" s="5" t="s">
        <v>1553</v>
      </c>
      <c r="C198" s="6" t="s">
        <v>31</v>
      </c>
      <c r="D198" s="6">
        <v>14.024</v>
      </c>
      <c r="E198" s="8">
        <v>438305</v>
      </c>
      <c r="F198" s="8">
        <v>6417</v>
      </c>
      <c r="G198" s="6">
        <v>0</v>
      </c>
      <c r="H198" s="8">
        <v>0</v>
      </c>
      <c r="I198" s="6">
        <v>121.5</v>
      </c>
      <c r="J198" s="6">
        <v>5.4</v>
      </c>
      <c r="K198" s="6">
        <v>3.73</v>
      </c>
      <c r="L198" s="6">
        <v>3.87</v>
      </c>
      <c r="M198" s="6">
        <v>7.8</v>
      </c>
      <c r="N198" s="6">
        <v>0.7</v>
      </c>
    </row>
    <row r="199" hidden="1" spans="1:14">
      <c r="A199" s="4" t="s">
        <v>1583</v>
      </c>
      <c r="B199" s="5" t="s">
        <v>1553</v>
      </c>
      <c r="C199" s="6" t="s">
        <v>31</v>
      </c>
      <c r="D199" s="6">
        <v>11.333</v>
      </c>
      <c r="E199" s="8">
        <v>652839</v>
      </c>
      <c r="F199" s="8">
        <v>16128</v>
      </c>
      <c r="G199" s="6">
        <v>0</v>
      </c>
      <c r="H199" s="8">
        <v>0</v>
      </c>
      <c r="I199" s="6">
        <v>121.5</v>
      </c>
      <c r="J199" s="6">
        <v>5.4</v>
      </c>
      <c r="K199" s="6">
        <v>3.73</v>
      </c>
      <c r="L199" s="6">
        <v>3.87</v>
      </c>
      <c r="M199" s="6">
        <v>7.8</v>
      </c>
      <c r="N199" s="6">
        <v>0.7</v>
      </c>
    </row>
    <row r="200" hidden="1" spans="1:14">
      <c r="A200" s="4" t="s">
        <v>1584</v>
      </c>
      <c r="B200" s="5" t="s">
        <v>1553</v>
      </c>
      <c r="C200" s="6" t="s">
        <v>32</v>
      </c>
      <c r="D200" s="6">
        <v>13.284</v>
      </c>
      <c r="E200" s="8">
        <v>649204</v>
      </c>
      <c r="F200" s="8">
        <v>9456</v>
      </c>
      <c r="G200" s="6">
        <v>0</v>
      </c>
      <c r="H200" s="8">
        <v>0</v>
      </c>
      <c r="I200" s="6">
        <v>121.5</v>
      </c>
      <c r="J200" s="6">
        <v>5.15</v>
      </c>
      <c r="K200" s="6">
        <v>3.73</v>
      </c>
      <c r="L200" s="6">
        <v>3.87</v>
      </c>
      <c r="M200" s="6">
        <v>9.1</v>
      </c>
      <c r="N200" s="6">
        <v>-16.7</v>
      </c>
    </row>
    <row r="201" hidden="1" spans="1:14">
      <c r="A201" s="4" t="s">
        <v>1585</v>
      </c>
      <c r="B201" s="5" t="s">
        <v>1553</v>
      </c>
      <c r="C201" s="6" t="s">
        <v>46</v>
      </c>
      <c r="D201" s="6">
        <v>13.609</v>
      </c>
      <c r="E201" s="8">
        <v>673202</v>
      </c>
      <c r="F201" s="8">
        <v>20445</v>
      </c>
      <c r="G201" s="6">
        <v>0</v>
      </c>
      <c r="H201" s="8">
        <v>0</v>
      </c>
      <c r="I201" s="6">
        <v>134.7</v>
      </c>
      <c r="J201" s="6">
        <v>6.5</v>
      </c>
      <c r="K201" s="6">
        <v>5.65</v>
      </c>
      <c r="L201" s="6">
        <v>8.15</v>
      </c>
      <c r="M201" s="6">
        <v>6.6</v>
      </c>
      <c r="N201" s="6">
        <v>9.7</v>
      </c>
    </row>
    <row r="202" hidden="1" spans="1:14">
      <c r="A202" s="4" t="s">
        <v>1586</v>
      </c>
      <c r="B202" s="5" t="s">
        <v>1553</v>
      </c>
      <c r="C202" s="6" t="s">
        <v>47</v>
      </c>
      <c r="D202" s="6">
        <v>12.712</v>
      </c>
      <c r="E202" s="8">
        <v>681481</v>
      </c>
      <c r="F202" s="8">
        <v>1735</v>
      </c>
      <c r="G202" s="6">
        <v>0</v>
      </c>
      <c r="H202" s="8">
        <v>0</v>
      </c>
      <c r="I202" s="6">
        <v>134.7</v>
      </c>
      <c r="J202" s="6">
        <v>6.5</v>
      </c>
      <c r="K202" s="6">
        <v>5.65</v>
      </c>
      <c r="L202" s="6">
        <v>8.15</v>
      </c>
      <c r="M202" s="6">
        <v>6.5</v>
      </c>
      <c r="N202" s="6">
        <v>3.6</v>
      </c>
    </row>
    <row r="203" hidden="1" spans="1:14">
      <c r="A203" s="4" t="s">
        <v>1587</v>
      </c>
      <c r="B203" s="5" t="s">
        <v>1553</v>
      </c>
      <c r="C203" s="6" t="s">
        <v>43</v>
      </c>
      <c r="D203" s="6">
        <v>12.996</v>
      </c>
      <c r="E203" s="8">
        <v>1352985</v>
      </c>
      <c r="F203" s="8">
        <v>3672</v>
      </c>
      <c r="G203" s="6">
        <v>0</v>
      </c>
      <c r="H203" s="8">
        <v>0</v>
      </c>
      <c r="I203" s="6">
        <v>130.3</v>
      </c>
      <c r="J203" s="6">
        <v>5.9</v>
      </c>
      <c r="K203" s="6">
        <v>6.7</v>
      </c>
      <c r="L203" s="6">
        <v>6.99</v>
      </c>
      <c r="M203" s="6">
        <v>7.2</v>
      </c>
      <c r="N203" s="6">
        <v>4.5</v>
      </c>
    </row>
    <row r="204" hidden="1" spans="1:14">
      <c r="A204" s="4" t="s">
        <v>1588</v>
      </c>
      <c r="B204" s="5" t="s">
        <v>1553</v>
      </c>
      <c r="C204" s="6" t="s">
        <v>30</v>
      </c>
      <c r="D204" s="6">
        <v>12.847</v>
      </c>
      <c r="E204" s="8">
        <v>1431604</v>
      </c>
      <c r="F204" s="8">
        <v>31550</v>
      </c>
      <c r="G204" s="6">
        <v>0</v>
      </c>
      <c r="H204" s="8">
        <v>0</v>
      </c>
      <c r="I204" s="6">
        <v>121.5</v>
      </c>
      <c r="J204" s="6">
        <v>5.75</v>
      </c>
      <c r="K204" s="6">
        <v>3.73</v>
      </c>
      <c r="L204" s="6">
        <v>3.87</v>
      </c>
      <c r="M204" s="6">
        <v>8.4</v>
      </c>
      <c r="N204" s="6">
        <v>0.6</v>
      </c>
    </row>
    <row r="205" hidden="1" spans="1:14">
      <c r="A205" s="4" t="s">
        <v>1589</v>
      </c>
      <c r="B205" s="5" t="s">
        <v>1553</v>
      </c>
      <c r="C205" s="6" t="s">
        <v>37</v>
      </c>
      <c r="D205" s="6">
        <v>11.152</v>
      </c>
      <c r="E205" s="8">
        <v>1155993</v>
      </c>
      <c r="F205" s="8">
        <v>15566</v>
      </c>
      <c r="G205" s="6">
        <v>0</v>
      </c>
      <c r="H205" s="8">
        <v>0</v>
      </c>
      <c r="I205" s="6">
        <v>124.8</v>
      </c>
      <c r="J205" s="6">
        <v>4</v>
      </c>
      <c r="K205" s="6">
        <v>5.13</v>
      </c>
      <c r="L205" s="6">
        <v>9.69</v>
      </c>
      <c r="M205" s="6">
        <v>12.6</v>
      </c>
      <c r="N205" s="6">
        <v>45</v>
      </c>
    </row>
    <row r="206" hidden="1" spans="1:14">
      <c r="A206" s="4" t="s">
        <v>1590</v>
      </c>
      <c r="B206" s="5" t="s">
        <v>1553</v>
      </c>
      <c r="C206" s="6" t="s">
        <v>38</v>
      </c>
      <c r="D206" s="6">
        <v>10.93</v>
      </c>
      <c r="E206" s="8">
        <v>1519859</v>
      </c>
      <c r="F206" s="8">
        <v>25452</v>
      </c>
      <c r="G206" s="6">
        <v>0</v>
      </c>
      <c r="H206" s="8">
        <v>0</v>
      </c>
      <c r="I206" s="6">
        <v>124.8</v>
      </c>
      <c r="J206" s="6">
        <v>4</v>
      </c>
      <c r="K206" s="6">
        <v>5.13</v>
      </c>
      <c r="L206" s="6">
        <v>9.69</v>
      </c>
      <c r="M206" s="6">
        <v>9.8</v>
      </c>
      <c r="N206" s="6">
        <v>8.7</v>
      </c>
    </row>
    <row r="207" hidden="1" spans="1:14">
      <c r="A207" s="4" t="s">
        <v>1591</v>
      </c>
      <c r="B207" s="5" t="s">
        <v>1553</v>
      </c>
      <c r="C207" s="6" t="s">
        <v>29</v>
      </c>
      <c r="D207" s="6">
        <v>14.095</v>
      </c>
      <c r="E207" s="8">
        <v>890318</v>
      </c>
      <c r="F207" s="8">
        <v>27209</v>
      </c>
      <c r="G207" s="6">
        <v>0</v>
      </c>
      <c r="H207" s="8">
        <v>0</v>
      </c>
      <c r="I207" s="6">
        <v>121.5</v>
      </c>
      <c r="J207" s="6">
        <v>6</v>
      </c>
      <c r="K207" s="6">
        <v>3.73</v>
      </c>
      <c r="L207" s="6">
        <v>3.87</v>
      </c>
      <c r="M207" s="6">
        <v>7</v>
      </c>
      <c r="N207" s="6">
        <v>3.6</v>
      </c>
    </row>
    <row r="208" hidden="1" spans="1:14">
      <c r="A208" s="4" t="s">
        <v>1592</v>
      </c>
      <c r="B208" s="5" t="s">
        <v>1553</v>
      </c>
      <c r="C208" s="6" t="s">
        <v>37</v>
      </c>
      <c r="D208" s="6">
        <v>10.474</v>
      </c>
      <c r="E208" s="8">
        <v>901902</v>
      </c>
      <c r="F208" s="8">
        <v>39668</v>
      </c>
      <c r="G208" s="6">
        <v>0</v>
      </c>
      <c r="H208" s="8">
        <v>0</v>
      </c>
      <c r="I208" s="6">
        <v>124.8</v>
      </c>
      <c r="J208" s="6">
        <v>4</v>
      </c>
      <c r="K208" s="6">
        <v>5.13</v>
      </c>
      <c r="L208" s="6">
        <v>9.69</v>
      </c>
      <c r="M208" s="6">
        <v>12.6</v>
      </c>
      <c r="N208" s="6">
        <v>45</v>
      </c>
    </row>
    <row r="209" hidden="1" spans="1:14">
      <c r="A209" s="4" t="s">
        <v>1593</v>
      </c>
      <c r="B209" s="5" t="s">
        <v>1553</v>
      </c>
      <c r="C209" s="6" t="s">
        <v>31</v>
      </c>
      <c r="D209" s="6">
        <v>10.912</v>
      </c>
      <c r="E209" s="8">
        <v>401788</v>
      </c>
      <c r="F209" s="8">
        <v>5202</v>
      </c>
      <c r="G209" s="6">
        <v>0</v>
      </c>
      <c r="H209" s="8">
        <v>0</v>
      </c>
      <c r="I209" s="6">
        <v>121.5</v>
      </c>
      <c r="J209" s="6">
        <v>5.4</v>
      </c>
      <c r="K209" s="6">
        <v>3.73</v>
      </c>
      <c r="L209" s="6">
        <v>3.87</v>
      </c>
      <c r="M209" s="6">
        <v>7.8</v>
      </c>
      <c r="N209" s="6">
        <v>0.7</v>
      </c>
    </row>
    <row r="210" hidden="1" spans="1:14">
      <c r="A210" s="4" t="s">
        <v>1594</v>
      </c>
      <c r="B210" s="5" t="s">
        <v>1553</v>
      </c>
      <c r="C210" s="6" t="s">
        <v>32</v>
      </c>
      <c r="D210" s="6">
        <v>13.643</v>
      </c>
      <c r="E210" s="8">
        <v>870074</v>
      </c>
      <c r="F210" s="8">
        <v>17265</v>
      </c>
      <c r="G210" s="6">
        <v>0</v>
      </c>
      <c r="H210" s="8">
        <v>0</v>
      </c>
      <c r="I210" s="6">
        <v>121.5</v>
      </c>
      <c r="J210" s="6">
        <v>5.15</v>
      </c>
      <c r="K210" s="6">
        <v>3.73</v>
      </c>
      <c r="L210" s="6">
        <v>3.87</v>
      </c>
      <c r="M210" s="6">
        <v>9.1</v>
      </c>
      <c r="N210" s="6">
        <v>-16.7</v>
      </c>
    </row>
    <row r="211" hidden="1" spans="1:14">
      <c r="A211" s="4" t="s">
        <v>1595</v>
      </c>
      <c r="B211" s="5" t="s">
        <v>1553</v>
      </c>
      <c r="C211" s="6" t="s">
        <v>45</v>
      </c>
      <c r="D211" s="6">
        <v>14.585</v>
      </c>
      <c r="E211" s="8">
        <v>1001392</v>
      </c>
      <c r="F211" s="8">
        <v>23957</v>
      </c>
      <c r="G211" s="6">
        <v>0</v>
      </c>
      <c r="H211" s="8">
        <v>0</v>
      </c>
      <c r="I211" s="6">
        <v>134.7</v>
      </c>
      <c r="J211" s="6">
        <v>6.5</v>
      </c>
      <c r="K211" s="6">
        <v>5.65</v>
      </c>
      <c r="L211" s="6">
        <v>8.15</v>
      </c>
      <c r="M211" s="6">
        <v>6.6</v>
      </c>
      <c r="N211" s="6">
        <v>4.1</v>
      </c>
    </row>
    <row r="212" hidden="1" spans="1:14">
      <c r="A212" s="4" t="s">
        <v>1596</v>
      </c>
      <c r="B212" s="5" t="s">
        <v>1553</v>
      </c>
      <c r="C212" s="6" t="s">
        <v>34</v>
      </c>
      <c r="D212" s="6">
        <v>11.302</v>
      </c>
      <c r="E212" s="8">
        <v>313216</v>
      </c>
      <c r="F212" s="8">
        <v>5280</v>
      </c>
      <c r="G212" s="6">
        <v>0</v>
      </c>
      <c r="H212" s="8">
        <v>0</v>
      </c>
      <c r="I212" s="6">
        <v>118.2</v>
      </c>
      <c r="J212" s="6">
        <v>4</v>
      </c>
      <c r="K212" s="6">
        <v>6.62</v>
      </c>
      <c r="L212" s="6">
        <v>-5.78</v>
      </c>
      <c r="M212" s="6">
        <v>13.2</v>
      </c>
      <c r="N212" s="6">
        <v>-8.6</v>
      </c>
    </row>
    <row r="213" hidden="1" spans="1:14">
      <c r="A213" s="4" t="s">
        <v>1597</v>
      </c>
      <c r="B213" s="5" t="s">
        <v>1553</v>
      </c>
      <c r="C213" s="6" t="s">
        <v>48</v>
      </c>
      <c r="D213" s="6">
        <v>13.104</v>
      </c>
      <c r="E213" s="8">
        <v>1311796</v>
      </c>
      <c r="F213" s="8">
        <v>14848</v>
      </c>
      <c r="G213" s="6">
        <v>0</v>
      </c>
      <c r="H213" s="8">
        <v>0</v>
      </c>
      <c r="I213" s="6">
        <v>134.7</v>
      </c>
      <c r="J213" s="6">
        <v>6.5</v>
      </c>
      <c r="K213" s="6">
        <v>5.65</v>
      </c>
      <c r="L213" s="6">
        <v>8.15</v>
      </c>
      <c r="M213" s="6">
        <v>6.7</v>
      </c>
      <c r="N213" s="6">
        <v>5</v>
      </c>
    </row>
    <row r="214" hidden="1" spans="1:14">
      <c r="A214" s="4" t="s">
        <v>1598</v>
      </c>
      <c r="B214" s="5" t="s">
        <v>1553</v>
      </c>
      <c r="C214" s="6" t="s">
        <v>38</v>
      </c>
      <c r="D214" s="6">
        <v>10.613</v>
      </c>
      <c r="E214" s="8">
        <v>542736</v>
      </c>
      <c r="F214" s="8">
        <v>460370</v>
      </c>
      <c r="G214" s="6">
        <v>1</v>
      </c>
      <c r="H214" s="8">
        <v>55352</v>
      </c>
      <c r="I214" s="6">
        <v>124.8</v>
      </c>
      <c r="J214" s="6">
        <v>4</v>
      </c>
      <c r="K214" s="6">
        <v>5.13</v>
      </c>
      <c r="L214" s="6">
        <v>9.69</v>
      </c>
      <c r="M214" s="6">
        <v>9.8</v>
      </c>
      <c r="N214" s="6">
        <v>8.7</v>
      </c>
    </row>
    <row r="215" hidden="1" spans="1:14">
      <c r="A215" s="4" t="s">
        <v>1599</v>
      </c>
      <c r="B215" s="5" t="s">
        <v>1553</v>
      </c>
      <c r="C215" s="6" t="s">
        <v>44</v>
      </c>
      <c r="D215" s="6">
        <v>14.411</v>
      </c>
      <c r="E215" s="8">
        <v>391643</v>
      </c>
      <c r="F215" s="8">
        <v>10664</v>
      </c>
      <c r="G215" s="6">
        <v>0</v>
      </c>
      <c r="H215" s="8">
        <v>0</v>
      </c>
      <c r="I215" s="6">
        <v>130.3</v>
      </c>
      <c r="J215" s="6">
        <v>6.25</v>
      </c>
      <c r="K215" s="6">
        <v>6.7</v>
      </c>
      <c r="L215" s="6">
        <v>6.99</v>
      </c>
      <c r="M215" s="6">
        <v>6.7</v>
      </c>
      <c r="N215" s="6">
        <v>1.8</v>
      </c>
    </row>
    <row r="216" hidden="1" spans="1:14">
      <c r="A216" s="4" t="s">
        <v>1600</v>
      </c>
      <c r="B216" s="5" t="s">
        <v>1553</v>
      </c>
      <c r="C216" s="6" t="s">
        <v>39</v>
      </c>
      <c r="D216" s="6">
        <v>12.241</v>
      </c>
      <c r="E216" s="8">
        <v>50901</v>
      </c>
      <c r="F216" s="8">
        <v>553</v>
      </c>
      <c r="G216" s="6">
        <v>0</v>
      </c>
      <c r="H216" s="8">
        <v>0</v>
      </c>
      <c r="I216" s="6">
        <v>124.8</v>
      </c>
      <c r="J216" s="6">
        <v>4</v>
      </c>
      <c r="K216" s="6">
        <v>5.13</v>
      </c>
      <c r="L216" s="6">
        <v>9.69</v>
      </c>
      <c r="M216" s="6">
        <v>8.7</v>
      </c>
      <c r="N216" s="6">
        <v>2.1</v>
      </c>
    </row>
    <row r="217" hidden="1" spans="1:14">
      <c r="A217" s="4" t="s">
        <v>1601</v>
      </c>
      <c r="B217" s="5" t="s">
        <v>1553</v>
      </c>
      <c r="C217" s="6" t="s">
        <v>42</v>
      </c>
      <c r="D217" s="6">
        <v>13.675</v>
      </c>
      <c r="E217" s="8">
        <v>212760</v>
      </c>
      <c r="F217" s="8">
        <v>5137</v>
      </c>
      <c r="G217" s="6">
        <v>0</v>
      </c>
      <c r="H217" s="8">
        <v>0</v>
      </c>
      <c r="I217" s="6">
        <v>130.3</v>
      </c>
      <c r="J217" s="6">
        <v>4.9</v>
      </c>
      <c r="K217" s="6">
        <v>6.7</v>
      </c>
      <c r="L217" s="6">
        <v>6.99</v>
      </c>
      <c r="M217" s="6">
        <v>6.6</v>
      </c>
      <c r="N217" s="6">
        <v>5.6</v>
      </c>
    </row>
    <row r="218" hidden="1" spans="1:14">
      <c r="A218" s="4" t="s">
        <v>1602</v>
      </c>
      <c r="B218" s="5" t="s">
        <v>1553</v>
      </c>
      <c r="C218" s="6" t="s">
        <v>40</v>
      </c>
      <c r="D218" s="6">
        <v>11.846</v>
      </c>
      <c r="E218" s="8">
        <v>568167</v>
      </c>
      <c r="F218" s="8">
        <v>20396</v>
      </c>
      <c r="G218" s="6">
        <v>0</v>
      </c>
      <c r="H218" s="8">
        <v>0</v>
      </c>
      <c r="I218" s="6">
        <v>124.8</v>
      </c>
      <c r="J218" s="6">
        <v>4</v>
      </c>
      <c r="K218" s="6">
        <v>5.13</v>
      </c>
      <c r="L218" s="6">
        <v>9.69</v>
      </c>
      <c r="M218" s="6">
        <v>8.2</v>
      </c>
      <c r="N218" s="6">
        <v>1.65</v>
      </c>
    </row>
    <row r="219" hidden="1" spans="1:14">
      <c r="A219" s="4" t="s">
        <v>1603</v>
      </c>
      <c r="B219" s="5" t="s">
        <v>1553</v>
      </c>
      <c r="C219" s="6" t="s">
        <v>33</v>
      </c>
      <c r="D219" s="6">
        <v>13.559</v>
      </c>
      <c r="E219" s="8">
        <v>1198577</v>
      </c>
      <c r="F219" s="8">
        <v>13044</v>
      </c>
      <c r="G219" s="6">
        <v>0</v>
      </c>
      <c r="H219" s="8">
        <v>0</v>
      </c>
      <c r="I219" s="6">
        <v>118.2</v>
      </c>
      <c r="J219" s="6">
        <v>4.4</v>
      </c>
      <c r="K219" s="6">
        <v>6.62</v>
      </c>
      <c r="L219" s="6">
        <v>-5.78</v>
      </c>
      <c r="M219" s="6">
        <v>20.8</v>
      </c>
      <c r="N219" s="6">
        <v>-37</v>
      </c>
    </row>
    <row r="220" hidden="1" spans="1:14">
      <c r="A220" s="4" t="s">
        <v>1604</v>
      </c>
      <c r="B220" s="5" t="s">
        <v>1553</v>
      </c>
      <c r="C220" s="6" t="s">
        <v>72</v>
      </c>
      <c r="D220" s="6">
        <v>12.628</v>
      </c>
      <c r="E220" s="8">
        <v>173444</v>
      </c>
      <c r="F220" s="8">
        <v>5813</v>
      </c>
      <c r="G220" s="6">
        <v>0</v>
      </c>
      <c r="H220" s="8">
        <v>0</v>
      </c>
      <c r="I220" s="6">
        <v>120</v>
      </c>
      <c r="J220" s="6">
        <v>6.5</v>
      </c>
      <c r="K220" s="6">
        <v>4.87</v>
      </c>
      <c r="L220" s="6">
        <v>6.5</v>
      </c>
      <c r="M220" s="6">
        <v>6.5</v>
      </c>
      <c r="N220" s="6">
        <v>4</v>
      </c>
    </row>
    <row r="221" hidden="1" spans="1:14">
      <c r="A221" s="4" t="s">
        <v>1605</v>
      </c>
      <c r="B221" s="5" t="s">
        <v>1553</v>
      </c>
      <c r="C221" s="6" t="s">
        <v>72</v>
      </c>
      <c r="D221" s="6">
        <v>14.193</v>
      </c>
      <c r="E221" s="8">
        <v>490546</v>
      </c>
      <c r="F221" s="8">
        <v>23242</v>
      </c>
      <c r="G221" s="6">
        <v>0</v>
      </c>
      <c r="H221" s="8">
        <v>0</v>
      </c>
      <c r="I221" s="6">
        <v>120</v>
      </c>
      <c r="J221" s="6">
        <v>6.5</v>
      </c>
      <c r="K221" s="6">
        <v>4.87</v>
      </c>
      <c r="L221" s="6">
        <v>6.5</v>
      </c>
      <c r="M221" s="6">
        <v>6.5</v>
      </c>
      <c r="N221" s="6">
        <v>4</v>
      </c>
    </row>
    <row r="222" hidden="1" spans="1:14">
      <c r="A222" s="4" t="s">
        <v>1606</v>
      </c>
      <c r="B222" s="5" t="s">
        <v>1553</v>
      </c>
      <c r="C222" s="6" t="s">
        <v>42</v>
      </c>
      <c r="D222" s="6">
        <v>12.057</v>
      </c>
      <c r="E222" s="8">
        <v>946972</v>
      </c>
      <c r="F222" s="8">
        <v>2878</v>
      </c>
      <c r="G222" s="6">
        <v>0</v>
      </c>
      <c r="H222" s="8">
        <v>0</v>
      </c>
      <c r="I222" s="6">
        <v>130.3</v>
      </c>
      <c r="J222" s="6">
        <v>4.9</v>
      </c>
      <c r="K222" s="6">
        <v>6.7</v>
      </c>
      <c r="L222" s="6">
        <v>6.99</v>
      </c>
      <c r="M222" s="6">
        <v>6.6</v>
      </c>
      <c r="N222" s="6">
        <v>5.6</v>
      </c>
    </row>
    <row r="223" hidden="1" spans="1:14">
      <c r="A223" s="4" t="s">
        <v>1607</v>
      </c>
      <c r="B223" s="5" t="s">
        <v>1553</v>
      </c>
      <c r="C223" s="6" t="s">
        <v>29</v>
      </c>
      <c r="D223" s="6">
        <v>13.615</v>
      </c>
      <c r="E223" s="8">
        <v>818463</v>
      </c>
      <c r="F223" s="8">
        <v>16300</v>
      </c>
      <c r="G223" s="6">
        <v>0</v>
      </c>
      <c r="H223" s="8">
        <v>0</v>
      </c>
      <c r="I223" s="6">
        <v>121.5</v>
      </c>
      <c r="J223" s="6">
        <v>6</v>
      </c>
      <c r="K223" s="6">
        <v>3.73</v>
      </c>
      <c r="L223" s="6">
        <v>3.87</v>
      </c>
      <c r="M223" s="6">
        <v>7</v>
      </c>
      <c r="N223" s="6">
        <v>3.6</v>
      </c>
    </row>
    <row r="224" hidden="1" spans="1:14">
      <c r="A224" s="4" t="s">
        <v>1608</v>
      </c>
      <c r="B224" s="5" t="s">
        <v>1553</v>
      </c>
      <c r="C224" s="6" t="s">
        <v>35</v>
      </c>
      <c r="D224" s="6">
        <v>13.33</v>
      </c>
      <c r="E224" s="8">
        <v>1262783</v>
      </c>
      <c r="F224" s="8">
        <v>34008</v>
      </c>
      <c r="G224" s="6">
        <v>0</v>
      </c>
      <c r="H224" s="8">
        <v>0</v>
      </c>
      <c r="I224" s="6">
        <v>118.2</v>
      </c>
      <c r="J224" s="6">
        <v>4</v>
      </c>
      <c r="K224" s="6">
        <v>6.62</v>
      </c>
      <c r="L224" s="6">
        <v>-5.78</v>
      </c>
      <c r="M224" s="6">
        <v>10.3</v>
      </c>
      <c r="N224" s="6">
        <v>-1.6</v>
      </c>
    </row>
    <row r="225" hidden="1" spans="1:14">
      <c r="A225" s="4" t="s">
        <v>1609</v>
      </c>
      <c r="B225" s="5" t="s">
        <v>1553</v>
      </c>
      <c r="C225" s="6" t="s">
        <v>38</v>
      </c>
      <c r="D225" s="6">
        <v>11.78</v>
      </c>
      <c r="E225" s="8">
        <v>1816309</v>
      </c>
      <c r="F225" s="8">
        <v>78320</v>
      </c>
      <c r="G225" s="6">
        <v>0</v>
      </c>
      <c r="H225" s="8">
        <v>0</v>
      </c>
      <c r="I225" s="6">
        <v>124.8</v>
      </c>
      <c r="J225" s="6">
        <v>4</v>
      </c>
      <c r="K225" s="6">
        <v>5.13</v>
      </c>
      <c r="L225" s="6">
        <v>9.69</v>
      </c>
      <c r="M225" s="6">
        <v>9.8</v>
      </c>
      <c r="N225" s="6">
        <v>8.7</v>
      </c>
    </row>
    <row r="226" hidden="1" spans="1:14">
      <c r="A226" s="4" t="s">
        <v>1610</v>
      </c>
      <c r="B226" s="5" t="s">
        <v>1553</v>
      </c>
      <c r="C226" s="6" t="s">
        <v>31</v>
      </c>
      <c r="D226" s="6">
        <v>10.927</v>
      </c>
      <c r="E226" s="8">
        <v>1065029</v>
      </c>
      <c r="F226" s="8">
        <v>41039</v>
      </c>
      <c r="G226" s="6">
        <v>0</v>
      </c>
      <c r="H226" s="8">
        <v>0</v>
      </c>
      <c r="I226" s="6">
        <v>121.5</v>
      </c>
      <c r="J226" s="6">
        <v>5.4</v>
      </c>
      <c r="K226" s="6">
        <v>3.73</v>
      </c>
      <c r="L226" s="6">
        <v>3.87</v>
      </c>
      <c r="M226" s="6">
        <v>7.8</v>
      </c>
      <c r="N226" s="6">
        <v>0.7</v>
      </c>
    </row>
    <row r="227" hidden="1" spans="1:14">
      <c r="A227" s="4" t="s">
        <v>1611</v>
      </c>
      <c r="B227" s="5" t="s">
        <v>1553</v>
      </c>
      <c r="C227" s="6" t="s">
        <v>34</v>
      </c>
      <c r="D227" s="6">
        <v>13.626</v>
      </c>
      <c r="E227" s="8">
        <v>693692</v>
      </c>
      <c r="F227" s="8">
        <v>26707</v>
      </c>
      <c r="G227" s="6">
        <v>0</v>
      </c>
      <c r="H227" s="8">
        <v>0</v>
      </c>
      <c r="I227" s="6">
        <v>118.2</v>
      </c>
      <c r="J227" s="6">
        <v>4</v>
      </c>
      <c r="K227" s="6">
        <v>6.62</v>
      </c>
      <c r="L227" s="6">
        <v>-5.78</v>
      </c>
      <c r="M227" s="6">
        <v>13.2</v>
      </c>
      <c r="N227" s="6">
        <v>-8.6</v>
      </c>
    </row>
    <row r="228" hidden="1" spans="1:14">
      <c r="A228" s="4" t="s">
        <v>1612</v>
      </c>
      <c r="B228" s="5" t="s">
        <v>1553</v>
      </c>
      <c r="C228" s="6" t="s">
        <v>47</v>
      </c>
      <c r="D228" s="6">
        <v>14.861</v>
      </c>
      <c r="E228" s="8">
        <v>574775</v>
      </c>
      <c r="F228" s="8">
        <v>11202</v>
      </c>
      <c r="G228" s="6">
        <v>0</v>
      </c>
      <c r="H228" s="8">
        <v>0</v>
      </c>
      <c r="I228" s="6">
        <v>134.7</v>
      </c>
      <c r="J228" s="6">
        <v>6.5</v>
      </c>
      <c r="K228" s="6">
        <v>5.65</v>
      </c>
      <c r="L228" s="6">
        <v>8.15</v>
      </c>
      <c r="M228" s="6">
        <v>6.5</v>
      </c>
      <c r="N228" s="6">
        <v>3.6</v>
      </c>
    </row>
    <row r="229" hidden="1" spans="1:14">
      <c r="A229" s="4" t="s">
        <v>1613</v>
      </c>
      <c r="B229" s="5" t="s">
        <v>1553</v>
      </c>
      <c r="C229" s="6" t="s">
        <v>37</v>
      </c>
      <c r="D229" s="6">
        <v>12.135</v>
      </c>
      <c r="E229" s="8">
        <v>600654</v>
      </c>
      <c r="F229" s="8">
        <v>7614</v>
      </c>
      <c r="G229" s="6">
        <v>0</v>
      </c>
      <c r="H229" s="8">
        <v>0</v>
      </c>
      <c r="I229" s="6">
        <v>124.8</v>
      </c>
      <c r="J229" s="6">
        <v>4</v>
      </c>
      <c r="K229" s="6">
        <v>5.13</v>
      </c>
      <c r="L229" s="6">
        <v>9.69</v>
      </c>
      <c r="M229" s="6">
        <v>12.6</v>
      </c>
      <c r="N229" s="6">
        <v>45</v>
      </c>
    </row>
    <row r="230" hidden="1" spans="1:14">
      <c r="A230" s="4" t="s">
        <v>1614</v>
      </c>
      <c r="B230" s="5" t="s">
        <v>1553</v>
      </c>
      <c r="C230" s="6" t="s">
        <v>37</v>
      </c>
      <c r="D230" s="6">
        <v>13.406</v>
      </c>
      <c r="E230" s="8">
        <v>396647</v>
      </c>
      <c r="F230" s="8">
        <v>308905</v>
      </c>
      <c r="G230" s="6">
        <v>1</v>
      </c>
      <c r="H230" s="8">
        <v>7286</v>
      </c>
      <c r="I230" s="6">
        <v>124.8</v>
      </c>
      <c r="J230" s="6">
        <v>4</v>
      </c>
      <c r="K230" s="6">
        <v>5.13</v>
      </c>
      <c r="L230" s="6">
        <v>9.69</v>
      </c>
      <c r="M230" s="6">
        <v>12.6</v>
      </c>
      <c r="N230" s="6">
        <v>45</v>
      </c>
    </row>
    <row r="231" hidden="1" spans="1:14">
      <c r="A231" s="4" t="s">
        <v>1615</v>
      </c>
      <c r="B231" s="5" t="s">
        <v>1553</v>
      </c>
      <c r="C231" s="6" t="s">
        <v>36</v>
      </c>
      <c r="D231" s="6">
        <v>12.042</v>
      </c>
      <c r="E231" s="8">
        <v>1810445</v>
      </c>
      <c r="F231" s="8">
        <v>30153</v>
      </c>
      <c r="G231" s="6">
        <v>0</v>
      </c>
      <c r="H231" s="8">
        <v>0</v>
      </c>
      <c r="I231" s="6">
        <v>118.2</v>
      </c>
      <c r="J231" s="6">
        <v>4</v>
      </c>
      <c r="K231" s="6">
        <v>6.62</v>
      </c>
      <c r="L231" s="6">
        <v>-5.78</v>
      </c>
      <c r="M231" s="6">
        <v>9.3</v>
      </c>
      <c r="N231" s="6">
        <v>6.4</v>
      </c>
    </row>
    <row r="232" hidden="1" spans="1:14">
      <c r="A232" s="4" t="s">
        <v>1616</v>
      </c>
      <c r="B232" s="5" t="s">
        <v>1553</v>
      </c>
      <c r="C232" s="6" t="s">
        <v>33</v>
      </c>
      <c r="D232" s="6">
        <v>11.08</v>
      </c>
      <c r="E232" s="8">
        <v>365326</v>
      </c>
      <c r="F232" s="8">
        <v>231768</v>
      </c>
      <c r="G232" s="6">
        <v>1</v>
      </c>
      <c r="H232" s="8">
        <v>37666</v>
      </c>
      <c r="I232" s="6">
        <v>118.2</v>
      </c>
      <c r="J232" s="6">
        <v>4.4</v>
      </c>
      <c r="K232" s="6">
        <v>6.62</v>
      </c>
      <c r="L232" s="6">
        <v>-5.78</v>
      </c>
      <c r="M232" s="6">
        <v>20.8</v>
      </c>
      <c r="N232" s="6">
        <v>-37</v>
      </c>
    </row>
    <row r="233" hidden="1" spans="1:14">
      <c r="A233" s="4" t="s">
        <v>1617</v>
      </c>
      <c r="B233" s="5" t="s">
        <v>1553</v>
      </c>
      <c r="C233" s="6" t="s">
        <v>42</v>
      </c>
      <c r="D233" s="6">
        <v>11.468</v>
      </c>
      <c r="E233" s="8">
        <v>312364</v>
      </c>
      <c r="F233" s="8">
        <v>237282</v>
      </c>
      <c r="G233" s="6">
        <v>1</v>
      </c>
      <c r="H233" s="8">
        <v>30330</v>
      </c>
      <c r="I233" s="6">
        <v>130.3</v>
      </c>
      <c r="J233" s="6">
        <v>4.9</v>
      </c>
      <c r="K233" s="6">
        <v>6.7</v>
      </c>
      <c r="L233" s="6">
        <v>6.99</v>
      </c>
      <c r="M233" s="6">
        <v>6.6</v>
      </c>
      <c r="N233" s="6">
        <v>5.6</v>
      </c>
    </row>
    <row r="234" hidden="1" spans="1:14">
      <c r="A234" s="4" t="s">
        <v>1618</v>
      </c>
      <c r="B234" s="5" t="s">
        <v>1553</v>
      </c>
      <c r="C234" s="6" t="s">
        <v>40</v>
      </c>
      <c r="D234" s="6">
        <v>10.912</v>
      </c>
      <c r="E234" s="8">
        <v>1802958</v>
      </c>
      <c r="F234" s="8">
        <v>89422</v>
      </c>
      <c r="G234" s="6">
        <v>0</v>
      </c>
      <c r="H234" s="8">
        <v>0</v>
      </c>
      <c r="I234" s="6">
        <v>124.8</v>
      </c>
      <c r="J234" s="6">
        <v>4</v>
      </c>
      <c r="K234" s="6">
        <v>5.13</v>
      </c>
      <c r="L234" s="6">
        <v>9.69</v>
      </c>
      <c r="M234" s="6">
        <v>8.2</v>
      </c>
      <c r="N234" s="6">
        <v>1.65</v>
      </c>
    </row>
    <row r="235" hidden="1" spans="1:14">
      <c r="A235" s="4" t="s">
        <v>1619</v>
      </c>
      <c r="B235" s="5" t="s">
        <v>1553</v>
      </c>
      <c r="C235" s="6" t="s">
        <v>33</v>
      </c>
      <c r="D235" s="6">
        <v>11.17</v>
      </c>
      <c r="E235" s="8">
        <v>656719</v>
      </c>
      <c r="F235" s="8">
        <v>3192</v>
      </c>
      <c r="G235" s="6">
        <v>0</v>
      </c>
      <c r="H235" s="8">
        <v>0</v>
      </c>
      <c r="I235" s="6">
        <v>118.2</v>
      </c>
      <c r="J235" s="6">
        <v>4.4</v>
      </c>
      <c r="K235" s="6">
        <v>6.62</v>
      </c>
      <c r="L235" s="6">
        <v>-5.78</v>
      </c>
      <c r="M235" s="6">
        <v>20.8</v>
      </c>
      <c r="N235" s="6">
        <v>-37</v>
      </c>
    </row>
    <row r="236" hidden="1" spans="1:14">
      <c r="A236" s="4" t="s">
        <v>1620</v>
      </c>
      <c r="B236" s="5" t="s">
        <v>1553</v>
      </c>
      <c r="C236" s="6" t="s">
        <v>42</v>
      </c>
      <c r="D236" s="6">
        <v>13.101</v>
      </c>
      <c r="E236" s="8">
        <v>1244639</v>
      </c>
      <c r="F236" s="8">
        <v>31873</v>
      </c>
      <c r="G236" s="6">
        <v>0</v>
      </c>
      <c r="H236" s="8">
        <v>0</v>
      </c>
      <c r="I236" s="6">
        <v>130.3</v>
      </c>
      <c r="J236" s="6">
        <v>4.9</v>
      </c>
      <c r="K236" s="6">
        <v>6.7</v>
      </c>
      <c r="L236" s="6">
        <v>6.99</v>
      </c>
      <c r="M236" s="6">
        <v>6.6</v>
      </c>
      <c r="N236" s="6">
        <v>5.6</v>
      </c>
    </row>
    <row r="237" hidden="1" spans="1:14">
      <c r="A237" s="4" t="s">
        <v>1621</v>
      </c>
      <c r="B237" s="5" t="s">
        <v>1553</v>
      </c>
      <c r="C237" s="6" t="s">
        <v>48</v>
      </c>
      <c r="D237" s="6">
        <v>14.928</v>
      </c>
      <c r="E237" s="8">
        <v>485933</v>
      </c>
      <c r="F237" s="8">
        <v>14093</v>
      </c>
      <c r="G237" s="6">
        <v>0</v>
      </c>
      <c r="H237" s="8">
        <v>0</v>
      </c>
      <c r="I237" s="6">
        <v>134.7</v>
      </c>
      <c r="J237" s="6">
        <v>6.5</v>
      </c>
      <c r="K237" s="6">
        <v>5.65</v>
      </c>
      <c r="L237" s="6">
        <v>8.15</v>
      </c>
      <c r="M237" s="6">
        <v>6.7</v>
      </c>
      <c r="N237" s="6">
        <v>5</v>
      </c>
    </row>
    <row r="238" hidden="1" spans="1:14">
      <c r="A238" s="4" t="s">
        <v>1622</v>
      </c>
      <c r="B238" s="5" t="s">
        <v>1553</v>
      </c>
      <c r="C238" s="6" t="s">
        <v>42</v>
      </c>
      <c r="D238" s="6">
        <v>13.165</v>
      </c>
      <c r="E238" s="8">
        <v>1088079</v>
      </c>
      <c r="F238" s="8">
        <v>18305</v>
      </c>
      <c r="G238" s="6">
        <v>0</v>
      </c>
      <c r="H238" s="8">
        <v>0</v>
      </c>
      <c r="I238" s="6">
        <v>130.3</v>
      </c>
      <c r="J238" s="6">
        <v>4.9</v>
      </c>
      <c r="K238" s="6">
        <v>6.7</v>
      </c>
      <c r="L238" s="6">
        <v>6.99</v>
      </c>
      <c r="M238" s="6">
        <v>6.6</v>
      </c>
      <c r="N238" s="6">
        <v>5.6</v>
      </c>
    </row>
    <row r="239" hidden="1" spans="1:14">
      <c r="A239" s="4" t="s">
        <v>1623</v>
      </c>
      <c r="B239" s="5" t="s">
        <v>1553</v>
      </c>
      <c r="C239" s="6" t="s">
        <v>31</v>
      </c>
      <c r="D239" s="6">
        <v>11.363</v>
      </c>
      <c r="E239" s="8">
        <v>239202</v>
      </c>
      <c r="F239" s="8">
        <v>6807</v>
      </c>
      <c r="G239" s="6">
        <v>0</v>
      </c>
      <c r="H239" s="8">
        <v>0</v>
      </c>
      <c r="I239" s="6">
        <v>121.5</v>
      </c>
      <c r="J239" s="6">
        <v>5.4</v>
      </c>
      <c r="K239" s="6">
        <v>3.73</v>
      </c>
      <c r="L239" s="6">
        <v>3.87</v>
      </c>
      <c r="M239" s="6">
        <v>7.8</v>
      </c>
      <c r="N239" s="6">
        <v>0.7</v>
      </c>
    </row>
    <row r="240" hidden="1" spans="1:14">
      <c r="A240" s="4" t="s">
        <v>1624</v>
      </c>
      <c r="B240" s="5" t="s">
        <v>1553</v>
      </c>
      <c r="C240" s="6" t="s">
        <v>35</v>
      </c>
      <c r="D240" s="6">
        <v>12.879</v>
      </c>
      <c r="E240" s="8">
        <v>72868</v>
      </c>
      <c r="F240" s="8">
        <v>1983</v>
      </c>
      <c r="G240" s="6">
        <v>0</v>
      </c>
      <c r="H240" s="8">
        <v>0</v>
      </c>
      <c r="I240" s="6">
        <v>118.2</v>
      </c>
      <c r="J240" s="6">
        <v>4</v>
      </c>
      <c r="K240" s="6">
        <v>6.62</v>
      </c>
      <c r="L240" s="6">
        <v>-5.78</v>
      </c>
      <c r="M240" s="6">
        <v>10.3</v>
      </c>
      <c r="N240" s="6">
        <v>-1.6</v>
      </c>
    </row>
    <row r="241" hidden="1" spans="1:14">
      <c r="A241" s="4" t="s">
        <v>1625</v>
      </c>
      <c r="B241" s="5" t="s">
        <v>1553</v>
      </c>
      <c r="C241" s="6" t="s">
        <v>39</v>
      </c>
      <c r="D241" s="6">
        <v>13.804</v>
      </c>
      <c r="E241" s="8">
        <v>56196</v>
      </c>
      <c r="F241" s="8">
        <v>2764</v>
      </c>
      <c r="G241" s="6">
        <v>0</v>
      </c>
      <c r="H241" s="8">
        <v>0</v>
      </c>
      <c r="I241" s="6">
        <v>124.8</v>
      </c>
      <c r="J241" s="6">
        <v>4</v>
      </c>
      <c r="K241" s="6">
        <v>5.13</v>
      </c>
      <c r="L241" s="6">
        <v>9.69</v>
      </c>
      <c r="M241" s="6">
        <v>8.7</v>
      </c>
      <c r="N241" s="6">
        <v>2.1</v>
      </c>
    </row>
    <row r="242" hidden="1" spans="1:14">
      <c r="A242" s="4" t="s">
        <v>1626</v>
      </c>
      <c r="B242" s="5" t="s">
        <v>1553</v>
      </c>
      <c r="C242" s="6" t="s">
        <v>44</v>
      </c>
      <c r="D242" s="6">
        <v>12.783</v>
      </c>
      <c r="E242" s="8">
        <v>876648</v>
      </c>
      <c r="F242" s="8">
        <v>20746</v>
      </c>
      <c r="G242" s="6">
        <v>0</v>
      </c>
      <c r="H242" s="8">
        <v>0</v>
      </c>
      <c r="I242" s="6">
        <v>130.3</v>
      </c>
      <c r="J242" s="6">
        <v>6.25</v>
      </c>
      <c r="K242" s="6">
        <v>6.7</v>
      </c>
      <c r="L242" s="6">
        <v>6.99</v>
      </c>
      <c r="M242" s="6">
        <v>6.7</v>
      </c>
      <c r="N242" s="6">
        <v>1.8</v>
      </c>
    </row>
    <row r="243" hidden="1" spans="1:14">
      <c r="A243" s="4" t="s">
        <v>1627</v>
      </c>
      <c r="B243" s="5" t="s">
        <v>1553</v>
      </c>
      <c r="C243" s="6" t="s">
        <v>46</v>
      </c>
      <c r="D243" s="6">
        <v>13.459</v>
      </c>
      <c r="E243" s="8">
        <v>215840</v>
      </c>
      <c r="F243" s="8">
        <v>4447</v>
      </c>
      <c r="G243" s="6">
        <v>0</v>
      </c>
      <c r="H243" s="8">
        <v>0</v>
      </c>
      <c r="I243" s="6">
        <v>134.7</v>
      </c>
      <c r="J243" s="6">
        <v>6.5</v>
      </c>
      <c r="K243" s="6">
        <v>5.65</v>
      </c>
      <c r="L243" s="6">
        <v>8.15</v>
      </c>
      <c r="M243" s="6">
        <v>6.6</v>
      </c>
      <c r="N243" s="6">
        <v>9.7</v>
      </c>
    </row>
    <row r="244" hidden="1" spans="1:14">
      <c r="A244" s="4" t="s">
        <v>1628</v>
      </c>
      <c r="B244" s="5" t="s">
        <v>1553</v>
      </c>
      <c r="C244" s="6" t="s">
        <v>29</v>
      </c>
      <c r="D244" s="6">
        <v>11.828</v>
      </c>
      <c r="E244" s="8">
        <v>247815</v>
      </c>
      <c r="F244" s="8">
        <v>648</v>
      </c>
      <c r="G244" s="6">
        <v>0</v>
      </c>
      <c r="H244" s="8">
        <v>0</v>
      </c>
      <c r="I244" s="6">
        <v>121.5</v>
      </c>
      <c r="J244" s="6">
        <v>6</v>
      </c>
      <c r="K244" s="6">
        <v>3.73</v>
      </c>
      <c r="L244" s="6">
        <v>3.87</v>
      </c>
      <c r="M244" s="6">
        <v>7</v>
      </c>
      <c r="N244" s="6">
        <v>3.6</v>
      </c>
    </row>
    <row r="245" hidden="1" spans="1:14">
      <c r="A245" s="4" t="s">
        <v>1629</v>
      </c>
      <c r="B245" s="5" t="s">
        <v>1553</v>
      </c>
      <c r="C245" s="6" t="s">
        <v>72</v>
      </c>
      <c r="D245" s="6">
        <v>13.265</v>
      </c>
      <c r="E245" s="8">
        <v>919390</v>
      </c>
      <c r="F245" s="8">
        <v>33044</v>
      </c>
      <c r="G245" s="6">
        <v>0</v>
      </c>
      <c r="H245" s="8">
        <v>0</v>
      </c>
      <c r="I245" s="6">
        <v>120</v>
      </c>
      <c r="J245" s="6">
        <v>6.5</v>
      </c>
      <c r="K245" s="6">
        <v>4.87</v>
      </c>
      <c r="L245" s="6">
        <v>6.5</v>
      </c>
      <c r="M245" s="6">
        <v>6.5</v>
      </c>
      <c r="N245" s="6">
        <v>4</v>
      </c>
    </row>
    <row r="246" hidden="1" spans="1:14">
      <c r="A246" s="4" t="s">
        <v>1630</v>
      </c>
      <c r="B246" s="5" t="s">
        <v>1553</v>
      </c>
      <c r="C246" s="6" t="s">
        <v>36</v>
      </c>
      <c r="D246" s="6">
        <v>11.176</v>
      </c>
      <c r="E246" s="8">
        <v>530460</v>
      </c>
      <c r="F246" s="8">
        <v>413506</v>
      </c>
      <c r="G246" s="6">
        <v>1</v>
      </c>
      <c r="H246" s="8">
        <v>76175</v>
      </c>
      <c r="I246" s="6">
        <v>118.2</v>
      </c>
      <c r="J246" s="6">
        <v>4</v>
      </c>
      <c r="K246" s="6">
        <v>6.62</v>
      </c>
      <c r="L246" s="6">
        <v>-5.78</v>
      </c>
      <c r="M246" s="6">
        <v>9.3</v>
      </c>
      <c r="N246" s="6">
        <v>6.4</v>
      </c>
    </row>
    <row r="247" hidden="1" spans="1:14">
      <c r="A247" s="4" t="s">
        <v>1631</v>
      </c>
      <c r="B247" s="5" t="s">
        <v>1553</v>
      </c>
      <c r="C247" s="6" t="s">
        <v>29</v>
      </c>
      <c r="D247" s="6">
        <v>12.261</v>
      </c>
      <c r="E247" s="8">
        <v>1076623</v>
      </c>
      <c r="F247" s="8">
        <v>50424</v>
      </c>
      <c r="G247" s="6">
        <v>0</v>
      </c>
      <c r="H247" s="8">
        <v>0</v>
      </c>
      <c r="I247" s="6">
        <v>121.5</v>
      </c>
      <c r="J247" s="6">
        <v>6</v>
      </c>
      <c r="K247" s="6">
        <v>3.73</v>
      </c>
      <c r="L247" s="6">
        <v>3.87</v>
      </c>
      <c r="M247" s="6">
        <v>7</v>
      </c>
      <c r="N247" s="6">
        <v>3.6</v>
      </c>
    </row>
    <row r="248" hidden="1" spans="1:14">
      <c r="A248" s="4" t="s">
        <v>1632</v>
      </c>
      <c r="B248" s="5" t="s">
        <v>1553</v>
      </c>
      <c r="C248" s="6" t="s">
        <v>31</v>
      </c>
      <c r="D248" s="6">
        <v>13.058</v>
      </c>
      <c r="E248" s="8">
        <v>56404</v>
      </c>
      <c r="F248" s="8">
        <v>2652</v>
      </c>
      <c r="G248" s="6">
        <v>0</v>
      </c>
      <c r="H248" s="8">
        <v>0</v>
      </c>
      <c r="I248" s="6">
        <v>121.5</v>
      </c>
      <c r="J248" s="6">
        <v>5.4</v>
      </c>
      <c r="K248" s="6">
        <v>3.73</v>
      </c>
      <c r="L248" s="6">
        <v>3.87</v>
      </c>
      <c r="M248" s="6">
        <v>7.8</v>
      </c>
      <c r="N248" s="6">
        <v>0.7</v>
      </c>
    </row>
    <row r="249" hidden="1" spans="1:14">
      <c r="A249" s="4" t="s">
        <v>1633</v>
      </c>
      <c r="B249" s="5" t="s">
        <v>1553</v>
      </c>
      <c r="C249" s="6" t="s">
        <v>31</v>
      </c>
      <c r="D249" s="6">
        <v>11.94</v>
      </c>
      <c r="E249" s="8">
        <v>732097</v>
      </c>
      <c r="F249" s="8">
        <v>549348</v>
      </c>
      <c r="G249" s="6">
        <v>1</v>
      </c>
      <c r="H249" s="8">
        <v>42868</v>
      </c>
      <c r="I249" s="6">
        <v>121.5</v>
      </c>
      <c r="J249" s="6">
        <v>5.4</v>
      </c>
      <c r="K249" s="6">
        <v>3.73</v>
      </c>
      <c r="L249" s="6">
        <v>3.87</v>
      </c>
      <c r="M249" s="6">
        <v>7.8</v>
      </c>
      <c r="N249" s="6">
        <v>0.7</v>
      </c>
    </row>
    <row r="250" hidden="1" spans="1:14">
      <c r="A250" s="4" t="s">
        <v>1634</v>
      </c>
      <c r="B250" s="5" t="s">
        <v>1553</v>
      </c>
      <c r="C250" s="6" t="s">
        <v>31</v>
      </c>
      <c r="D250" s="6">
        <v>13.203</v>
      </c>
      <c r="E250" s="8">
        <v>734958</v>
      </c>
      <c r="F250" s="8">
        <v>588625</v>
      </c>
      <c r="G250" s="6">
        <v>1</v>
      </c>
      <c r="H250" s="8">
        <v>7297</v>
      </c>
      <c r="I250" s="6">
        <v>121.5</v>
      </c>
      <c r="J250" s="6">
        <v>5.4</v>
      </c>
      <c r="K250" s="6">
        <v>3.73</v>
      </c>
      <c r="L250" s="6">
        <v>3.87</v>
      </c>
      <c r="M250" s="6">
        <v>7.8</v>
      </c>
      <c r="N250" s="6">
        <v>0.7</v>
      </c>
    </row>
    <row r="251" hidden="1" spans="1:14">
      <c r="A251" s="4" t="s">
        <v>1635</v>
      </c>
      <c r="B251" s="5" t="s">
        <v>1553</v>
      </c>
      <c r="C251" s="6" t="s">
        <v>31</v>
      </c>
      <c r="D251" s="6">
        <v>11.559</v>
      </c>
      <c r="E251" s="8">
        <v>119439</v>
      </c>
      <c r="F251" s="8">
        <v>871</v>
      </c>
      <c r="G251" s="6">
        <v>0</v>
      </c>
      <c r="H251" s="8">
        <v>0</v>
      </c>
      <c r="I251" s="6">
        <v>121.5</v>
      </c>
      <c r="J251" s="6">
        <v>5.4</v>
      </c>
      <c r="K251" s="6">
        <v>3.73</v>
      </c>
      <c r="L251" s="6">
        <v>3.87</v>
      </c>
      <c r="M251" s="6">
        <v>7.8</v>
      </c>
      <c r="N251" s="6">
        <v>0.7</v>
      </c>
    </row>
    <row r="252" hidden="1" spans="1:14">
      <c r="A252" s="4" t="s">
        <v>1636</v>
      </c>
      <c r="B252" s="5" t="s">
        <v>1553</v>
      </c>
      <c r="C252" s="6" t="s">
        <v>42</v>
      </c>
      <c r="D252" s="6">
        <v>10.761</v>
      </c>
      <c r="E252" s="8">
        <v>673216</v>
      </c>
      <c r="F252" s="8">
        <v>22655</v>
      </c>
      <c r="G252" s="6">
        <v>0</v>
      </c>
      <c r="H252" s="8">
        <v>0</v>
      </c>
      <c r="I252" s="6">
        <v>130.3</v>
      </c>
      <c r="J252" s="6">
        <v>4.9</v>
      </c>
      <c r="K252" s="6">
        <v>6.7</v>
      </c>
      <c r="L252" s="6">
        <v>6.99</v>
      </c>
      <c r="M252" s="6">
        <v>6.6</v>
      </c>
      <c r="N252" s="6">
        <v>5.6</v>
      </c>
    </row>
    <row r="253" hidden="1" spans="1:14">
      <c r="A253" s="4" t="s">
        <v>1637</v>
      </c>
      <c r="B253" s="5" t="s">
        <v>1553</v>
      </c>
      <c r="C253" s="6" t="s">
        <v>38</v>
      </c>
      <c r="D253" s="6">
        <v>11.784</v>
      </c>
      <c r="E253" s="8">
        <v>269031</v>
      </c>
      <c r="F253" s="8">
        <v>9081</v>
      </c>
      <c r="G253" s="6">
        <v>0</v>
      </c>
      <c r="H253" s="8">
        <v>0</v>
      </c>
      <c r="I253" s="6">
        <v>124.8</v>
      </c>
      <c r="J253" s="6">
        <v>4</v>
      </c>
      <c r="K253" s="6">
        <v>5.13</v>
      </c>
      <c r="L253" s="6">
        <v>9.69</v>
      </c>
      <c r="M253" s="6">
        <v>9.8</v>
      </c>
      <c r="N253" s="6">
        <v>8.7</v>
      </c>
    </row>
    <row r="254" hidden="1" spans="1:14">
      <c r="A254" s="4" t="s">
        <v>1638</v>
      </c>
      <c r="B254" s="5" t="s">
        <v>1553</v>
      </c>
      <c r="C254" s="6" t="s">
        <v>45</v>
      </c>
      <c r="D254" s="6">
        <v>14.774</v>
      </c>
      <c r="E254" s="8">
        <v>784014</v>
      </c>
      <c r="F254" s="8">
        <v>23794</v>
      </c>
      <c r="G254" s="6">
        <v>0</v>
      </c>
      <c r="H254" s="8">
        <v>0</v>
      </c>
      <c r="I254" s="6">
        <v>134.7</v>
      </c>
      <c r="J254" s="6">
        <v>6.5</v>
      </c>
      <c r="K254" s="6">
        <v>5.65</v>
      </c>
      <c r="L254" s="6">
        <v>8.15</v>
      </c>
      <c r="M254" s="6">
        <v>6.6</v>
      </c>
      <c r="N254" s="6">
        <v>4.1</v>
      </c>
    </row>
    <row r="255" hidden="1" spans="1:14">
      <c r="A255" s="4" t="s">
        <v>1639</v>
      </c>
      <c r="B255" s="5" t="s">
        <v>1553</v>
      </c>
      <c r="C255" s="6" t="s">
        <v>38</v>
      </c>
      <c r="D255" s="6">
        <v>11.894</v>
      </c>
      <c r="E255" s="8">
        <v>1032854</v>
      </c>
      <c r="F255" s="8">
        <v>4800</v>
      </c>
      <c r="G255" s="6">
        <v>0</v>
      </c>
      <c r="H255" s="8">
        <v>0</v>
      </c>
      <c r="I255" s="6">
        <v>124.8</v>
      </c>
      <c r="J255" s="6">
        <v>4</v>
      </c>
      <c r="K255" s="6">
        <v>5.13</v>
      </c>
      <c r="L255" s="6">
        <v>9.69</v>
      </c>
      <c r="M255" s="6">
        <v>9.8</v>
      </c>
      <c r="N255" s="6">
        <v>8.7</v>
      </c>
    </row>
    <row r="256" hidden="1" spans="1:14">
      <c r="A256" s="4" t="s">
        <v>1640</v>
      </c>
      <c r="B256" s="5" t="s">
        <v>1553</v>
      </c>
      <c r="C256" s="6" t="s">
        <v>40</v>
      </c>
      <c r="D256" s="6">
        <v>12.655</v>
      </c>
      <c r="E256" s="8">
        <v>1653253</v>
      </c>
      <c r="F256" s="8">
        <v>68242</v>
      </c>
      <c r="G256" s="6">
        <v>0</v>
      </c>
      <c r="H256" s="8">
        <v>0</v>
      </c>
      <c r="I256" s="6">
        <v>124.8</v>
      </c>
      <c r="J256" s="6">
        <v>4</v>
      </c>
      <c r="K256" s="6">
        <v>5.13</v>
      </c>
      <c r="L256" s="6">
        <v>9.69</v>
      </c>
      <c r="M256" s="6">
        <v>8.2</v>
      </c>
      <c r="N256" s="6">
        <v>1.65</v>
      </c>
    </row>
    <row r="257" hidden="1" spans="1:14">
      <c r="A257" s="4" t="s">
        <v>1641</v>
      </c>
      <c r="B257" s="5" t="s">
        <v>1553</v>
      </c>
      <c r="C257" s="6" t="s">
        <v>37</v>
      </c>
      <c r="D257" s="6">
        <v>11.922</v>
      </c>
      <c r="E257" s="8">
        <v>180724</v>
      </c>
      <c r="F257" s="8">
        <v>467</v>
      </c>
      <c r="G257" s="6">
        <v>0</v>
      </c>
      <c r="H257" s="8">
        <v>0</v>
      </c>
      <c r="I257" s="6">
        <v>124.8</v>
      </c>
      <c r="J257" s="6">
        <v>4</v>
      </c>
      <c r="K257" s="6">
        <v>5.13</v>
      </c>
      <c r="L257" s="6">
        <v>9.69</v>
      </c>
      <c r="M257" s="6">
        <v>12.6</v>
      </c>
      <c r="N257" s="6">
        <v>45</v>
      </c>
    </row>
    <row r="258" hidden="1" spans="1:14">
      <c r="A258" s="4" t="s">
        <v>1642</v>
      </c>
      <c r="B258" s="5" t="s">
        <v>1553</v>
      </c>
      <c r="C258" s="6" t="s">
        <v>44</v>
      </c>
      <c r="D258" s="6">
        <v>13.523</v>
      </c>
      <c r="E258" s="8">
        <v>561407</v>
      </c>
      <c r="F258" s="8">
        <v>16946</v>
      </c>
      <c r="G258" s="6">
        <v>0</v>
      </c>
      <c r="H258" s="8">
        <v>0</v>
      </c>
      <c r="I258" s="6">
        <v>130.3</v>
      </c>
      <c r="J258" s="6">
        <v>6.25</v>
      </c>
      <c r="K258" s="6">
        <v>6.7</v>
      </c>
      <c r="L258" s="6">
        <v>6.99</v>
      </c>
      <c r="M258" s="6">
        <v>6.7</v>
      </c>
      <c r="N258" s="6">
        <v>1.8</v>
      </c>
    </row>
    <row r="259" hidden="1" spans="1:14">
      <c r="A259" s="4" t="s">
        <v>1643</v>
      </c>
      <c r="B259" s="5" t="s">
        <v>1553</v>
      </c>
      <c r="C259" s="6" t="s">
        <v>34</v>
      </c>
      <c r="D259" s="6">
        <v>13.231</v>
      </c>
      <c r="E259" s="8">
        <v>797886</v>
      </c>
      <c r="F259" s="8">
        <v>669510</v>
      </c>
      <c r="G259" s="6">
        <v>1</v>
      </c>
      <c r="H259" s="8">
        <v>50891</v>
      </c>
      <c r="I259" s="6">
        <v>118.2</v>
      </c>
      <c r="J259" s="6">
        <v>4</v>
      </c>
      <c r="K259" s="6">
        <v>6.62</v>
      </c>
      <c r="L259" s="6">
        <v>-5.78</v>
      </c>
      <c r="M259" s="6">
        <v>13.2</v>
      </c>
      <c r="N259" s="6">
        <v>-8.6</v>
      </c>
    </row>
    <row r="260" hidden="1" spans="1:14">
      <c r="A260" s="4" t="s">
        <v>1644</v>
      </c>
      <c r="B260" s="5" t="s">
        <v>1553</v>
      </c>
      <c r="C260" s="6" t="s">
        <v>33</v>
      </c>
      <c r="D260" s="6">
        <v>13.725</v>
      </c>
      <c r="E260" s="8">
        <v>1118642</v>
      </c>
      <c r="F260" s="8">
        <v>20827</v>
      </c>
      <c r="G260" s="6">
        <v>0</v>
      </c>
      <c r="H260" s="8">
        <v>0</v>
      </c>
      <c r="I260" s="6">
        <v>118.2</v>
      </c>
      <c r="J260" s="6">
        <v>4.4</v>
      </c>
      <c r="K260" s="6">
        <v>6.62</v>
      </c>
      <c r="L260" s="6">
        <v>-5.78</v>
      </c>
      <c r="M260" s="6">
        <v>20.8</v>
      </c>
      <c r="N260" s="6">
        <v>-37</v>
      </c>
    </row>
    <row r="261" hidden="1" spans="1:14">
      <c r="A261" s="4" t="s">
        <v>1645</v>
      </c>
      <c r="B261" s="5" t="s">
        <v>1553</v>
      </c>
      <c r="C261" s="6" t="s">
        <v>35</v>
      </c>
      <c r="D261" s="6">
        <v>13.329</v>
      </c>
      <c r="E261" s="8">
        <v>1251999</v>
      </c>
      <c r="F261" s="8">
        <v>56584</v>
      </c>
      <c r="G261" s="6">
        <v>0</v>
      </c>
      <c r="H261" s="8">
        <v>0</v>
      </c>
      <c r="I261" s="6">
        <v>118.2</v>
      </c>
      <c r="J261" s="6">
        <v>4</v>
      </c>
      <c r="K261" s="6">
        <v>6.62</v>
      </c>
      <c r="L261" s="6">
        <v>-5.78</v>
      </c>
      <c r="M261" s="6">
        <v>10.3</v>
      </c>
      <c r="N261" s="6">
        <v>-1.6</v>
      </c>
    </row>
    <row r="262" hidden="1" spans="1:14">
      <c r="A262" s="4" t="s">
        <v>1646</v>
      </c>
      <c r="B262" s="5" t="s">
        <v>1553</v>
      </c>
      <c r="C262" s="6" t="s">
        <v>41</v>
      </c>
      <c r="D262" s="6">
        <v>12.316</v>
      </c>
      <c r="E262" s="8">
        <v>967442</v>
      </c>
      <c r="F262" s="8">
        <v>13491</v>
      </c>
      <c r="G262" s="6">
        <v>0</v>
      </c>
      <c r="H262" s="8">
        <v>0</v>
      </c>
      <c r="I262" s="6">
        <v>130.3</v>
      </c>
      <c r="J262" s="6">
        <v>4</v>
      </c>
      <c r="K262" s="6">
        <v>6.7</v>
      </c>
      <c r="L262" s="6">
        <v>6.99</v>
      </c>
      <c r="M262" s="6">
        <v>6.6</v>
      </c>
      <c r="N262" s="6">
        <v>13.8</v>
      </c>
    </row>
    <row r="263" hidden="1" spans="1:14">
      <c r="A263" s="4" t="s">
        <v>1647</v>
      </c>
      <c r="B263" s="5" t="s">
        <v>1553</v>
      </c>
      <c r="C263" s="6" t="s">
        <v>29</v>
      </c>
      <c r="D263" s="6">
        <v>11.662</v>
      </c>
      <c r="E263" s="8">
        <v>400063</v>
      </c>
      <c r="F263" s="8">
        <v>17632</v>
      </c>
      <c r="G263" s="6">
        <v>0</v>
      </c>
      <c r="H263" s="8">
        <v>0</v>
      </c>
      <c r="I263" s="6">
        <v>121.5</v>
      </c>
      <c r="J263" s="6">
        <v>6</v>
      </c>
      <c r="K263" s="6">
        <v>3.73</v>
      </c>
      <c r="L263" s="6">
        <v>3.87</v>
      </c>
      <c r="M263" s="6">
        <v>7</v>
      </c>
      <c r="N263" s="6">
        <v>3.6</v>
      </c>
    </row>
    <row r="264" hidden="1" spans="1:14">
      <c r="A264" s="4" t="s">
        <v>1648</v>
      </c>
      <c r="B264" s="5" t="s">
        <v>1553</v>
      </c>
      <c r="C264" s="6" t="s">
        <v>41</v>
      </c>
      <c r="D264" s="6">
        <v>12.976</v>
      </c>
      <c r="E264" s="8">
        <v>813534</v>
      </c>
      <c r="F264" s="8">
        <v>27669</v>
      </c>
      <c r="G264" s="6">
        <v>0</v>
      </c>
      <c r="H264" s="8">
        <v>0</v>
      </c>
      <c r="I264" s="6">
        <v>130.3</v>
      </c>
      <c r="J264" s="6">
        <v>4</v>
      </c>
      <c r="K264" s="6">
        <v>6.7</v>
      </c>
      <c r="L264" s="6">
        <v>6.99</v>
      </c>
      <c r="M264" s="6">
        <v>6.6</v>
      </c>
      <c r="N264" s="6">
        <v>13.8</v>
      </c>
    </row>
    <row r="265" hidden="1" spans="1:14">
      <c r="A265" s="4" t="s">
        <v>1649</v>
      </c>
      <c r="B265" s="5" t="s">
        <v>1553</v>
      </c>
      <c r="C265" s="6" t="s">
        <v>31</v>
      </c>
      <c r="D265" s="6">
        <v>13.237</v>
      </c>
      <c r="E265" s="8">
        <v>189657</v>
      </c>
      <c r="F265" s="8">
        <v>817</v>
      </c>
      <c r="G265" s="6">
        <v>0</v>
      </c>
      <c r="H265" s="8">
        <v>0</v>
      </c>
      <c r="I265" s="6">
        <v>121.5</v>
      </c>
      <c r="J265" s="6">
        <v>5.4</v>
      </c>
      <c r="K265" s="6">
        <v>3.73</v>
      </c>
      <c r="L265" s="6">
        <v>3.87</v>
      </c>
      <c r="M265" s="6">
        <v>7.8</v>
      </c>
      <c r="N265" s="6">
        <v>0.7</v>
      </c>
    </row>
    <row r="266" hidden="1" spans="1:14">
      <c r="A266" s="4" t="s">
        <v>1650</v>
      </c>
      <c r="B266" s="5" t="s">
        <v>1553</v>
      </c>
      <c r="C266" s="6" t="s">
        <v>39</v>
      </c>
      <c r="D266" s="6">
        <v>10.53</v>
      </c>
      <c r="E266" s="8">
        <v>1036894</v>
      </c>
      <c r="F266" s="8">
        <v>22898</v>
      </c>
      <c r="G266" s="6">
        <v>0</v>
      </c>
      <c r="H266" s="8">
        <v>0</v>
      </c>
      <c r="I266" s="6">
        <v>124.8</v>
      </c>
      <c r="J266" s="6">
        <v>4</v>
      </c>
      <c r="K266" s="6">
        <v>5.13</v>
      </c>
      <c r="L266" s="6">
        <v>9.69</v>
      </c>
      <c r="M266" s="6">
        <v>8.7</v>
      </c>
      <c r="N266" s="6">
        <v>2.1</v>
      </c>
    </row>
    <row r="267" hidden="1" spans="1:14">
      <c r="A267" s="4" t="s">
        <v>1651</v>
      </c>
      <c r="B267" s="5" t="s">
        <v>1553</v>
      </c>
      <c r="C267" s="6" t="s">
        <v>30</v>
      </c>
      <c r="D267" s="6">
        <v>10.857</v>
      </c>
      <c r="E267" s="8">
        <v>1134640</v>
      </c>
      <c r="F267" s="8">
        <v>1008067</v>
      </c>
      <c r="G267" s="6">
        <v>1</v>
      </c>
      <c r="H267" s="8">
        <v>175497</v>
      </c>
      <c r="I267" s="6">
        <v>121.5</v>
      </c>
      <c r="J267" s="6">
        <v>5.75</v>
      </c>
      <c r="K267" s="6">
        <v>3.73</v>
      </c>
      <c r="L267" s="6">
        <v>3.87</v>
      </c>
      <c r="M267" s="6">
        <v>8.4</v>
      </c>
      <c r="N267" s="6">
        <v>0.6</v>
      </c>
    </row>
    <row r="268" hidden="1" spans="1:14">
      <c r="A268" s="4" t="s">
        <v>1652</v>
      </c>
      <c r="B268" s="5" t="s">
        <v>1553</v>
      </c>
      <c r="C268" s="6" t="s">
        <v>41</v>
      </c>
      <c r="D268" s="6">
        <v>13.621</v>
      </c>
      <c r="E268" s="8">
        <v>1263148</v>
      </c>
      <c r="F268" s="8">
        <v>55072</v>
      </c>
      <c r="G268" s="6">
        <v>0</v>
      </c>
      <c r="H268" s="8">
        <v>0</v>
      </c>
      <c r="I268" s="6">
        <v>130.3</v>
      </c>
      <c r="J268" s="6">
        <v>4</v>
      </c>
      <c r="K268" s="6">
        <v>6.7</v>
      </c>
      <c r="L268" s="6">
        <v>6.99</v>
      </c>
      <c r="M268" s="6">
        <v>6.6</v>
      </c>
      <c r="N268" s="6">
        <v>13.8</v>
      </c>
    </row>
    <row r="269" hidden="1" spans="1:14">
      <c r="A269" s="4" t="s">
        <v>1653</v>
      </c>
      <c r="B269" s="5" t="s">
        <v>1553</v>
      </c>
      <c r="C269" s="6" t="s">
        <v>47</v>
      </c>
      <c r="D269" s="6">
        <v>13.204</v>
      </c>
      <c r="E269" s="8">
        <v>478108</v>
      </c>
      <c r="F269" s="8">
        <v>123</v>
      </c>
      <c r="G269" s="6">
        <v>0</v>
      </c>
      <c r="H269" s="8">
        <v>0</v>
      </c>
      <c r="I269" s="6">
        <v>134.7</v>
      </c>
      <c r="J269" s="6">
        <v>6.5</v>
      </c>
      <c r="K269" s="6">
        <v>5.65</v>
      </c>
      <c r="L269" s="6">
        <v>8.15</v>
      </c>
      <c r="M269" s="6">
        <v>6.5</v>
      </c>
      <c r="N269" s="6">
        <v>3.6</v>
      </c>
    </row>
    <row r="270" hidden="1" spans="1:14">
      <c r="A270" s="4" t="s">
        <v>1654</v>
      </c>
      <c r="B270" s="5" t="s">
        <v>1553</v>
      </c>
      <c r="C270" s="6" t="s">
        <v>35</v>
      </c>
      <c r="D270" s="6">
        <v>13.501</v>
      </c>
      <c r="E270" s="8">
        <v>1128938</v>
      </c>
      <c r="F270" s="8">
        <v>643481</v>
      </c>
      <c r="G270" s="6">
        <v>1</v>
      </c>
      <c r="H270" s="8">
        <v>74866</v>
      </c>
      <c r="I270" s="6">
        <v>118.2</v>
      </c>
      <c r="J270" s="6">
        <v>4</v>
      </c>
      <c r="K270" s="6">
        <v>6.62</v>
      </c>
      <c r="L270" s="6">
        <v>-5.78</v>
      </c>
      <c r="M270" s="6">
        <v>10.3</v>
      </c>
      <c r="N270" s="6">
        <v>-1.6</v>
      </c>
    </row>
    <row r="271" hidden="1" spans="1:14">
      <c r="A271" s="4" t="s">
        <v>1655</v>
      </c>
      <c r="B271" s="5" t="s">
        <v>1553</v>
      </c>
      <c r="C271" s="6" t="s">
        <v>35</v>
      </c>
      <c r="D271" s="6">
        <v>13.525</v>
      </c>
      <c r="E271" s="8">
        <v>751235</v>
      </c>
      <c r="F271" s="8">
        <v>14547</v>
      </c>
      <c r="G271" s="6">
        <v>0</v>
      </c>
      <c r="H271" s="8">
        <v>0</v>
      </c>
      <c r="I271" s="6">
        <v>118.2</v>
      </c>
      <c r="J271" s="6">
        <v>4</v>
      </c>
      <c r="K271" s="6">
        <v>6.62</v>
      </c>
      <c r="L271" s="6">
        <v>-5.78</v>
      </c>
      <c r="M271" s="6">
        <v>10.3</v>
      </c>
      <c r="N271" s="6">
        <v>-1.6</v>
      </c>
    </row>
    <row r="272" hidden="1" spans="1:14">
      <c r="A272" s="4" t="s">
        <v>1656</v>
      </c>
      <c r="B272" s="5" t="s">
        <v>1553</v>
      </c>
      <c r="C272" s="6" t="s">
        <v>47</v>
      </c>
      <c r="D272" s="6">
        <v>10.36</v>
      </c>
      <c r="E272" s="8">
        <v>902581</v>
      </c>
      <c r="F272" s="8">
        <v>44956</v>
      </c>
      <c r="G272" s="6">
        <v>0</v>
      </c>
      <c r="H272" s="8">
        <v>0</v>
      </c>
      <c r="I272" s="6">
        <v>134.7</v>
      </c>
      <c r="J272" s="6">
        <v>6.5</v>
      </c>
      <c r="K272" s="6">
        <v>5.65</v>
      </c>
      <c r="L272" s="6">
        <v>8.15</v>
      </c>
      <c r="M272" s="6">
        <v>6.5</v>
      </c>
      <c r="N272" s="6">
        <v>3.6</v>
      </c>
    </row>
    <row r="273" hidden="1" spans="1:14">
      <c r="A273" s="4" t="s">
        <v>1657</v>
      </c>
      <c r="B273" s="5" t="s">
        <v>1553</v>
      </c>
      <c r="C273" s="6" t="s">
        <v>45</v>
      </c>
      <c r="D273" s="6">
        <v>10.015</v>
      </c>
      <c r="E273" s="8">
        <v>214562</v>
      </c>
      <c r="F273" s="8">
        <v>205</v>
      </c>
      <c r="G273" s="6">
        <v>0</v>
      </c>
      <c r="H273" s="8">
        <v>0</v>
      </c>
      <c r="I273" s="6">
        <v>134.7</v>
      </c>
      <c r="J273" s="6">
        <v>6.5</v>
      </c>
      <c r="K273" s="6">
        <v>5.65</v>
      </c>
      <c r="L273" s="6">
        <v>8.15</v>
      </c>
      <c r="M273" s="6">
        <v>6.6</v>
      </c>
      <c r="N273" s="6">
        <v>4.1</v>
      </c>
    </row>
    <row r="274" hidden="1" spans="1:14">
      <c r="A274" s="4" t="s">
        <v>1658</v>
      </c>
      <c r="B274" s="5" t="s">
        <v>1553</v>
      </c>
      <c r="C274" s="6" t="s">
        <v>36</v>
      </c>
      <c r="D274" s="6">
        <v>12.819</v>
      </c>
      <c r="E274" s="8">
        <v>622227</v>
      </c>
      <c r="F274" s="8">
        <v>22026</v>
      </c>
      <c r="G274" s="6">
        <v>0</v>
      </c>
      <c r="H274" s="8">
        <v>0</v>
      </c>
      <c r="I274" s="6">
        <v>118.2</v>
      </c>
      <c r="J274" s="6">
        <v>4</v>
      </c>
      <c r="K274" s="6">
        <v>6.62</v>
      </c>
      <c r="L274" s="6">
        <v>-5.78</v>
      </c>
      <c r="M274" s="6">
        <v>9.3</v>
      </c>
      <c r="N274" s="6">
        <v>6.4</v>
      </c>
    </row>
    <row r="275" hidden="1" spans="1:14">
      <c r="A275" s="4" t="s">
        <v>1659</v>
      </c>
      <c r="B275" s="5" t="s">
        <v>1553</v>
      </c>
      <c r="C275" s="6" t="s">
        <v>44</v>
      </c>
      <c r="D275" s="6">
        <v>11.931</v>
      </c>
      <c r="E275" s="8">
        <v>829873</v>
      </c>
      <c r="F275" s="8">
        <v>6044</v>
      </c>
      <c r="G275" s="6">
        <v>0</v>
      </c>
      <c r="H275" s="8">
        <v>0</v>
      </c>
      <c r="I275" s="6">
        <v>130.3</v>
      </c>
      <c r="J275" s="6">
        <v>6.25</v>
      </c>
      <c r="K275" s="6">
        <v>6.7</v>
      </c>
      <c r="L275" s="6">
        <v>6.99</v>
      </c>
      <c r="M275" s="6">
        <v>6.7</v>
      </c>
      <c r="N275" s="6">
        <v>1.8</v>
      </c>
    </row>
    <row r="276" hidden="1" spans="1:14">
      <c r="A276" s="4" t="s">
        <v>1660</v>
      </c>
      <c r="B276" s="5" t="s">
        <v>1553</v>
      </c>
      <c r="C276" s="6" t="s">
        <v>34</v>
      </c>
      <c r="D276" s="6">
        <v>11.985</v>
      </c>
      <c r="E276" s="8">
        <v>824688</v>
      </c>
      <c r="F276" s="8">
        <v>22502</v>
      </c>
      <c r="G276" s="6">
        <v>0</v>
      </c>
      <c r="H276" s="8">
        <v>0</v>
      </c>
      <c r="I276" s="6">
        <v>118.2</v>
      </c>
      <c r="J276" s="6">
        <v>4</v>
      </c>
      <c r="K276" s="6">
        <v>6.62</v>
      </c>
      <c r="L276" s="6">
        <v>-5.78</v>
      </c>
      <c r="M276" s="6">
        <v>13.2</v>
      </c>
      <c r="N276" s="6">
        <v>-8.6</v>
      </c>
    </row>
    <row r="277" hidden="1" spans="1:14">
      <c r="A277" s="4" t="s">
        <v>1661</v>
      </c>
      <c r="B277" s="5" t="s">
        <v>1553</v>
      </c>
      <c r="C277" s="6" t="s">
        <v>44</v>
      </c>
      <c r="D277" s="6">
        <v>13.025</v>
      </c>
      <c r="E277" s="8">
        <v>1405107</v>
      </c>
      <c r="F277" s="8">
        <v>52173</v>
      </c>
      <c r="G277" s="6">
        <v>0</v>
      </c>
      <c r="H277" s="8">
        <v>0</v>
      </c>
      <c r="I277" s="6">
        <v>130.3</v>
      </c>
      <c r="J277" s="6">
        <v>6.25</v>
      </c>
      <c r="K277" s="6">
        <v>6.7</v>
      </c>
      <c r="L277" s="6">
        <v>6.99</v>
      </c>
      <c r="M277" s="6">
        <v>6.7</v>
      </c>
      <c r="N277" s="6">
        <v>1.8</v>
      </c>
    </row>
    <row r="278" hidden="1" spans="1:14">
      <c r="A278" s="4" t="s">
        <v>1662</v>
      </c>
      <c r="B278" s="5" t="s">
        <v>1553</v>
      </c>
      <c r="C278" s="6" t="s">
        <v>30</v>
      </c>
      <c r="D278" s="6">
        <v>12.275</v>
      </c>
      <c r="E278" s="8">
        <v>535318</v>
      </c>
      <c r="F278" s="8">
        <v>12468</v>
      </c>
      <c r="G278" s="6">
        <v>0</v>
      </c>
      <c r="H278" s="8">
        <v>0</v>
      </c>
      <c r="I278" s="6">
        <v>121.5</v>
      </c>
      <c r="J278" s="6">
        <v>5.75</v>
      </c>
      <c r="K278" s="6">
        <v>3.73</v>
      </c>
      <c r="L278" s="6">
        <v>3.87</v>
      </c>
      <c r="M278" s="6">
        <v>8.4</v>
      </c>
      <c r="N278" s="6">
        <v>0.6</v>
      </c>
    </row>
    <row r="279" hidden="1" spans="1:14">
      <c r="A279" s="4" t="s">
        <v>1663</v>
      </c>
      <c r="B279" s="5" t="s">
        <v>1553</v>
      </c>
      <c r="C279" s="6" t="s">
        <v>42</v>
      </c>
      <c r="D279" s="6">
        <v>13.46</v>
      </c>
      <c r="E279" s="8">
        <v>980453</v>
      </c>
      <c r="F279" s="8">
        <v>32294</v>
      </c>
      <c r="G279" s="6">
        <v>0</v>
      </c>
      <c r="H279" s="8">
        <v>0</v>
      </c>
      <c r="I279" s="6">
        <v>130.3</v>
      </c>
      <c r="J279" s="6">
        <v>4.9</v>
      </c>
      <c r="K279" s="6">
        <v>6.7</v>
      </c>
      <c r="L279" s="6">
        <v>6.99</v>
      </c>
      <c r="M279" s="6">
        <v>6.6</v>
      </c>
      <c r="N279" s="6">
        <v>5.6</v>
      </c>
    </row>
    <row r="280" hidden="1" spans="1:14">
      <c r="A280" s="4" t="s">
        <v>1664</v>
      </c>
      <c r="B280" s="5" t="s">
        <v>1553</v>
      </c>
      <c r="C280" s="6" t="s">
        <v>33</v>
      </c>
      <c r="D280" s="6">
        <v>12.916</v>
      </c>
      <c r="E280" s="8">
        <v>1038825</v>
      </c>
      <c r="F280" s="8">
        <v>30209</v>
      </c>
      <c r="G280" s="6">
        <v>0</v>
      </c>
      <c r="H280" s="8">
        <v>0</v>
      </c>
      <c r="I280" s="6">
        <v>118.2</v>
      </c>
      <c r="J280" s="6">
        <v>4.4</v>
      </c>
      <c r="K280" s="6">
        <v>6.62</v>
      </c>
      <c r="L280" s="6">
        <v>-5.78</v>
      </c>
      <c r="M280" s="6">
        <v>20.8</v>
      </c>
      <c r="N280" s="6">
        <v>-37</v>
      </c>
    </row>
    <row r="281" hidden="1" spans="1:14">
      <c r="A281" s="4" t="s">
        <v>1665</v>
      </c>
      <c r="B281" s="5" t="s">
        <v>1553</v>
      </c>
      <c r="C281" s="6" t="s">
        <v>45</v>
      </c>
      <c r="D281" s="6">
        <v>12.271</v>
      </c>
      <c r="E281" s="8">
        <v>1129621</v>
      </c>
      <c r="F281" s="8">
        <v>12552</v>
      </c>
      <c r="G281" s="6">
        <v>0</v>
      </c>
      <c r="H281" s="8">
        <v>0</v>
      </c>
      <c r="I281" s="6">
        <v>134.7</v>
      </c>
      <c r="J281" s="6">
        <v>6.5</v>
      </c>
      <c r="K281" s="6">
        <v>5.65</v>
      </c>
      <c r="L281" s="6">
        <v>8.15</v>
      </c>
      <c r="M281" s="6">
        <v>6.6</v>
      </c>
      <c r="N281" s="6">
        <v>4.1</v>
      </c>
    </row>
    <row r="282" hidden="1" spans="1:14">
      <c r="A282" s="4" t="s">
        <v>1666</v>
      </c>
      <c r="B282" s="5" t="s">
        <v>1553</v>
      </c>
      <c r="C282" s="6" t="s">
        <v>34</v>
      </c>
      <c r="D282" s="6">
        <v>12.28</v>
      </c>
      <c r="E282" s="8">
        <v>899286</v>
      </c>
      <c r="F282" s="8">
        <v>853825</v>
      </c>
      <c r="G282" s="6">
        <v>1</v>
      </c>
      <c r="H282" s="8">
        <v>175512</v>
      </c>
      <c r="I282" s="6">
        <v>118.2</v>
      </c>
      <c r="J282" s="6">
        <v>4</v>
      </c>
      <c r="K282" s="6">
        <v>6.62</v>
      </c>
      <c r="L282" s="6">
        <v>-5.78</v>
      </c>
      <c r="M282" s="6">
        <v>13.2</v>
      </c>
      <c r="N282" s="6">
        <v>-8.6</v>
      </c>
    </row>
    <row r="283" hidden="1" spans="1:14">
      <c r="A283" s="4" t="s">
        <v>1667</v>
      </c>
      <c r="B283" s="5" t="s">
        <v>1553</v>
      </c>
      <c r="C283" s="6" t="s">
        <v>36</v>
      </c>
      <c r="D283" s="6">
        <v>12.074</v>
      </c>
      <c r="E283" s="8">
        <v>1729153</v>
      </c>
      <c r="F283" s="8">
        <v>1514774</v>
      </c>
      <c r="G283" s="6">
        <v>1</v>
      </c>
      <c r="H283" s="8">
        <v>325454</v>
      </c>
      <c r="I283" s="6">
        <v>118.2</v>
      </c>
      <c r="J283" s="6">
        <v>4</v>
      </c>
      <c r="K283" s="6">
        <v>6.62</v>
      </c>
      <c r="L283" s="6">
        <v>-5.78</v>
      </c>
      <c r="M283" s="6">
        <v>9.3</v>
      </c>
      <c r="N283" s="6">
        <v>6.4</v>
      </c>
    </row>
    <row r="284" hidden="1" spans="1:14">
      <c r="A284" s="4" t="s">
        <v>1668</v>
      </c>
      <c r="B284" s="5" t="s">
        <v>1553</v>
      </c>
      <c r="C284" s="6" t="s">
        <v>42</v>
      </c>
      <c r="D284" s="6">
        <v>14.165</v>
      </c>
      <c r="E284" s="8">
        <v>688581</v>
      </c>
      <c r="F284" s="8">
        <v>6603</v>
      </c>
      <c r="G284" s="6">
        <v>0</v>
      </c>
      <c r="H284" s="8">
        <v>0</v>
      </c>
      <c r="I284" s="6">
        <v>130.3</v>
      </c>
      <c r="J284" s="6">
        <v>4.9</v>
      </c>
      <c r="K284" s="6">
        <v>6.7</v>
      </c>
      <c r="L284" s="6">
        <v>6.99</v>
      </c>
      <c r="M284" s="6">
        <v>6.6</v>
      </c>
      <c r="N284" s="6">
        <v>5.6</v>
      </c>
    </row>
    <row r="285" hidden="1" spans="1:14">
      <c r="A285" s="4" t="s">
        <v>1669</v>
      </c>
      <c r="B285" s="5" t="s">
        <v>1553</v>
      </c>
      <c r="C285" s="6" t="s">
        <v>31</v>
      </c>
      <c r="D285" s="6">
        <v>12.805</v>
      </c>
      <c r="E285" s="8">
        <v>634674</v>
      </c>
      <c r="F285" s="8">
        <v>9147</v>
      </c>
      <c r="G285" s="6">
        <v>0</v>
      </c>
      <c r="H285" s="8">
        <v>0</v>
      </c>
      <c r="I285" s="6">
        <v>121.5</v>
      </c>
      <c r="J285" s="6">
        <v>5.4</v>
      </c>
      <c r="K285" s="6">
        <v>3.73</v>
      </c>
      <c r="L285" s="6">
        <v>3.87</v>
      </c>
      <c r="M285" s="6">
        <v>7.8</v>
      </c>
      <c r="N285" s="6">
        <v>0.7</v>
      </c>
    </row>
    <row r="286" hidden="1" spans="1:14">
      <c r="A286" s="4" t="s">
        <v>1670</v>
      </c>
      <c r="B286" s="5" t="s">
        <v>1553</v>
      </c>
      <c r="C286" s="6" t="s">
        <v>29</v>
      </c>
      <c r="D286" s="6">
        <v>13.228</v>
      </c>
      <c r="E286" s="8">
        <v>724386</v>
      </c>
      <c r="F286" s="8">
        <v>9708</v>
      </c>
      <c r="G286" s="6">
        <v>0</v>
      </c>
      <c r="H286" s="8">
        <v>0</v>
      </c>
      <c r="I286" s="6">
        <v>121.5</v>
      </c>
      <c r="J286" s="6">
        <v>6</v>
      </c>
      <c r="K286" s="6">
        <v>3.73</v>
      </c>
      <c r="L286" s="6">
        <v>3.87</v>
      </c>
      <c r="M286" s="6">
        <v>7</v>
      </c>
      <c r="N286" s="6">
        <v>3.6</v>
      </c>
    </row>
    <row r="287" hidden="1" spans="1:14">
      <c r="A287" s="4" t="s">
        <v>1671</v>
      </c>
      <c r="B287" s="5" t="s">
        <v>1553</v>
      </c>
      <c r="C287" s="6" t="s">
        <v>36</v>
      </c>
      <c r="D287" s="6">
        <v>14.297</v>
      </c>
      <c r="E287" s="8">
        <v>269010</v>
      </c>
      <c r="F287" s="8">
        <v>3601</v>
      </c>
      <c r="G287" s="6">
        <v>0</v>
      </c>
      <c r="H287" s="8">
        <v>0</v>
      </c>
      <c r="I287" s="6">
        <v>118.2</v>
      </c>
      <c r="J287" s="6">
        <v>4</v>
      </c>
      <c r="K287" s="6">
        <v>6.62</v>
      </c>
      <c r="L287" s="6">
        <v>-5.78</v>
      </c>
      <c r="M287" s="6">
        <v>9.3</v>
      </c>
      <c r="N287" s="6">
        <v>6.4</v>
      </c>
    </row>
    <row r="288" hidden="1" spans="1:14">
      <c r="A288" s="4" t="s">
        <v>1672</v>
      </c>
      <c r="B288" s="5" t="s">
        <v>1553</v>
      </c>
      <c r="C288" s="6" t="s">
        <v>43</v>
      </c>
      <c r="D288" s="6">
        <v>14.167</v>
      </c>
      <c r="E288" s="8">
        <v>195428</v>
      </c>
      <c r="F288" s="8">
        <v>3004</v>
      </c>
      <c r="G288" s="6">
        <v>0</v>
      </c>
      <c r="H288" s="8">
        <v>0</v>
      </c>
      <c r="I288" s="6">
        <v>130.3</v>
      </c>
      <c r="J288" s="6">
        <v>5.9</v>
      </c>
      <c r="K288" s="6">
        <v>6.7</v>
      </c>
      <c r="L288" s="6">
        <v>6.99</v>
      </c>
      <c r="M288" s="6">
        <v>7.2</v>
      </c>
      <c r="N288" s="6">
        <v>4.5</v>
      </c>
    </row>
    <row r="289" hidden="1" spans="1:14">
      <c r="A289" s="4" t="s">
        <v>1673</v>
      </c>
      <c r="B289" s="5" t="s">
        <v>1553</v>
      </c>
      <c r="C289" s="6" t="s">
        <v>37</v>
      </c>
      <c r="D289" s="6">
        <v>13.4</v>
      </c>
      <c r="E289" s="8">
        <v>503569</v>
      </c>
      <c r="F289" s="8">
        <v>22293</v>
      </c>
      <c r="G289" s="6">
        <v>0</v>
      </c>
      <c r="H289" s="8">
        <v>0</v>
      </c>
      <c r="I289" s="6">
        <v>124.8</v>
      </c>
      <c r="J289" s="6">
        <v>4</v>
      </c>
      <c r="K289" s="6">
        <v>5.13</v>
      </c>
      <c r="L289" s="6">
        <v>9.69</v>
      </c>
      <c r="M289" s="6">
        <v>12.6</v>
      </c>
      <c r="N289" s="6">
        <v>45</v>
      </c>
    </row>
    <row r="290" hidden="1" spans="1:14">
      <c r="A290" s="4" t="s">
        <v>1674</v>
      </c>
      <c r="B290" s="5" t="s">
        <v>1553</v>
      </c>
      <c r="C290" s="6" t="s">
        <v>47</v>
      </c>
      <c r="D290" s="6">
        <v>14.432</v>
      </c>
      <c r="E290" s="8">
        <v>342503</v>
      </c>
      <c r="F290" s="8">
        <v>1096</v>
      </c>
      <c r="G290" s="6">
        <v>0</v>
      </c>
      <c r="H290" s="8">
        <v>0</v>
      </c>
      <c r="I290" s="6">
        <v>134.7</v>
      </c>
      <c r="J290" s="6">
        <v>6.5</v>
      </c>
      <c r="K290" s="6">
        <v>5.65</v>
      </c>
      <c r="L290" s="6">
        <v>8.15</v>
      </c>
      <c r="M290" s="6">
        <v>6.5</v>
      </c>
      <c r="N290" s="6">
        <v>3.6</v>
      </c>
    </row>
    <row r="291" hidden="1" spans="1:14">
      <c r="A291" s="4" t="s">
        <v>1675</v>
      </c>
      <c r="B291" s="5" t="s">
        <v>1553</v>
      </c>
      <c r="C291" s="6" t="s">
        <v>31</v>
      </c>
      <c r="D291" s="6">
        <v>11.536</v>
      </c>
      <c r="E291" s="8">
        <v>74818</v>
      </c>
      <c r="F291" s="8">
        <v>2916</v>
      </c>
      <c r="G291" s="6">
        <v>0</v>
      </c>
      <c r="H291" s="8">
        <v>0</v>
      </c>
      <c r="I291" s="6">
        <v>121.5</v>
      </c>
      <c r="J291" s="6">
        <v>5.4</v>
      </c>
      <c r="K291" s="6">
        <v>3.73</v>
      </c>
      <c r="L291" s="6">
        <v>3.87</v>
      </c>
      <c r="M291" s="6">
        <v>7.8</v>
      </c>
      <c r="N291" s="6">
        <v>0.7</v>
      </c>
    </row>
    <row r="292" hidden="1" spans="1:14">
      <c r="A292" s="4" t="s">
        <v>1676</v>
      </c>
      <c r="B292" s="5" t="s">
        <v>1553</v>
      </c>
      <c r="C292" s="6" t="s">
        <v>42</v>
      </c>
      <c r="D292" s="6">
        <v>11.286</v>
      </c>
      <c r="E292" s="8">
        <v>1257381</v>
      </c>
      <c r="F292" s="8">
        <v>11081</v>
      </c>
      <c r="G292" s="6">
        <v>0</v>
      </c>
      <c r="H292" s="8">
        <v>0</v>
      </c>
      <c r="I292" s="6">
        <v>130.3</v>
      </c>
      <c r="J292" s="6">
        <v>4.9</v>
      </c>
      <c r="K292" s="6">
        <v>6.7</v>
      </c>
      <c r="L292" s="6">
        <v>6.99</v>
      </c>
      <c r="M292" s="6">
        <v>6.6</v>
      </c>
      <c r="N292" s="6">
        <v>5.6</v>
      </c>
    </row>
    <row r="293" hidden="1" spans="1:14">
      <c r="A293" s="4" t="s">
        <v>1677</v>
      </c>
      <c r="B293" s="5" t="s">
        <v>1553</v>
      </c>
      <c r="C293" s="6" t="s">
        <v>38</v>
      </c>
      <c r="D293" s="6">
        <v>13.689</v>
      </c>
      <c r="E293" s="8">
        <v>912496</v>
      </c>
      <c r="F293" s="8">
        <v>3998</v>
      </c>
      <c r="G293" s="6">
        <v>0</v>
      </c>
      <c r="H293" s="8">
        <v>0</v>
      </c>
      <c r="I293" s="6">
        <v>124.8</v>
      </c>
      <c r="J293" s="6">
        <v>4</v>
      </c>
      <c r="K293" s="6">
        <v>5.13</v>
      </c>
      <c r="L293" s="6">
        <v>9.69</v>
      </c>
      <c r="M293" s="6">
        <v>9.8</v>
      </c>
      <c r="N293" s="6">
        <v>8.7</v>
      </c>
    </row>
    <row r="294" hidden="1" spans="1:14">
      <c r="A294" s="4" t="s">
        <v>1678</v>
      </c>
      <c r="B294" s="5" t="s">
        <v>1553</v>
      </c>
      <c r="C294" s="6" t="s">
        <v>33</v>
      </c>
      <c r="D294" s="6">
        <v>13.437</v>
      </c>
      <c r="E294" s="8">
        <v>601654</v>
      </c>
      <c r="F294" s="8">
        <v>296083</v>
      </c>
      <c r="G294" s="6">
        <v>1</v>
      </c>
      <c r="H294" s="8">
        <v>19054</v>
      </c>
      <c r="I294" s="6">
        <v>118.2</v>
      </c>
      <c r="J294" s="6">
        <v>4.4</v>
      </c>
      <c r="K294" s="6">
        <v>6.62</v>
      </c>
      <c r="L294" s="6">
        <v>-5.78</v>
      </c>
      <c r="M294" s="6">
        <v>20.8</v>
      </c>
      <c r="N294" s="6">
        <v>-37</v>
      </c>
    </row>
    <row r="295" hidden="1" spans="1:14">
      <c r="A295" s="4" t="s">
        <v>1679</v>
      </c>
      <c r="B295" s="5" t="s">
        <v>1553</v>
      </c>
      <c r="C295" s="6" t="s">
        <v>34</v>
      </c>
      <c r="D295" s="6">
        <v>13.201</v>
      </c>
      <c r="E295" s="8">
        <v>1373149</v>
      </c>
      <c r="F295" s="8">
        <v>1294925</v>
      </c>
      <c r="G295" s="6">
        <v>1</v>
      </c>
      <c r="H295" s="8">
        <v>66383</v>
      </c>
      <c r="I295" s="6">
        <v>118.2</v>
      </c>
      <c r="J295" s="6">
        <v>4</v>
      </c>
      <c r="K295" s="6">
        <v>6.62</v>
      </c>
      <c r="L295" s="6">
        <v>-5.78</v>
      </c>
      <c r="M295" s="6">
        <v>13.2</v>
      </c>
      <c r="N295" s="6">
        <v>-8.6</v>
      </c>
    </row>
    <row r="296" hidden="1" spans="1:14">
      <c r="A296" s="4" t="s">
        <v>1680</v>
      </c>
      <c r="B296" s="5" t="s">
        <v>1553</v>
      </c>
      <c r="C296" s="6" t="s">
        <v>45</v>
      </c>
      <c r="D296" s="6">
        <v>14.77</v>
      </c>
      <c r="E296" s="8">
        <v>454527</v>
      </c>
      <c r="F296" s="8">
        <v>12280</v>
      </c>
      <c r="G296" s="6">
        <v>0</v>
      </c>
      <c r="H296" s="8">
        <v>0</v>
      </c>
      <c r="I296" s="6">
        <v>134.7</v>
      </c>
      <c r="J296" s="6">
        <v>6.5</v>
      </c>
      <c r="K296" s="6">
        <v>5.65</v>
      </c>
      <c r="L296" s="6">
        <v>8.15</v>
      </c>
      <c r="M296" s="6">
        <v>6.6</v>
      </c>
      <c r="N296" s="6">
        <v>4.1</v>
      </c>
    </row>
    <row r="297" hidden="1" spans="1:14">
      <c r="A297" s="4" t="s">
        <v>1681</v>
      </c>
      <c r="B297" s="5" t="s">
        <v>1553</v>
      </c>
      <c r="C297" s="6" t="s">
        <v>46</v>
      </c>
      <c r="D297" s="6">
        <v>12.219</v>
      </c>
      <c r="E297" s="8">
        <v>343623</v>
      </c>
      <c r="F297" s="8">
        <v>4875</v>
      </c>
      <c r="G297" s="6">
        <v>0</v>
      </c>
      <c r="H297" s="8">
        <v>0</v>
      </c>
      <c r="I297" s="6">
        <v>134.7</v>
      </c>
      <c r="J297" s="6">
        <v>6.5</v>
      </c>
      <c r="K297" s="6">
        <v>5.65</v>
      </c>
      <c r="L297" s="6">
        <v>8.15</v>
      </c>
      <c r="M297" s="6">
        <v>6.6</v>
      </c>
      <c r="N297" s="6">
        <v>9.7</v>
      </c>
    </row>
    <row r="298" hidden="1" spans="1:14">
      <c r="A298" s="4" t="s">
        <v>1682</v>
      </c>
      <c r="B298" s="5" t="s">
        <v>1553</v>
      </c>
      <c r="C298" s="6" t="s">
        <v>31</v>
      </c>
      <c r="D298" s="6">
        <v>13.021</v>
      </c>
      <c r="E298" s="8">
        <v>519566</v>
      </c>
      <c r="F298" s="8">
        <v>2900</v>
      </c>
      <c r="G298" s="6">
        <v>0</v>
      </c>
      <c r="H298" s="8">
        <v>0</v>
      </c>
      <c r="I298" s="6">
        <v>121.5</v>
      </c>
      <c r="J298" s="6">
        <v>5.4</v>
      </c>
      <c r="K298" s="6">
        <v>3.73</v>
      </c>
      <c r="L298" s="6">
        <v>3.87</v>
      </c>
      <c r="M298" s="6">
        <v>7.8</v>
      </c>
      <c r="N298" s="6">
        <v>0.7</v>
      </c>
    </row>
    <row r="299" hidden="1" spans="1:14">
      <c r="A299" s="4" t="s">
        <v>1683</v>
      </c>
      <c r="B299" s="5" t="s">
        <v>1553</v>
      </c>
      <c r="C299" s="6" t="s">
        <v>46</v>
      </c>
      <c r="D299" s="6">
        <v>11.501</v>
      </c>
      <c r="E299" s="8">
        <v>837856</v>
      </c>
      <c r="F299" s="8">
        <v>8760</v>
      </c>
      <c r="G299" s="6">
        <v>0</v>
      </c>
      <c r="H299" s="8">
        <v>0</v>
      </c>
      <c r="I299" s="6">
        <v>134.7</v>
      </c>
      <c r="J299" s="6">
        <v>6.5</v>
      </c>
      <c r="K299" s="6">
        <v>5.65</v>
      </c>
      <c r="L299" s="6">
        <v>8.15</v>
      </c>
      <c r="M299" s="6">
        <v>6.6</v>
      </c>
      <c r="N299" s="6">
        <v>9.7</v>
      </c>
    </row>
    <row r="300" hidden="1" spans="1:14">
      <c r="A300" s="4" t="s">
        <v>1684</v>
      </c>
      <c r="B300" s="5" t="s">
        <v>1553</v>
      </c>
      <c r="C300" s="6" t="s">
        <v>42</v>
      </c>
      <c r="D300" s="6">
        <v>11.316</v>
      </c>
      <c r="E300" s="8">
        <v>1122036</v>
      </c>
      <c r="F300" s="8">
        <v>41123</v>
      </c>
      <c r="G300" s="6">
        <v>0</v>
      </c>
      <c r="H300" s="8">
        <v>0</v>
      </c>
      <c r="I300" s="6">
        <v>130.3</v>
      </c>
      <c r="J300" s="6">
        <v>4.9</v>
      </c>
      <c r="K300" s="6">
        <v>6.7</v>
      </c>
      <c r="L300" s="6">
        <v>6.99</v>
      </c>
      <c r="M300" s="6">
        <v>6.6</v>
      </c>
      <c r="N300" s="6">
        <v>5.6</v>
      </c>
    </row>
    <row r="301" hidden="1" spans="1:14">
      <c r="A301" s="4" t="s">
        <v>1685</v>
      </c>
      <c r="B301" s="5" t="s">
        <v>1553</v>
      </c>
      <c r="C301" s="6" t="s">
        <v>42</v>
      </c>
      <c r="D301" s="6">
        <v>14.544</v>
      </c>
      <c r="E301" s="8">
        <v>926745</v>
      </c>
      <c r="F301" s="8">
        <v>13404</v>
      </c>
      <c r="G301" s="6">
        <v>0</v>
      </c>
      <c r="H301" s="8">
        <v>0</v>
      </c>
      <c r="I301" s="6">
        <v>130.3</v>
      </c>
      <c r="J301" s="6">
        <v>4.9</v>
      </c>
      <c r="K301" s="6">
        <v>6.7</v>
      </c>
      <c r="L301" s="6">
        <v>6.99</v>
      </c>
      <c r="M301" s="6">
        <v>6.6</v>
      </c>
      <c r="N301" s="6">
        <v>5.6</v>
      </c>
    </row>
    <row r="302" hidden="1" spans="1:14">
      <c r="A302" s="4" t="s">
        <v>1686</v>
      </c>
      <c r="B302" s="5" t="s">
        <v>1553</v>
      </c>
      <c r="C302" s="6" t="s">
        <v>37</v>
      </c>
      <c r="D302" s="6">
        <v>10.435</v>
      </c>
      <c r="E302" s="8">
        <v>149039</v>
      </c>
      <c r="F302" s="8">
        <v>873</v>
      </c>
      <c r="G302" s="6">
        <v>0</v>
      </c>
      <c r="H302" s="8">
        <v>0</v>
      </c>
      <c r="I302" s="6">
        <v>124.8</v>
      </c>
      <c r="J302" s="6">
        <v>4</v>
      </c>
      <c r="K302" s="6">
        <v>5.13</v>
      </c>
      <c r="L302" s="6">
        <v>9.69</v>
      </c>
      <c r="M302" s="6">
        <v>12.6</v>
      </c>
      <c r="N302" s="6">
        <v>45</v>
      </c>
    </row>
    <row r="303" hidden="1" spans="1:14">
      <c r="A303" s="4" t="s">
        <v>1687</v>
      </c>
      <c r="B303" s="5" t="s">
        <v>1553</v>
      </c>
      <c r="C303" s="6" t="s">
        <v>36</v>
      </c>
      <c r="D303" s="6">
        <v>10.258</v>
      </c>
      <c r="E303" s="8">
        <v>1012313</v>
      </c>
      <c r="F303" s="8">
        <v>28128</v>
      </c>
      <c r="G303" s="6">
        <v>0</v>
      </c>
      <c r="H303" s="8">
        <v>0</v>
      </c>
      <c r="I303" s="6">
        <v>118.2</v>
      </c>
      <c r="J303" s="6">
        <v>4</v>
      </c>
      <c r="K303" s="6">
        <v>6.62</v>
      </c>
      <c r="L303" s="6">
        <v>-5.78</v>
      </c>
      <c r="M303" s="6">
        <v>9.3</v>
      </c>
      <c r="N303" s="6">
        <v>6.4</v>
      </c>
    </row>
    <row r="304" hidden="1" spans="1:14">
      <c r="A304" s="4" t="s">
        <v>1688</v>
      </c>
      <c r="B304" s="5" t="s">
        <v>1553</v>
      </c>
      <c r="C304" s="6" t="s">
        <v>32</v>
      </c>
      <c r="D304" s="6">
        <v>13.124</v>
      </c>
      <c r="E304" s="8">
        <v>435795</v>
      </c>
      <c r="F304" s="8">
        <v>9242</v>
      </c>
      <c r="G304" s="6">
        <v>0</v>
      </c>
      <c r="H304" s="8">
        <v>0</v>
      </c>
      <c r="I304" s="6">
        <v>121.5</v>
      </c>
      <c r="J304" s="6">
        <v>5.15</v>
      </c>
      <c r="K304" s="6">
        <v>3.73</v>
      </c>
      <c r="L304" s="6">
        <v>3.87</v>
      </c>
      <c r="M304" s="6">
        <v>9.1</v>
      </c>
      <c r="N304" s="6">
        <v>-16.7</v>
      </c>
    </row>
    <row r="305" hidden="1" spans="1:14">
      <c r="A305" s="4" t="s">
        <v>1689</v>
      </c>
      <c r="B305" s="5" t="s">
        <v>1553</v>
      </c>
      <c r="C305" s="6" t="s">
        <v>45</v>
      </c>
      <c r="D305" s="6">
        <v>12.961</v>
      </c>
      <c r="E305" s="8">
        <v>971836</v>
      </c>
      <c r="F305" s="8">
        <v>299000</v>
      </c>
      <c r="G305" s="6">
        <v>1</v>
      </c>
      <c r="H305" s="8">
        <v>69970</v>
      </c>
      <c r="I305" s="6">
        <v>134.7</v>
      </c>
      <c r="J305" s="6">
        <v>6.5</v>
      </c>
      <c r="K305" s="6">
        <v>5.65</v>
      </c>
      <c r="L305" s="6">
        <v>8.15</v>
      </c>
      <c r="M305" s="6">
        <v>6.6</v>
      </c>
      <c r="N305" s="6">
        <v>4.1</v>
      </c>
    </row>
    <row r="306" hidden="1" spans="1:14">
      <c r="A306" s="4" t="s">
        <v>1690</v>
      </c>
      <c r="B306" s="5" t="s">
        <v>1553</v>
      </c>
      <c r="C306" s="6" t="s">
        <v>45</v>
      </c>
      <c r="D306" s="6">
        <v>11.628</v>
      </c>
      <c r="E306" s="8">
        <v>577073</v>
      </c>
      <c r="F306" s="8">
        <v>13268</v>
      </c>
      <c r="G306" s="6">
        <v>0</v>
      </c>
      <c r="H306" s="8">
        <v>0</v>
      </c>
      <c r="I306" s="6">
        <v>134.7</v>
      </c>
      <c r="J306" s="6">
        <v>6.5</v>
      </c>
      <c r="K306" s="6">
        <v>5.65</v>
      </c>
      <c r="L306" s="6">
        <v>8.15</v>
      </c>
      <c r="M306" s="6">
        <v>6.6</v>
      </c>
      <c r="N306" s="6">
        <v>4.1</v>
      </c>
    </row>
    <row r="307" hidden="1" spans="1:14">
      <c r="A307" s="4" t="s">
        <v>1691</v>
      </c>
      <c r="B307" s="5" t="s">
        <v>1553</v>
      </c>
      <c r="C307" s="6" t="s">
        <v>29</v>
      </c>
      <c r="D307" s="6">
        <v>11.512</v>
      </c>
      <c r="E307" s="8">
        <v>867329</v>
      </c>
      <c r="F307" s="8">
        <v>29426</v>
      </c>
      <c r="G307" s="6">
        <v>0</v>
      </c>
      <c r="H307" s="8">
        <v>0</v>
      </c>
      <c r="I307" s="6">
        <v>121.5</v>
      </c>
      <c r="J307" s="6">
        <v>6</v>
      </c>
      <c r="K307" s="6">
        <v>3.73</v>
      </c>
      <c r="L307" s="6">
        <v>3.87</v>
      </c>
      <c r="M307" s="6">
        <v>7</v>
      </c>
      <c r="N307" s="6">
        <v>3.6</v>
      </c>
    </row>
    <row r="308" hidden="1" spans="1:14">
      <c r="A308" s="4" t="s">
        <v>1692</v>
      </c>
      <c r="B308" s="5" t="s">
        <v>1553</v>
      </c>
      <c r="C308" s="6" t="s">
        <v>39</v>
      </c>
      <c r="D308" s="6">
        <v>13.413</v>
      </c>
      <c r="E308" s="8">
        <v>1057971</v>
      </c>
      <c r="F308" s="8">
        <v>582290</v>
      </c>
      <c r="G308" s="6">
        <v>1</v>
      </c>
      <c r="H308" s="8">
        <v>95609</v>
      </c>
      <c r="I308" s="6">
        <v>124.8</v>
      </c>
      <c r="J308" s="6">
        <v>4</v>
      </c>
      <c r="K308" s="6">
        <v>5.13</v>
      </c>
      <c r="L308" s="6">
        <v>9.69</v>
      </c>
      <c r="M308" s="6">
        <v>8.7</v>
      </c>
      <c r="N308" s="6">
        <v>2.1</v>
      </c>
    </row>
    <row r="309" hidden="1" spans="1:14">
      <c r="A309" s="4" t="s">
        <v>1693</v>
      </c>
      <c r="B309" s="5" t="s">
        <v>1553</v>
      </c>
      <c r="C309" s="6" t="s">
        <v>29</v>
      </c>
      <c r="D309" s="6">
        <v>11.507</v>
      </c>
      <c r="E309" s="8">
        <v>1023856</v>
      </c>
      <c r="F309" s="8">
        <v>2544</v>
      </c>
      <c r="G309" s="6">
        <v>0</v>
      </c>
      <c r="H309" s="8">
        <v>0</v>
      </c>
      <c r="I309" s="6">
        <v>121.5</v>
      </c>
      <c r="J309" s="6">
        <v>6</v>
      </c>
      <c r="K309" s="6">
        <v>3.73</v>
      </c>
      <c r="L309" s="6">
        <v>3.87</v>
      </c>
      <c r="M309" s="6">
        <v>7</v>
      </c>
      <c r="N309" s="6">
        <v>3.6</v>
      </c>
    </row>
    <row r="310" hidden="1" spans="1:14">
      <c r="A310" s="4" t="s">
        <v>1694</v>
      </c>
      <c r="B310" s="5" t="s">
        <v>1553</v>
      </c>
      <c r="C310" s="6" t="s">
        <v>46</v>
      </c>
      <c r="D310" s="6">
        <v>13.625</v>
      </c>
      <c r="E310" s="8">
        <v>49410</v>
      </c>
      <c r="F310" s="8">
        <v>1060</v>
      </c>
      <c r="G310" s="6">
        <v>0</v>
      </c>
      <c r="H310" s="8">
        <v>0</v>
      </c>
      <c r="I310" s="6">
        <v>134.7</v>
      </c>
      <c r="J310" s="6">
        <v>6.5</v>
      </c>
      <c r="K310" s="6">
        <v>5.65</v>
      </c>
      <c r="L310" s="6">
        <v>8.15</v>
      </c>
      <c r="M310" s="6">
        <v>6.6</v>
      </c>
      <c r="N310" s="6">
        <v>9.7</v>
      </c>
    </row>
    <row r="311" hidden="1" spans="1:14">
      <c r="A311" s="4" t="s">
        <v>1695</v>
      </c>
      <c r="B311" s="5" t="s">
        <v>1553</v>
      </c>
      <c r="C311" s="6" t="s">
        <v>46</v>
      </c>
      <c r="D311" s="6">
        <v>14.156</v>
      </c>
      <c r="E311" s="8">
        <v>54741</v>
      </c>
      <c r="F311" s="8">
        <v>101</v>
      </c>
      <c r="G311" s="6">
        <v>0</v>
      </c>
      <c r="H311" s="8">
        <v>0</v>
      </c>
      <c r="I311" s="6">
        <v>134.7</v>
      </c>
      <c r="J311" s="6">
        <v>6.5</v>
      </c>
      <c r="K311" s="6">
        <v>5.65</v>
      </c>
      <c r="L311" s="6">
        <v>8.15</v>
      </c>
      <c r="M311" s="6">
        <v>6.6</v>
      </c>
      <c r="N311" s="6">
        <v>9.7</v>
      </c>
    </row>
    <row r="312" hidden="1" spans="1:14">
      <c r="A312" s="4" t="s">
        <v>1696</v>
      </c>
      <c r="B312" s="5" t="s">
        <v>1553</v>
      </c>
      <c r="C312" s="6" t="s">
        <v>29</v>
      </c>
      <c r="D312" s="6">
        <v>10.857</v>
      </c>
      <c r="E312" s="8">
        <v>139018</v>
      </c>
      <c r="F312" s="8">
        <v>1426</v>
      </c>
      <c r="G312" s="6">
        <v>0</v>
      </c>
      <c r="H312" s="8">
        <v>0</v>
      </c>
      <c r="I312" s="6">
        <v>121.5</v>
      </c>
      <c r="J312" s="6">
        <v>6</v>
      </c>
      <c r="K312" s="6">
        <v>3.73</v>
      </c>
      <c r="L312" s="6">
        <v>3.87</v>
      </c>
      <c r="M312" s="6">
        <v>7</v>
      </c>
      <c r="N312" s="6">
        <v>3.6</v>
      </c>
    </row>
    <row r="313" hidden="1" spans="1:14">
      <c r="A313" s="4" t="s">
        <v>1697</v>
      </c>
      <c r="B313" s="5" t="s">
        <v>1553</v>
      </c>
      <c r="C313" s="6" t="s">
        <v>43</v>
      </c>
      <c r="D313" s="6">
        <v>14.943</v>
      </c>
      <c r="E313" s="8">
        <v>887221</v>
      </c>
      <c r="F313" s="8">
        <v>29700</v>
      </c>
      <c r="G313" s="6">
        <v>0</v>
      </c>
      <c r="H313" s="8">
        <v>0</v>
      </c>
      <c r="I313" s="6">
        <v>130.3</v>
      </c>
      <c r="J313" s="6">
        <v>5.9</v>
      </c>
      <c r="K313" s="6">
        <v>6.7</v>
      </c>
      <c r="L313" s="6">
        <v>6.99</v>
      </c>
      <c r="M313" s="6">
        <v>7.2</v>
      </c>
      <c r="N313" s="6">
        <v>4.5</v>
      </c>
    </row>
    <row r="314" hidden="1" spans="1:14">
      <c r="A314" s="4" t="s">
        <v>1698</v>
      </c>
      <c r="B314" s="5" t="s">
        <v>1553</v>
      </c>
      <c r="C314" s="6" t="s">
        <v>44</v>
      </c>
      <c r="D314" s="6">
        <v>14.956</v>
      </c>
      <c r="E314" s="8">
        <v>869597</v>
      </c>
      <c r="F314" s="8">
        <v>19032</v>
      </c>
      <c r="G314" s="6">
        <v>0</v>
      </c>
      <c r="H314" s="8">
        <v>0</v>
      </c>
      <c r="I314" s="6">
        <v>130.3</v>
      </c>
      <c r="J314" s="6">
        <v>6.25</v>
      </c>
      <c r="K314" s="6">
        <v>6.7</v>
      </c>
      <c r="L314" s="6">
        <v>6.99</v>
      </c>
      <c r="M314" s="6">
        <v>6.7</v>
      </c>
      <c r="N314" s="6">
        <v>1.8</v>
      </c>
    </row>
    <row r="315" hidden="1" spans="1:14">
      <c r="A315" s="4" t="s">
        <v>1699</v>
      </c>
      <c r="B315" s="5" t="s">
        <v>1553</v>
      </c>
      <c r="C315" s="6" t="s">
        <v>30</v>
      </c>
      <c r="D315" s="6">
        <v>12.57</v>
      </c>
      <c r="E315" s="8">
        <v>1024667</v>
      </c>
      <c r="F315" s="8">
        <v>1250</v>
      </c>
      <c r="G315" s="6">
        <v>0</v>
      </c>
      <c r="H315" s="8">
        <v>0</v>
      </c>
      <c r="I315" s="6">
        <v>121.5</v>
      </c>
      <c r="J315" s="6">
        <v>5.75</v>
      </c>
      <c r="K315" s="6">
        <v>3.73</v>
      </c>
      <c r="L315" s="6">
        <v>3.87</v>
      </c>
      <c r="M315" s="6">
        <v>8.4</v>
      </c>
      <c r="N315" s="6">
        <v>0.6</v>
      </c>
    </row>
    <row r="316" hidden="1" spans="1:14">
      <c r="A316" s="4" t="s">
        <v>1700</v>
      </c>
      <c r="B316" s="5" t="s">
        <v>1553</v>
      </c>
      <c r="C316" s="6" t="s">
        <v>42</v>
      </c>
      <c r="D316" s="6">
        <v>12.663</v>
      </c>
      <c r="E316" s="8">
        <v>72047</v>
      </c>
      <c r="F316" s="8">
        <v>60284</v>
      </c>
      <c r="G316" s="6">
        <v>1</v>
      </c>
      <c r="H316" s="8">
        <v>11312</v>
      </c>
      <c r="I316" s="6">
        <v>130.3</v>
      </c>
      <c r="J316" s="6">
        <v>4.9</v>
      </c>
      <c r="K316" s="6">
        <v>6.7</v>
      </c>
      <c r="L316" s="6">
        <v>6.99</v>
      </c>
      <c r="M316" s="6">
        <v>6.6</v>
      </c>
      <c r="N316" s="6">
        <v>5.6</v>
      </c>
    </row>
    <row r="317" hidden="1" spans="1:14">
      <c r="A317" s="4" t="s">
        <v>1701</v>
      </c>
      <c r="B317" s="5" t="s">
        <v>1553</v>
      </c>
      <c r="C317" s="6" t="s">
        <v>40</v>
      </c>
      <c r="D317" s="6">
        <v>13.818</v>
      </c>
      <c r="E317" s="8">
        <v>1220850</v>
      </c>
      <c r="F317" s="8">
        <v>6367</v>
      </c>
      <c r="G317" s="6">
        <v>0</v>
      </c>
      <c r="H317" s="8">
        <v>0</v>
      </c>
      <c r="I317" s="6">
        <v>124.8</v>
      </c>
      <c r="J317" s="6">
        <v>4</v>
      </c>
      <c r="K317" s="6">
        <v>5.13</v>
      </c>
      <c r="L317" s="6">
        <v>9.69</v>
      </c>
      <c r="M317" s="6">
        <v>8.2</v>
      </c>
      <c r="N317" s="6">
        <v>1.65</v>
      </c>
    </row>
    <row r="318" hidden="1" spans="1:14">
      <c r="A318" s="4" t="s">
        <v>1702</v>
      </c>
      <c r="B318" s="5" t="s">
        <v>1553</v>
      </c>
      <c r="C318" s="6" t="s">
        <v>41</v>
      </c>
      <c r="D318" s="6">
        <v>11.017</v>
      </c>
      <c r="E318" s="8">
        <v>1190894</v>
      </c>
      <c r="F318" s="8">
        <v>17430</v>
      </c>
      <c r="G318" s="6">
        <v>0</v>
      </c>
      <c r="H318" s="8">
        <v>0</v>
      </c>
      <c r="I318" s="6">
        <v>130.3</v>
      </c>
      <c r="J318" s="6">
        <v>4</v>
      </c>
      <c r="K318" s="6">
        <v>6.7</v>
      </c>
      <c r="L318" s="6">
        <v>6.99</v>
      </c>
      <c r="M318" s="6">
        <v>6.6</v>
      </c>
      <c r="N318" s="6">
        <v>13.8</v>
      </c>
    </row>
    <row r="319" hidden="1" spans="1:14">
      <c r="A319" s="4" t="s">
        <v>1703</v>
      </c>
      <c r="B319" s="5" t="s">
        <v>1553</v>
      </c>
      <c r="C319" s="6" t="s">
        <v>45</v>
      </c>
      <c r="D319" s="6">
        <v>11.977</v>
      </c>
      <c r="E319" s="8">
        <v>511545</v>
      </c>
      <c r="F319" s="8">
        <v>15320</v>
      </c>
      <c r="G319" s="6">
        <v>0</v>
      </c>
      <c r="H319" s="8">
        <v>0</v>
      </c>
      <c r="I319" s="6">
        <v>134.7</v>
      </c>
      <c r="J319" s="6">
        <v>6.5</v>
      </c>
      <c r="K319" s="6">
        <v>5.65</v>
      </c>
      <c r="L319" s="6">
        <v>8.15</v>
      </c>
      <c r="M319" s="6">
        <v>6.6</v>
      </c>
      <c r="N319" s="6">
        <v>4.1</v>
      </c>
    </row>
    <row r="320" hidden="1" spans="1:14">
      <c r="A320" s="4" t="s">
        <v>1704</v>
      </c>
      <c r="B320" s="5" t="s">
        <v>1553</v>
      </c>
      <c r="C320" s="6" t="s">
        <v>35</v>
      </c>
      <c r="D320" s="6">
        <v>12.9</v>
      </c>
      <c r="E320" s="8">
        <v>1127958</v>
      </c>
      <c r="F320" s="8">
        <v>21253</v>
      </c>
      <c r="G320" s="6">
        <v>0</v>
      </c>
      <c r="H320" s="8">
        <v>0</v>
      </c>
      <c r="I320" s="6">
        <v>118.2</v>
      </c>
      <c r="J320" s="6">
        <v>4</v>
      </c>
      <c r="K320" s="6">
        <v>6.62</v>
      </c>
      <c r="L320" s="6">
        <v>-5.78</v>
      </c>
      <c r="M320" s="6">
        <v>10.3</v>
      </c>
      <c r="N320" s="6">
        <v>-1.6</v>
      </c>
    </row>
    <row r="321" hidden="1" spans="1:14">
      <c r="A321" s="4" t="s">
        <v>1705</v>
      </c>
      <c r="B321" s="5" t="s">
        <v>1553</v>
      </c>
      <c r="C321" s="6" t="s">
        <v>35</v>
      </c>
      <c r="D321" s="6">
        <v>13.046</v>
      </c>
      <c r="E321" s="8">
        <v>867899</v>
      </c>
      <c r="F321" s="8">
        <v>15358</v>
      </c>
      <c r="G321" s="6">
        <v>0</v>
      </c>
      <c r="H321" s="8">
        <v>0</v>
      </c>
      <c r="I321" s="6">
        <v>118.2</v>
      </c>
      <c r="J321" s="6">
        <v>4</v>
      </c>
      <c r="K321" s="6">
        <v>6.62</v>
      </c>
      <c r="L321" s="6">
        <v>-5.78</v>
      </c>
      <c r="M321" s="6">
        <v>10.3</v>
      </c>
      <c r="N321" s="6">
        <v>-1.6</v>
      </c>
    </row>
    <row r="322" hidden="1" spans="1:14">
      <c r="A322" s="4" t="s">
        <v>1706</v>
      </c>
      <c r="B322" s="5" t="s">
        <v>1553</v>
      </c>
      <c r="C322" s="6" t="s">
        <v>47</v>
      </c>
      <c r="D322" s="6">
        <v>11.535</v>
      </c>
      <c r="E322" s="8">
        <v>872209</v>
      </c>
      <c r="F322" s="8">
        <v>42111</v>
      </c>
      <c r="G322" s="6">
        <v>0</v>
      </c>
      <c r="H322" s="8">
        <v>0</v>
      </c>
      <c r="I322" s="6">
        <v>134.7</v>
      </c>
      <c r="J322" s="6">
        <v>6.5</v>
      </c>
      <c r="K322" s="6">
        <v>5.65</v>
      </c>
      <c r="L322" s="6">
        <v>8.15</v>
      </c>
      <c r="M322" s="6">
        <v>6.5</v>
      </c>
      <c r="N322" s="6">
        <v>3.6</v>
      </c>
    </row>
    <row r="323" hidden="1" spans="1:14">
      <c r="A323" s="4" t="s">
        <v>1707</v>
      </c>
      <c r="B323" s="5" t="s">
        <v>1553</v>
      </c>
      <c r="C323" s="6" t="s">
        <v>31</v>
      </c>
      <c r="D323" s="6">
        <v>13.098</v>
      </c>
      <c r="E323" s="8">
        <v>55697</v>
      </c>
      <c r="F323" s="8">
        <v>1189</v>
      </c>
      <c r="G323" s="6">
        <v>0</v>
      </c>
      <c r="H323" s="8">
        <v>0</v>
      </c>
      <c r="I323" s="6">
        <v>121.5</v>
      </c>
      <c r="J323" s="6">
        <v>5.4</v>
      </c>
      <c r="K323" s="6">
        <v>3.73</v>
      </c>
      <c r="L323" s="6">
        <v>3.87</v>
      </c>
      <c r="M323" s="6">
        <v>7.8</v>
      </c>
      <c r="N323" s="6">
        <v>0.7</v>
      </c>
    </row>
    <row r="324" hidden="1" spans="1:14">
      <c r="A324" s="4" t="s">
        <v>1708</v>
      </c>
      <c r="B324" s="5" t="s">
        <v>1553</v>
      </c>
      <c r="C324" s="6" t="s">
        <v>38</v>
      </c>
      <c r="D324" s="6">
        <v>12.22</v>
      </c>
      <c r="E324" s="8">
        <v>1903353</v>
      </c>
      <c r="F324" s="8">
        <v>22642</v>
      </c>
      <c r="G324" s="6">
        <v>0</v>
      </c>
      <c r="H324" s="8">
        <v>0</v>
      </c>
      <c r="I324" s="6">
        <v>124.8</v>
      </c>
      <c r="J324" s="6">
        <v>4</v>
      </c>
      <c r="K324" s="6">
        <v>5.13</v>
      </c>
      <c r="L324" s="6">
        <v>9.69</v>
      </c>
      <c r="M324" s="6">
        <v>9.8</v>
      </c>
      <c r="N324" s="6">
        <v>8.7</v>
      </c>
    </row>
    <row r="325" hidden="1" spans="1:14">
      <c r="A325" s="4" t="s">
        <v>1709</v>
      </c>
      <c r="B325" s="5" t="s">
        <v>1553</v>
      </c>
      <c r="C325" s="6" t="s">
        <v>40</v>
      </c>
      <c r="D325" s="6">
        <v>10.854</v>
      </c>
      <c r="E325" s="8">
        <v>260500</v>
      </c>
      <c r="F325" s="8">
        <v>6089</v>
      </c>
      <c r="G325" s="6">
        <v>0</v>
      </c>
      <c r="H325" s="8">
        <v>0</v>
      </c>
      <c r="I325" s="6">
        <v>124.8</v>
      </c>
      <c r="J325" s="6">
        <v>4</v>
      </c>
      <c r="K325" s="6">
        <v>5.13</v>
      </c>
      <c r="L325" s="6">
        <v>9.69</v>
      </c>
      <c r="M325" s="6">
        <v>8.2</v>
      </c>
      <c r="N325" s="6">
        <v>1.65</v>
      </c>
    </row>
    <row r="326" hidden="1" spans="1:14">
      <c r="A326" s="4" t="s">
        <v>1710</v>
      </c>
      <c r="B326" s="5" t="s">
        <v>1553</v>
      </c>
      <c r="C326" s="6" t="s">
        <v>35</v>
      </c>
      <c r="D326" s="6">
        <v>13.773</v>
      </c>
      <c r="E326" s="8">
        <v>208947</v>
      </c>
      <c r="F326" s="8">
        <v>9154</v>
      </c>
      <c r="G326" s="6">
        <v>0</v>
      </c>
      <c r="H326" s="8">
        <v>0</v>
      </c>
      <c r="I326" s="6">
        <v>118.2</v>
      </c>
      <c r="J326" s="6">
        <v>4</v>
      </c>
      <c r="K326" s="6">
        <v>6.62</v>
      </c>
      <c r="L326" s="6">
        <v>-5.78</v>
      </c>
      <c r="M326" s="6">
        <v>10.3</v>
      </c>
      <c r="N326" s="6">
        <v>-1.6</v>
      </c>
    </row>
    <row r="327" hidden="1" spans="1:14">
      <c r="A327" s="4" t="s">
        <v>1711</v>
      </c>
      <c r="B327" s="5" t="s">
        <v>1553</v>
      </c>
      <c r="C327" s="6" t="s">
        <v>45</v>
      </c>
      <c r="D327" s="6">
        <v>12.802</v>
      </c>
      <c r="E327" s="8">
        <v>806886</v>
      </c>
      <c r="F327" s="8">
        <v>22670</v>
      </c>
      <c r="G327" s="6">
        <v>0</v>
      </c>
      <c r="H327" s="8">
        <v>0</v>
      </c>
      <c r="I327" s="6">
        <v>134.7</v>
      </c>
      <c r="J327" s="6">
        <v>6.5</v>
      </c>
      <c r="K327" s="6">
        <v>5.65</v>
      </c>
      <c r="L327" s="6">
        <v>8.15</v>
      </c>
      <c r="M327" s="6">
        <v>6.6</v>
      </c>
      <c r="N327" s="6">
        <v>4.1</v>
      </c>
    </row>
    <row r="328" hidden="1" spans="1:14">
      <c r="A328" s="4" t="s">
        <v>1712</v>
      </c>
      <c r="B328" s="5" t="s">
        <v>1553</v>
      </c>
      <c r="C328" s="6" t="s">
        <v>29</v>
      </c>
      <c r="D328" s="6">
        <v>13.586</v>
      </c>
      <c r="E328" s="8">
        <v>750816</v>
      </c>
      <c r="F328" s="8">
        <v>11037</v>
      </c>
      <c r="G328" s="6">
        <v>0</v>
      </c>
      <c r="H328" s="8">
        <v>0</v>
      </c>
      <c r="I328" s="6">
        <v>121.5</v>
      </c>
      <c r="J328" s="6">
        <v>6</v>
      </c>
      <c r="K328" s="6">
        <v>3.73</v>
      </c>
      <c r="L328" s="6">
        <v>3.87</v>
      </c>
      <c r="M328" s="6">
        <v>7</v>
      </c>
      <c r="N328" s="6">
        <v>3.6</v>
      </c>
    </row>
    <row r="329" hidden="1" spans="1:14">
      <c r="A329" s="4" t="s">
        <v>1713</v>
      </c>
      <c r="B329" s="5" t="s">
        <v>1553</v>
      </c>
      <c r="C329" s="6" t="s">
        <v>43</v>
      </c>
      <c r="D329" s="6">
        <v>12.821</v>
      </c>
      <c r="E329" s="8">
        <v>1291521</v>
      </c>
      <c r="F329" s="8">
        <v>9510</v>
      </c>
      <c r="G329" s="6">
        <v>0</v>
      </c>
      <c r="H329" s="8">
        <v>0</v>
      </c>
      <c r="I329" s="6">
        <v>130.3</v>
      </c>
      <c r="J329" s="6">
        <v>5.9</v>
      </c>
      <c r="K329" s="6">
        <v>6.7</v>
      </c>
      <c r="L329" s="6">
        <v>6.99</v>
      </c>
      <c r="M329" s="6">
        <v>7.2</v>
      </c>
      <c r="N329" s="6">
        <v>4.5</v>
      </c>
    </row>
    <row r="330" hidden="1" spans="1:14">
      <c r="A330" s="4" t="s">
        <v>1714</v>
      </c>
      <c r="B330" s="5" t="s">
        <v>1553</v>
      </c>
      <c r="C330" s="6" t="s">
        <v>41</v>
      </c>
      <c r="D330" s="6">
        <v>12.735</v>
      </c>
      <c r="E330" s="8">
        <v>1074908</v>
      </c>
      <c r="F330" s="8">
        <v>32198</v>
      </c>
      <c r="G330" s="6">
        <v>0</v>
      </c>
      <c r="H330" s="8">
        <v>0</v>
      </c>
      <c r="I330" s="6">
        <v>130.3</v>
      </c>
      <c r="J330" s="6">
        <v>4</v>
      </c>
      <c r="K330" s="6">
        <v>6.7</v>
      </c>
      <c r="L330" s="6">
        <v>6.99</v>
      </c>
      <c r="M330" s="6">
        <v>6.6</v>
      </c>
      <c r="N330" s="6">
        <v>13.8</v>
      </c>
    </row>
    <row r="331" hidden="1" spans="1:14">
      <c r="A331" s="4" t="s">
        <v>1715</v>
      </c>
      <c r="B331" s="5" t="s">
        <v>1553</v>
      </c>
      <c r="C331" s="6" t="s">
        <v>29</v>
      </c>
      <c r="D331" s="6">
        <v>14.084</v>
      </c>
      <c r="E331" s="8">
        <v>947680</v>
      </c>
      <c r="F331" s="8">
        <v>21039</v>
      </c>
      <c r="G331" s="6">
        <v>0</v>
      </c>
      <c r="H331" s="8">
        <v>0</v>
      </c>
      <c r="I331" s="6">
        <v>121.5</v>
      </c>
      <c r="J331" s="6">
        <v>6</v>
      </c>
      <c r="K331" s="6">
        <v>3.73</v>
      </c>
      <c r="L331" s="6">
        <v>3.87</v>
      </c>
      <c r="M331" s="6">
        <v>7</v>
      </c>
      <c r="N331" s="6">
        <v>3.6</v>
      </c>
    </row>
    <row r="332" hidden="1" spans="1:14">
      <c r="A332" s="4" t="s">
        <v>1716</v>
      </c>
      <c r="B332" s="5" t="s">
        <v>1553</v>
      </c>
      <c r="C332" s="6" t="s">
        <v>40</v>
      </c>
      <c r="D332" s="6">
        <v>12.374</v>
      </c>
      <c r="E332" s="8">
        <v>973867</v>
      </c>
      <c r="F332" s="8">
        <v>40202</v>
      </c>
      <c r="G332" s="6">
        <v>0</v>
      </c>
      <c r="H332" s="8">
        <v>0</v>
      </c>
      <c r="I332" s="6">
        <v>124.8</v>
      </c>
      <c r="J332" s="6">
        <v>4</v>
      </c>
      <c r="K332" s="6">
        <v>5.13</v>
      </c>
      <c r="L332" s="6">
        <v>9.69</v>
      </c>
      <c r="M332" s="6">
        <v>8.2</v>
      </c>
      <c r="N332" s="6">
        <v>1.65</v>
      </c>
    </row>
    <row r="333" hidden="1" spans="1:14">
      <c r="A333" s="4" t="s">
        <v>1717</v>
      </c>
      <c r="B333" s="5" t="s">
        <v>1553</v>
      </c>
      <c r="C333" s="6" t="s">
        <v>30</v>
      </c>
      <c r="D333" s="6">
        <v>12.925</v>
      </c>
      <c r="E333" s="8">
        <v>516196</v>
      </c>
      <c r="F333" s="8">
        <v>11964</v>
      </c>
      <c r="G333" s="6">
        <v>0</v>
      </c>
      <c r="H333" s="8">
        <v>0</v>
      </c>
      <c r="I333" s="6">
        <v>121.5</v>
      </c>
      <c r="J333" s="6">
        <v>5.75</v>
      </c>
      <c r="K333" s="6">
        <v>3.73</v>
      </c>
      <c r="L333" s="6">
        <v>3.87</v>
      </c>
      <c r="M333" s="6">
        <v>8.4</v>
      </c>
      <c r="N333" s="6">
        <v>0.6</v>
      </c>
    </row>
    <row r="334" hidden="1" spans="1:14">
      <c r="A334" s="4" t="s">
        <v>1718</v>
      </c>
      <c r="B334" s="5" t="s">
        <v>1553</v>
      </c>
      <c r="C334" s="6" t="s">
        <v>33</v>
      </c>
      <c r="D334" s="6">
        <v>11.583</v>
      </c>
      <c r="E334" s="8">
        <v>659758</v>
      </c>
      <c r="F334" s="8">
        <v>424225</v>
      </c>
      <c r="G334" s="6">
        <v>1</v>
      </c>
      <c r="H334" s="8">
        <v>95283</v>
      </c>
      <c r="I334" s="6">
        <v>118.2</v>
      </c>
      <c r="J334" s="6">
        <v>4.4</v>
      </c>
      <c r="K334" s="6">
        <v>6.62</v>
      </c>
      <c r="L334" s="6">
        <v>-5.78</v>
      </c>
      <c r="M334" s="6">
        <v>20.8</v>
      </c>
      <c r="N334" s="6">
        <v>-37</v>
      </c>
    </row>
    <row r="335" hidden="1" spans="1:14">
      <c r="A335" s="4" t="s">
        <v>1719</v>
      </c>
      <c r="B335" s="5" t="s">
        <v>1553</v>
      </c>
      <c r="C335" s="6" t="s">
        <v>45</v>
      </c>
      <c r="D335" s="6">
        <v>13.111</v>
      </c>
      <c r="E335" s="8">
        <v>1411695</v>
      </c>
      <c r="F335" s="8">
        <v>61322</v>
      </c>
      <c r="G335" s="6">
        <v>0</v>
      </c>
      <c r="H335" s="8">
        <v>0</v>
      </c>
      <c r="I335" s="6">
        <v>134.7</v>
      </c>
      <c r="J335" s="6">
        <v>6.5</v>
      </c>
      <c r="K335" s="6">
        <v>5.65</v>
      </c>
      <c r="L335" s="6">
        <v>8.15</v>
      </c>
      <c r="M335" s="6">
        <v>6.6</v>
      </c>
      <c r="N335" s="6">
        <v>4.1</v>
      </c>
    </row>
    <row r="336" hidden="1" spans="1:14">
      <c r="A336" s="4" t="s">
        <v>1720</v>
      </c>
      <c r="B336" s="5" t="s">
        <v>1721</v>
      </c>
      <c r="C336" s="6" t="s">
        <v>36</v>
      </c>
      <c r="D336" s="6">
        <v>8.51</v>
      </c>
      <c r="E336" s="8">
        <v>11452554</v>
      </c>
      <c r="F336" s="8">
        <v>6911348</v>
      </c>
      <c r="G336" s="6">
        <v>1</v>
      </c>
      <c r="H336" s="8">
        <v>5876068</v>
      </c>
      <c r="I336" s="6">
        <v>118.2</v>
      </c>
      <c r="J336" s="6">
        <v>4</v>
      </c>
      <c r="K336" s="6">
        <v>6.62</v>
      </c>
      <c r="L336" s="6">
        <v>-5.78</v>
      </c>
      <c r="M336" s="6">
        <v>9.3</v>
      </c>
      <c r="N336" s="6">
        <v>6.4</v>
      </c>
    </row>
    <row r="337" hidden="1" spans="1:14">
      <c r="A337" s="4" t="s">
        <v>1722</v>
      </c>
      <c r="B337" s="5" t="s">
        <v>1721</v>
      </c>
      <c r="C337" s="6" t="s">
        <v>42</v>
      </c>
      <c r="D337" s="6">
        <v>8.314</v>
      </c>
      <c r="E337" s="8">
        <v>19163772</v>
      </c>
      <c r="F337" s="8">
        <v>407337</v>
      </c>
      <c r="G337" s="6">
        <v>0</v>
      </c>
      <c r="H337" s="8">
        <v>0</v>
      </c>
      <c r="I337" s="6">
        <v>130.3</v>
      </c>
      <c r="J337" s="6">
        <v>4.9</v>
      </c>
      <c r="K337" s="6">
        <v>6.7</v>
      </c>
      <c r="L337" s="6">
        <v>6.99</v>
      </c>
      <c r="M337" s="6">
        <v>6.6</v>
      </c>
      <c r="N337" s="6">
        <v>5.6</v>
      </c>
    </row>
    <row r="338" hidden="1" spans="1:14">
      <c r="A338" s="4" t="s">
        <v>1723</v>
      </c>
      <c r="B338" s="5" t="s">
        <v>1721</v>
      </c>
      <c r="C338" s="6" t="s">
        <v>72</v>
      </c>
      <c r="D338" s="6">
        <v>9.178</v>
      </c>
      <c r="E338" s="8">
        <v>19865907</v>
      </c>
      <c r="F338" s="8">
        <v>765009</v>
      </c>
      <c r="G338" s="6">
        <v>0</v>
      </c>
      <c r="H338" s="8">
        <v>0</v>
      </c>
      <c r="I338" s="6">
        <v>120</v>
      </c>
      <c r="J338" s="6">
        <v>6.5</v>
      </c>
      <c r="K338" s="6">
        <v>4.87</v>
      </c>
      <c r="L338" s="6">
        <v>6.5</v>
      </c>
      <c r="M338" s="6">
        <v>6.5</v>
      </c>
      <c r="N338" s="6">
        <v>4</v>
      </c>
    </row>
    <row r="339" hidden="1" spans="1:14">
      <c r="A339" s="4" t="s">
        <v>1724</v>
      </c>
      <c r="B339" s="5" t="s">
        <v>1721</v>
      </c>
      <c r="C339" s="6" t="s">
        <v>42</v>
      </c>
      <c r="D339" s="6">
        <v>8.166</v>
      </c>
      <c r="E339" s="8">
        <v>16622812</v>
      </c>
      <c r="F339" s="8">
        <v>577254</v>
      </c>
      <c r="G339" s="6">
        <v>0</v>
      </c>
      <c r="H339" s="8">
        <v>0</v>
      </c>
      <c r="I339" s="6">
        <v>130.3</v>
      </c>
      <c r="J339" s="6">
        <v>4.9</v>
      </c>
      <c r="K339" s="6">
        <v>6.7</v>
      </c>
      <c r="L339" s="6">
        <v>6.99</v>
      </c>
      <c r="M339" s="6">
        <v>6.6</v>
      </c>
      <c r="N339" s="6">
        <v>5.6</v>
      </c>
    </row>
    <row r="340" hidden="1" spans="1:14">
      <c r="A340" s="4" t="s">
        <v>1725</v>
      </c>
      <c r="B340" s="5" t="s">
        <v>1721</v>
      </c>
      <c r="C340" s="6" t="s">
        <v>45</v>
      </c>
      <c r="D340" s="6">
        <v>8.942</v>
      </c>
      <c r="E340" s="8">
        <v>14765588</v>
      </c>
      <c r="F340" s="8">
        <v>477935</v>
      </c>
      <c r="G340" s="6">
        <v>0</v>
      </c>
      <c r="H340" s="8">
        <v>0</v>
      </c>
      <c r="I340" s="6">
        <v>134.7</v>
      </c>
      <c r="J340" s="6">
        <v>6.5</v>
      </c>
      <c r="K340" s="6">
        <v>5.65</v>
      </c>
      <c r="L340" s="6">
        <v>8.15</v>
      </c>
      <c r="M340" s="6">
        <v>6.6</v>
      </c>
      <c r="N340" s="6">
        <v>4.1</v>
      </c>
    </row>
    <row r="341" hidden="1" spans="1:14">
      <c r="A341" s="4" t="s">
        <v>1726</v>
      </c>
      <c r="B341" s="5" t="s">
        <v>1721</v>
      </c>
      <c r="C341" s="6" t="s">
        <v>38</v>
      </c>
      <c r="D341" s="6">
        <v>8.216</v>
      </c>
      <c r="E341" s="8">
        <v>21533754</v>
      </c>
      <c r="F341" s="8">
        <v>330450</v>
      </c>
      <c r="G341" s="6">
        <v>0</v>
      </c>
      <c r="H341" s="8">
        <v>0</v>
      </c>
      <c r="I341" s="6">
        <v>124.8</v>
      </c>
      <c r="J341" s="6">
        <v>4</v>
      </c>
      <c r="K341" s="6">
        <v>5.13</v>
      </c>
      <c r="L341" s="6">
        <v>9.69</v>
      </c>
      <c r="M341" s="6">
        <v>9.8</v>
      </c>
      <c r="N341" s="6">
        <v>8.7</v>
      </c>
    </row>
    <row r="342" hidden="1" spans="1:14">
      <c r="A342" s="4" t="s">
        <v>1727</v>
      </c>
      <c r="B342" s="5" t="s">
        <v>1721</v>
      </c>
      <c r="C342" s="6" t="s">
        <v>40</v>
      </c>
      <c r="D342" s="6">
        <v>6.76</v>
      </c>
      <c r="E342" s="8">
        <v>21586180</v>
      </c>
      <c r="F342" s="8">
        <v>574938</v>
      </c>
      <c r="G342" s="6">
        <v>0</v>
      </c>
      <c r="H342" s="8">
        <v>0</v>
      </c>
      <c r="I342" s="6">
        <v>124.8</v>
      </c>
      <c r="J342" s="6">
        <v>4</v>
      </c>
      <c r="K342" s="6">
        <v>5.13</v>
      </c>
      <c r="L342" s="6">
        <v>9.69</v>
      </c>
      <c r="M342" s="6">
        <v>8.2</v>
      </c>
      <c r="N342" s="6">
        <v>1.65</v>
      </c>
    </row>
    <row r="343" hidden="1" spans="1:14">
      <c r="A343" s="4" t="s">
        <v>1728</v>
      </c>
      <c r="B343" s="5" t="s">
        <v>1721</v>
      </c>
      <c r="C343" s="6" t="s">
        <v>35</v>
      </c>
      <c r="D343" s="6">
        <v>8.335</v>
      </c>
      <c r="E343" s="8">
        <v>17610227</v>
      </c>
      <c r="F343" s="8">
        <v>747382</v>
      </c>
      <c r="G343" s="6">
        <v>0</v>
      </c>
      <c r="H343" s="8">
        <v>0</v>
      </c>
      <c r="I343" s="6">
        <v>118.2</v>
      </c>
      <c r="J343" s="6">
        <v>4</v>
      </c>
      <c r="K343" s="6">
        <v>6.62</v>
      </c>
      <c r="L343" s="6">
        <v>-5.78</v>
      </c>
      <c r="M343" s="6">
        <v>10.3</v>
      </c>
      <c r="N343" s="6">
        <v>-1.6</v>
      </c>
    </row>
    <row r="344" hidden="1" spans="1:14">
      <c r="A344" s="4" t="s">
        <v>1729</v>
      </c>
      <c r="B344" s="5" t="s">
        <v>1721</v>
      </c>
      <c r="C344" s="6" t="s">
        <v>42</v>
      </c>
      <c r="D344" s="6">
        <v>8.838</v>
      </c>
      <c r="E344" s="8">
        <v>6304567</v>
      </c>
      <c r="F344" s="8">
        <v>310890</v>
      </c>
      <c r="G344" s="6">
        <v>0</v>
      </c>
      <c r="H344" s="8">
        <v>0</v>
      </c>
      <c r="I344" s="6">
        <v>130.3</v>
      </c>
      <c r="J344" s="6">
        <v>4.9</v>
      </c>
      <c r="K344" s="6">
        <v>6.7</v>
      </c>
      <c r="L344" s="6">
        <v>6.99</v>
      </c>
      <c r="M344" s="6">
        <v>6.6</v>
      </c>
      <c r="N344" s="6">
        <v>5.6</v>
      </c>
    </row>
    <row r="345" hidden="1" spans="1:14">
      <c r="A345" s="4" t="s">
        <v>1730</v>
      </c>
      <c r="B345" s="5" t="s">
        <v>1721</v>
      </c>
      <c r="C345" s="6" t="s">
        <v>30</v>
      </c>
      <c r="D345" s="6">
        <v>7.6</v>
      </c>
      <c r="E345" s="8">
        <v>23532952</v>
      </c>
      <c r="F345" s="8">
        <v>307216</v>
      </c>
      <c r="G345" s="6">
        <v>0</v>
      </c>
      <c r="H345" s="8">
        <v>0</v>
      </c>
      <c r="I345" s="6">
        <v>121.5</v>
      </c>
      <c r="J345" s="6">
        <v>5.75</v>
      </c>
      <c r="K345" s="6">
        <v>3.73</v>
      </c>
      <c r="L345" s="6">
        <v>3.87</v>
      </c>
      <c r="M345" s="6">
        <v>8.4</v>
      </c>
      <c r="N345" s="6">
        <v>0.6</v>
      </c>
    </row>
    <row r="346" hidden="1" spans="1:14">
      <c r="A346" s="4" t="s">
        <v>1731</v>
      </c>
      <c r="B346" s="5" t="s">
        <v>1721</v>
      </c>
      <c r="C346" s="6" t="s">
        <v>33</v>
      </c>
      <c r="D346" s="6">
        <v>8.339</v>
      </c>
      <c r="E346" s="8">
        <v>6473766</v>
      </c>
      <c r="F346" s="8">
        <v>144295</v>
      </c>
      <c r="G346" s="6">
        <v>0</v>
      </c>
      <c r="H346" s="8">
        <v>0</v>
      </c>
      <c r="I346" s="6">
        <v>118.2</v>
      </c>
      <c r="J346" s="6">
        <v>4.4</v>
      </c>
      <c r="K346" s="6">
        <v>6.62</v>
      </c>
      <c r="L346" s="6">
        <v>-5.78</v>
      </c>
      <c r="M346" s="6">
        <v>20.8</v>
      </c>
      <c r="N346" s="6">
        <v>-37</v>
      </c>
    </row>
    <row r="347" hidden="1" spans="1:14">
      <c r="A347" s="4" t="s">
        <v>1732</v>
      </c>
      <c r="B347" s="5" t="s">
        <v>1721</v>
      </c>
      <c r="C347" s="6" t="s">
        <v>47</v>
      </c>
      <c r="D347" s="6">
        <v>8.89</v>
      </c>
      <c r="E347" s="8">
        <v>10486180</v>
      </c>
      <c r="F347" s="8">
        <v>485771</v>
      </c>
      <c r="G347" s="6">
        <v>0</v>
      </c>
      <c r="H347" s="8">
        <v>0</v>
      </c>
      <c r="I347" s="6">
        <v>134.7</v>
      </c>
      <c r="J347" s="6">
        <v>6.5</v>
      </c>
      <c r="K347" s="6">
        <v>5.65</v>
      </c>
      <c r="L347" s="6">
        <v>8.15</v>
      </c>
      <c r="M347" s="6">
        <v>6.5</v>
      </c>
      <c r="N347" s="6">
        <v>3.6</v>
      </c>
    </row>
    <row r="348" hidden="1" spans="1:14">
      <c r="A348" s="4" t="s">
        <v>1733</v>
      </c>
      <c r="B348" s="5" t="s">
        <v>1721</v>
      </c>
      <c r="C348" s="6" t="s">
        <v>72</v>
      </c>
      <c r="D348" s="6">
        <v>8.76</v>
      </c>
      <c r="E348" s="8">
        <v>13266186</v>
      </c>
      <c r="F348" s="8">
        <v>318787</v>
      </c>
      <c r="G348" s="6">
        <v>0</v>
      </c>
      <c r="H348" s="8">
        <v>0</v>
      </c>
      <c r="I348" s="6">
        <v>120</v>
      </c>
      <c r="J348" s="6">
        <v>6.5</v>
      </c>
      <c r="K348" s="6">
        <v>4.87</v>
      </c>
      <c r="L348" s="6">
        <v>6.5</v>
      </c>
      <c r="M348" s="6">
        <v>6.5</v>
      </c>
      <c r="N348" s="6">
        <v>4</v>
      </c>
    </row>
    <row r="349" hidden="1" spans="1:14">
      <c r="A349" s="4" t="s">
        <v>1734</v>
      </c>
      <c r="B349" s="5" t="s">
        <v>1721</v>
      </c>
      <c r="C349" s="6" t="s">
        <v>72</v>
      </c>
      <c r="D349" s="6">
        <v>8.881</v>
      </c>
      <c r="E349" s="8">
        <v>3918245</v>
      </c>
      <c r="F349" s="8">
        <v>130757</v>
      </c>
      <c r="G349" s="6">
        <v>0</v>
      </c>
      <c r="H349" s="8">
        <v>0</v>
      </c>
      <c r="I349" s="6">
        <v>120</v>
      </c>
      <c r="J349" s="6">
        <v>6.5</v>
      </c>
      <c r="K349" s="6">
        <v>4.87</v>
      </c>
      <c r="L349" s="6">
        <v>6.5</v>
      </c>
      <c r="M349" s="6">
        <v>6.5</v>
      </c>
      <c r="N349" s="6">
        <v>4</v>
      </c>
    </row>
    <row r="350" hidden="1" spans="1:14">
      <c r="A350" s="4" t="s">
        <v>1735</v>
      </c>
      <c r="B350" s="5" t="s">
        <v>1721</v>
      </c>
      <c r="C350" s="6" t="s">
        <v>48</v>
      </c>
      <c r="D350" s="6">
        <v>8.441</v>
      </c>
      <c r="E350" s="8">
        <v>8335572</v>
      </c>
      <c r="F350" s="8">
        <v>14834</v>
      </c>
      <c r="G350" s="6">
        <v>0</v>
      </c>
      <c r="H350" s="8">
        <v>0</v>
      </c>
      <c r="I350" s="6">
        <v>134.7</v>
      </c>
      <c r="J350" s="6">
        <v>6.5</v>
      </c>
      <c r="K350" s="6">
        <v>5.65</v>
      </c>
      <c r="L350" s="6">
        <v>8.15</v>
      </c>
      <c r="M350" s="6">
        <v>6.7</v>
      </c>
      <c r="N350" s="6">
        <v>5</v>
      </c>
    </row>
    <row r="351" hidden="1" spans="1:14">
      <c r="A351" s="4" t="s">
        <v>1736</v>
      </c>
      <c r="B351" s="5" t="s">
        <v>1721</v>
      </c>
      <c r="C351" s="6" t="s">
        <v>46</v>
      </c>
      <c r="D351" s="6">
        <v>9.379</v>
      </c>
      <c r="E351" s="8">
        <v>22034974</v>
      </c>
      <c r="F351" s="8">
        <v>373774</v>
      </c>
      <c r="G351" s="6">
        <v>0</v>
      </c>
      <c r="H351" s="8">
        <v>0</v>
      </c>
      <c r="I351" s="6">
        <v>134.7</v>
      </c>
      <c r="J351" s="6">
        <v>6.5</v>
      </c>
      <c r="K351" s="6">
        <v>5.65</v>
      </c>
      <c r="L351" s="6">
        <v>8.15</v>
      </c>
      <c r="M351" s="6">
        <v>6.6</v>
      </c>
      <c r="N351" s="6">
        <v>9.7</v>
      </c>
    </row>
    <row r="352" hidden="1" spans="1:14">
      <c r="A352" s="4" t="s">
        <v>1737</v>
      </c>
      <c r="B352" s="5" t="s">
        <v>1721</v>
      </c>
      <c r="C352" s="6" t="s">
        <v>34</v>
      </c>
      <c r="D352" s="6">
        <v>8.653</v>
      </c>
      <c r="E352" s="8">
        <v>15471722</v>
      </c>
      <c r="F352" s="8">
        <v>690116</v>
      </c>
      <c r="G352" s="6">
        <v>0</v>
      </c>
      <c r="H352" s="8">
        <v>0</v>
      </c>
      <c r="I352" s="6">
        <v>118.2</v>
      </c>
      <c r="J352" s="6">
        <v>4</v>
      </c>
      <c r="K352" s="6">
        <v>6.62</v>
      </c>
      <c r="L352" s="6">
        <v>-5.78</v>
      </c>
      <c r="M352" s="6">
        <v>13.2</v>
      </c>
      <c r="N352" s="6">
        <v>-8.6</v>
      </c>
    </row>
    <row r="353" hidden="1" spans="1:14">
      <c r="A353" s="4" t="s">
        <v>1738</v>
      </c>
      <c r="B353" s="5" t="s">
        <v>1721</v>
      </c>
      <c r="C353" s="6" t="s">
        <v>35</v>
      </c>
      <c r="D353" s="6">
        <v>8.463</v>
      </c>
      <c r="E353" s="8">
        <v>8264568</v>
      </c>
      <c r="F353" s="8">
        <v>6018</v>
      </c>
      <c r="G353" s="6">
        <v>0</v>
      </c>
      <c r="H353" s="8">
        <v>0</v>
      </c>
      <c r="I353" s="6">
        <v>118.2</v>
      </c>
      <c r="J353" s="6">
        <v>4</v>
      </c>
      <c r="K353" s="6">
        <v>6.62</v>
      </c>
      <c r="L353" s="6">
        <v>-5.78</v>
      </c>
      <c r="M353" s="6">
        <v>10.3</v>
      </c>
      <c r="N353" s="6">
        <v>-1.6</v>
      </c>
    </row>
    <row r="354" hidden="1" spans="1:14">
      <c r="A354" s="4" t="s">
        <v>1739</v>
      </c>
      <c r="B354" s="5" t="s">
        <v>1721</v>
      </c>
      <c r="C354" s="6" t="s">
        <v>35</v>
      </c>
      <c r="D354" s="6">
        <v>7.23</v>
      </c>
      <c r="E354" s="8">
        <v>29499046</v>
      </c>
      <c r="F354" s="8">
        <v>1099215</v>
      </c>
      <c r="G354" s="6">
        <v>0</v>
      </c>
      <c r="H354" s="8">
        <v>0</v>
      </c>
      <c r="I354" s="6">
        <v>118.2</v>
      </c>
      <c r="J354" s="6">
        <v>4</v>
      </c>
      <c r="K354" s="6">
        <v>6.62</v>
      </c>
      <c r="L354" s="6">
        <v>-5.78</v>
      </c>
      <c r="M354" s="6">
        <v>10.3</v>
      </c>
      <c r="N354" s="6">
        <v>-1.6</v>
      </c>
    </row>
    <row r="355" hidden="1" spans="1:14">
      <c r="A355" s="4" t="s">
        <v>1740</v>
      </c>
      <c r="B355" s="5" t="s">
        <v>1721</v>
      </c>
      <c r="C355" s="6" t="s">
        <v>46</v>
      </c>
      <c r="D355" s="6">
        <v>8.722</v>
      </c>
      <c r="E355" s="8">
        <v>25711776</v>
      </c>
      <c r="F355" s="8">
        <v>931165</v>
      </c>
      <c r="G355" s="6">
        <v>0</v>
      </c>
      <c r="H355" s="8">
        <v>0</v>
      </c>
      <c r="I355" s="6">
        <v>134.7</v>
      </c>
      <c r="J355" s="6">
        <v>6.5</v>
      </c>
      <c r="K355" s="6">
        <v>5.65</v>
      </c>
      <c r="L355" s="6">
        <v>8.15</v>
      </c>
      <c r="M355" s="6">
        <v>6.6</v>
      </c>
      <c r="N355" s="6">
        <v>9.7</v>
      </c>
    </row>
    <row r="356" hidden="1" spans="1:14">
      <c r="A356" s="4" t="s">
        <v>1741</v>
      </c>
      <c r="B356" s="5" t="s">
        <v>1721</v>
      </c>
      <c r="C356" s="6" t="s">
        <v>48</v>
      </c>
      <c r="D356" s="6">
        <v>8.936</v>
      </c>
      <c r="E356" s="8">
        <v>19161500</v>
      </c>
      <c r="F356" s="8">
        <v>643910</v>
      </c>
      <c r="G356" s="6">
        <v>0</v>
      </c>
      <c r="H356" s="8">
        <v>0</v>
      </c>
      <c r="I356" s="6">
        <v>134.7</v>
      </c>
      <c r="J356" s="6">
        <v>6.5</v>
      </c>
      <c r="K356" s="6">
        <v>5.65</v>
      </c>
      <c r="L356" s="6">
        <v>8.15</v>
      </c>
      <c r="M356" s="6">
        <v>6.7</v>
      </c>
      <c r="N356" s="6">
        <v>5</v>
      </c>
    </row>
    <row r="357" hidden="1" spans="1:14">
      <c r="A357" s="4" t="s">
        <v>1742</v>
      </c>
      <c r="B357" s="5" t="s">
        <v>1721</v>
      </c>
      <c r="C357" s="6" t="s">
        <v>37</v>
      </c>
      <c r="D357" s="6">
        <v>8.106</v>
      </c>
      <c r="E357" s="8">
        <v>4002666</v>
      </c>
      <c r="F357" s="8">
        <v>136743</v>
      </c>
      <c r="G357" s="6">
        <v>0</v>
      </c>
      <c r="H357" s="8">
        <v>0</v>
      </c>
      <c r="I357" s="6">
        <v>124.8</v>
      </c>
      <c r="J357" s="6">
        <v>4</v>
      </c>
      <c r="K357" s="6">
        <v>5.13</v>
      </c>
      <c r="L357" s="6">
        <v>9.69</v>
      </c>
      <c r="M357" s="6">
        <v>12.6</v>
      </c>
      <c r="N357" s="6">
        <v>45</v>
      </c>
    </row>
    <row r="358" hidden="1" spans="1:14">
      <c r="A358" s="4" t="s">
        <v>1743</v>
      </c>
      <c r="B358" s="5" t="s">
        <v>1721</v>
      </c>
      <c r="C358" s="6" t="s">
        <v>30</v>
      </c>
      <c r="D358" s="6">
        <v>8.171</v>
      </c>
      <c r="E358" s="8">
        <v>6820431</v>
      </c>
      <c r="F358" s="8">
        <v>2484922</v>
      </c>
      <c r="G358" s="6">
        <v>1</v>
      </c>
      <c r="H358" s="8">
        <v>1621256</v>
      </c>
      <c r="I358" s="6">
        <v>121.5</v>
      </c>
      <c r="J358" s="6">
        <v>5.75</v>
      </c>
      <c r="K358" s="6">
        <v>3.73</v>
      </c>
      <c r="L358" s="6">
        <v>3.87</v>
      </c>
      <c r="M358" s="6">
        <v>8.4</v>
      </c>
      <c r="N358" s="6">
        <v>0.6</v>
      </c>
    </row>
    <row r="359" hidden="1" spans="1:14">
      <c r="A359" s="4" t="s">
        <v>1744</v>
      </c>
      <c r="B359" s="5" t="s">
        <v>1721</v>
      </c>
      <c r="C359" s="6" t="s">
        <v>34</v>
      </c>
      <c r="D359" s="6">
        <v>8.351</v>
      </c>
      <c r="E359" s="8">
        <v>28017869</v>
      </c>
      <c r="F359" s="8">
        <v>1392682</v>
      </c>
      <c r="G359" s="6">
        <v>0</v>
      </c>
      <c r="H359" s="8">
        <v>0</v>
      </c>
      <c r="I359" s="6">
        <v>118.2</v>
      </c>
      <c r="J359" s="6">
        <v>4</v>
      </c>
      <c r="K359" s="6">
        <v>6.62</v>
      </c>
      <c r="L359" s="6">
        <v>-5.78</v>
      </c>
      <c r="M359" s="6">
        <v>13.2</v>
      </c>
      <c r="N359" s="6">
        <v>-8.6</v>
      </c>
    </row>
    <row r="360" hidden="1" spans="1:14">
      <c r="A360" s="4" t="s">
        <v>1745</v>
      </c>
      <c r="B360" s="5" t="s">
        <v>1721</v>
      </c>
      <c r="C360" s="6" t="s">
        <v>35</v>
      </c>
      <c r="D360" s="6">
        <v>8.37</v>
      </c>
      <c r="E360" s="8">
        <v>13280130</v>
      </c>
      <c r="F360" s="8">
        <v>568848</v>
      </c>
      <c r="G360" s="6">
        <v>0</v>
      </c>
      <c r="H360" s="8">
        <v>0</v>
      </c>
      <c r="I360" s="6">
        <v>118.2</v>
      </c>
      <c r="J360" s="6">
        <v>4</v>
      </c>
      <c r="K360" s="6">
        <v>6.62</v>
      </c>
      <c r="L360" s="6">
        <v>-5.78</v>
      </c>
      <c r="M360" s="6">
        <v>10.3</v>
      </c>
      <c r="N360" s="6">
        <v>-1.6</v>
      </c>
    </row>
    <row r="361" hidden="1" spans="1:14">
      <c r="A361" s="4" t="s">
        <v>1746</v>
      </c>
      <c r="B361" s="5" t="s">
        <v>1721</v>
      </c>
      <c r="C361" s="6" t="s">
        <v>35</v>
      </c>
      <c r="D361" s="6">
        <v>8.542</v>
      </c>
      <c r="E361" s="8">
        <v>24819621</v>
      </c>
      <c r="F361" s="8">
        <v>20975487</v>
      </c>
      <c r="G361" s="6">
        <v>1</v>
      </c>
      <c r="H361" s="8">
        <v>12886623</v>
      </c>
      <c r="I361" s="6">
        <v>118.2</v>
      </c>
      <c r="J361" s="6">
        <v>4</v>
      </c>
      <c r="K361" s="6">
        <v>6.62</v>
      </c>
      <c r="L361" s="6">
        <v>-5.78</v>
      </c>
      <c r="M361" s="6">
        <v>10.3</v>
      </c>
      <c r="N361" s="6">
        <v>-1.6</v>
      </c>
    </row>
    <row r="362" hidden="1" spans="1:14">
      <c r="A362" s="4" t="s">
        <v>1747</v>
      </c>
      <c r="B362" s="5" t="s">
        <v>1721</v>
      </c>
      <c r="C362" s="6" t="s">
        <v>44</v>
      </c>
      <c r="D362" s="6">
        <v>9.578</v>
      </c>
      <c r="E362" s="8">
        <v>19819240</v>
      </c>
      <c r="F362" s="8">
        <v>218298</v>
      </c>
      <c r="G362" s="6">
        <v>0</v>
      </c>
      <c r="H362" s="8">
        <v>0</v>
      </c>
      <c r="I362" s="6">
        <v>130.3</v>
      </c>
      <c r="J362" s="6">
        <v>6.25</v>
      </c>
      <c r="K362" s="6">
        <v>6.7</v>
      </c>
      <c r="L362" s="6">
        <v>6.99</v>
      </c>
      <c r="M362" s="6">
        <v>6.7</v>
      </c>
      <c r="N362" s="6">
        <v>1.8</v>
      </c>
    </row>
    <row r="363" hidden="1" spans="1:14">
      <c r="A363" s="4" t="s">
        <v>1748</v>
      </c>
      <c r="B363" s="5" t="s">
        <v>1721</v>
      </c>
      <c r="C363" s="6" t="s">
        <v>46</v>
      </c>
      <c r="D363" s="6">
        <v>8.871</v>
      </c>
      <c r="E363" s="8">
        <v>6842714</v>
      </c>
      <c r="F363" s="8">
        <v>202212</v>
      </c>
      <c r="G363" s="6">
        <v>0</v>
      </c>
      <c r="H363" s="8">
        <v>0</v>
      </c>
      <c r="I363" s="6">
        <v>134.7</v>
      </c>
      <c r="J363" s="6">
        <v>6.5</v>
      </c>
      <c r="K363" s="6">
        <v>5.65</v>
      </c>
      <c r="L363" s="6">
        <v>8.15</v>
      </c>
      <c r="M363" s="6">
        <v>6.6</v>
      </c>
      <c r="N363" s="6">
        <v>9.7</v>
      </c>
    </row>
    <row r="364" hidden="1" spans="1:14">
      <c r="A364" s="4" t="s">
        <v>1749</v>
      </c>
      <c r="B364" s="5" t="s">
        <v>1721</v>
      </c>
      <c r="C364" s="6" t="s">
        <v>46</v>
      </c>
      <c r="D364" s="6">
        <v>8.826</v>
      </c>
      <c r="E364" s="8">
        <v>6292597</v>
      </c>
      <c r="F364" s="8">
        <v>200420</v>
      </c>
      <c r="G364" s="6">
        <v>0</v>
      </c>
      <c r="H364" s="8">
        <v>0</v>
      </c>
      <c r="I364" s="6">
        <v>134.7</v>
      </c>
      <c r="J364" s="6">
        <v>6.5</v>
      </c>
      <c r="K364" s="6">
        <v>5.65</v>
      </c>
      <c r="L364" s="6">
        <v>8.15</v>
      </c>
      <c r="M364" s="6">
        <v>6.6</v>
      </c>
      <c r="N364" s="6">
        <v>9.7</v>
      </c>
    </row>
    <row r="365" hidden="1" spans="1:14">
      <c r="A365" s="4" t="s">
        <v>1750</v>
      </c>
      <c r="B365" s="5" t="s">
        <v>1721</v>
      </c>
      <c r="C365" s="6" t="s">
        <v>35</v>
      </c>
      <c r="D365" s="6">
        <v>8.672</v>
      </c>
      <c r="E365" s="8">
        <v>5988969</v>
      </c>
      <c r="F365" s="8">
        <v>4120014</v>
      </c>
      <c r="G365" s="6">
        <v>1</v>
      </c>
      <c r="H365" s="8">
        <v>2781718</v>
      </c>
      <c r="I365" s="6">
        <v>118.2</v>
      </c>
      <c r="J365" s="6">
        <v>4</v>
      </c>
      <c r="K365" s="6">
        <v>6.62</v>
      </c>
      <c r="L365" s="6">
        <v>-5.78</v>
      </c>
      <c r="M365" s="6">
        <v>10.3</v>
      </c>
      <c r="N365" s="6">
        <v>-1.6</v>
      </c>
    </row>
    <row r="366" hidden="1" spans="1:14">
      <c r="A366" s="4" t="s">
        <v>1751</v>
      </c>
      <c r="B366" s="5" t="s">
        <v>1721</v>
      </c>
      <c r="C366" s="6" t="s">
        <v>42</v>
      </c>
      <c r="D366" s="6">
        <v>8.4</v>
      </c>
      <c r="E366" s="8">
        <v>23947672</v>
      </c>
      <c r="F366" s="8">
        <v>806793</v>
      </c>
      <c r="G366" s="6">
        <v>0</v>
      </c>
      <c r="H366" s="8">
        <v>0</v>
      </c>
      <c r="I366" s="6">
        <v>130.3</v>
      </c>
      <c r="J366" s="6">
        <v>4.9</v>
      </c>
      <c r="K366" s="6">
        <v>6.7</v>
      </c>
      <c r="L366" s="6">
        <v>6.99</v>
      </c>
      <c r="M366" s="6">
        <v>6.6</v>
      </c>
      <c r="N366" s="6">
        <v>5.6</v>
      </c>
    </row>
    <row r="367" hidden="1" spans="1:14">
      <c r="A367" s="4" t="s">
        <v>1752</v>
      </c>
      <c r="B367" s="5" t="s">
        <v>1721</v>
      </c>
      <c r="C367" s="6" t="s">
        <v>48</v>
      </c>
      <c r="D367" s="6">
        <v>8.969</v>
      </c>
      <c r="E367" s="8">
        <v>9401393</v>
      </c>
      <c r="F367" s="8">
        <v>467370</v>
      </c>
      <c r="G367" s="6">
        <v>0</v>
      </c>
      <c r="H367" s="8">
        <v>0</v>
      </c>
      <c r="I367" s="6">
        <v>134.7</v>
      </c>
      <c r="J367" s="6">
        <v>6.5</v>
      </c>
      <c r="K367" s="6">
        <v>5.65</v>
      </c>
      <c r="L367" s="6">
        <v>8.15</v>
      </c>
      <c r="M367" s="6">
        <v>6.7</v>
      </c>
      <c r="N367" s="6">
        <v>5</v>
      </c>
    </row>
    <row r="368" hidden="1" spans="1:14">
      <c r="A368" s="4" t="s">
        <v>1753</v>
      </c>
      <c r="B368" s="5" t="s">
        <v>1721</v>
      </c>
      <c r="C368" s="6" t="s">
        <v>38</v>
      </c>
      <c r="D368" s="6">
        <v>7.756</v>
      </c>
      <c r="E368" s="8">
        <v>44966986</v>
      </c>
      <c r="F368" s="8">
        <v>396308</v>
      </c>
      <c r="G368" s="6">
        <v>0</v>
      </c>
      <c r="H368" s="8">
        <v>0</v>
      </c>
      <c r="I368" s="6">
        <v>124.8</v>
      </c>
      <c r="J368" s="6">
        <v>4</v>
      </c>
      <c r="K368" s="6">
        <v>5.13</v>
      </c>
      <c r="L368" s="6">
        <v>9.69</v>
      </c>
      <c r="M368" s="6">
        <v>9.8</v>
      </c>
      <c r="N368" s="6">
        <v>8.7</v>
      </c>
    </row>
    <row r="369" hidden="1" spans="1:14">
      <c r="A369" s="4" t="s">
        <v>1754</v>
      </c>
      <c r="B369" s="5" t="s">
        <v>1721</v>
      </c>
      <c r="C369" s="6" t="s">
        <v>43</v>
      </c>
      <c r="D369" s="6">
        <v>8.83</v>
      </c>
      <c r="E369" s="8">
        <v>23302246</v>
      </c>
      <c r="F369" s="8">
        <v>11299</v>
      </c>
      <c r="G369" s="6">
        <v>0</v>
      </c>
      <c r="H369" s="8">
        <v>0</v>
      </c>
      <c r="I369" s="6">
        <v>130.3</v>
      </c>
      <c r="J369" s="6">
        <v>5.9</v>
      </c>
      <c r="K369" s="6">
        <v>6.7</v>
      </c>
      <c r="L369" s="6">
        <v>6.99</v>
      </c>
      <c r="M369" s="6">
        <v>7.2</v>
      </c>
      <c r="N369" s="6">
        <v>4.5</v>
      </c>
    </row>
    <row r="370" hidden="1" spans="1:14">
      <c r="A370" s="4" t="s">
        <v>1755</v>
      </c>
      <c r="B370" s="5" t="s">
        <v>1721</v>
      </c>
      <c r="C370" s="6" t="s">
        <v>42</v>
      </c>
      <c r="D370" s="6">
        <v>8.348</v>
      </c>
      <c r="E370" s="8">
        <v>15215974</v>
      </c>
      <c r="F370" s="8">
        <v>530378</v>
      </c>
      <c r="G370" s="6">
        <v>0</v>
      </c>
      <c r="H370" s="8">
        <v>0</v>
      </c>
      <c r="I370" s="6">
        <v>130.3</v>
      </c>
      <c r="J370" s="6">
        <v>4.9</v>
      </c>
      <c r="K370" s="6">
        <v>6.7</v>
      </c>
      <c r="L370" s="6">
        <v>6.99</v>
      </c>
      <c r="M370" s="6">
        <v>6.6</v>
      </c>
      <c r="N370" s="6">
        <v>5.6</v>
      </c>
    </row>
    <row r="371" hidden="1" spans="1:14">
      <c r="A371" s="4" t="s">
        <v>1756</v>
      </c>
      <c r="B371" s="5" t="s">
        <v>1721</v>
      </c>
      <c r="C371" s="6" t="s">
        <v>31</v>
      </c>
      <c r="D371" s="6">
        <v>8.378</v>
      </c>
      <c r="E371" s="8">
        <v>5404482</v>
      </c>
      <c r="F371" s="8">
        <v>205009</v>
      </c>
      <c r="G371" s="6">
        <v>0</v>
      </c>
      <c r="H371" s="8">
        <v>0</v>
      </c>
      <c r="I371" s="6">
        <v>121.5</v>
      </c>
      <c r="J371" s="6">
        <v>5.4</v>
      </c>
      <c r="K371" s="6">
        <v>3.73</v>
      </c>
      <c r="L371" s="6">
        <v>3.87</v>
      </c>
      <c r="M371" s="6">
        <v>7.8</v>
      </c>
      <c r="N371" s="6">
        <v>0.7</v>
      </c>
    </row>
    <row r="372" hidden="1" spans="1:14">
      <c r="A372" s="4" t="s">
        <v>1757</v>
      </c>
      <c r="B372" s="5" t="s">
        <v>1721</v>
      </c>
      <c r="C372" s="6" t="s">
        <v>42</v>
      </c>
      <c r="D372" s="6">
        <v>8.589</v>
      </c>
      <c r="E372" s="8">
        <v>8961397</v>
      </c>
      <c r="F372" s="8">
        <v>142498</v>
      </c>
      <c r="G372" s="6">
        <v>0</v>
      </c>
      <c r="H372" s="8">
        <v>0</v>
      </c>
      <c r="I372" s="6">
        <v>130.3</v>
      </c>
      <c r="J372" s="6">
        <v>4.9</v>
      </c>
      <c r="K372" s="6">
        <v>6.7</v>
      </c>
      <c r="L372" s="6">
        <v>6.99</v>
      </c>
      <c r="M372" s="6">
        <v>6.6</v>
      </c>
      <c r="N372" s="6">
        <v>5.6</v>
      </c>
    </row>
    <row r="373" hidden="1" spans="1:14">
      <c r="A373" s="4" t="s">
        <v>1758</v>
      </c>
      <c r="B373" s="5" t="s">
        <v>1721</v>
      </c>
      <c r="C373" s="6" t="s">
        <v>37</v>
      </c>
      <c r="D373" s="6">
        <v>7.619</v>
      </c>
      <c r="E373" s="8">
        <v>21453843</v>
      </c>
      <c r="F373" s="8">
        <v>379703</v>
      </c>
      <c r="G373" s="6">
        <v>0</v>
      </c>
      <c r="H373" s="8">
        <v>0</v>
      </c>
      <c r="I373" s="6">
        <v>124.8</v>
      </c>
      <c r="J373" s="6">
        <v>4</v>
      </c>
      <c r="K373" s="6">
        <v>5.13</v>
      </c>
      <c r="L373" s="6">
        <v>9.69</v>
      </c>
      <c r="M373" s="6">
        <v>12.6</v>
      </c>
      <c r="N373" s="6">
        <v>45</v>
      </c>
    </row>
    <row r="374" hidden="1" spans="1:14">
      <c r="A374" s="4" t="s">
        <v>1759</v>
      </c>
      <c r="B374" s="5" t="s">
        <v>1721</v>
      </c>
      <c r="C374" s="6" t="s">
        <v>43</v>
      </c>
      <c r="D374" s="6">
        <v>9.134</v>
      </c>
      <c r="E374" s="8">
        <v>17119718</v>
      </c>
      <c r="F374" s="8">
        <v>454186</v>
      </c>
      <c r="G374" s="6">
        <v>0</v>
      </c>
      <c r="H374" s="8">
        <v>0</v>
      </c>
      <c r="I374" s="6">
        <v>130.3</v>
      </c>
      <c r="J374" s="6">
        <v>5.9</v>
      </c>
      <c r="K374" s="6">
        <v>6.7</v>
      </c>
      <c r="L374" s="6">
        <v>6.99</v>
      </c>
      <c r="M374" s="6">
        <v>7.2</v>
      </c>
      <c r="N374" s="6">
        <v>4.5</v>
      </c>
    </row>
    <row r="375" hidden="1" spans="1:14">
      <c r="A375" s="4" t="s">
        <v>1760</v>
      </c>
      <c r="B375" s="5" t="s">
        <v>1721</v>
      </c>
      <c r="C375" s="6" t="s">
        <v>42</v>
      </c>
      <c r="D375" s="6">
        <v>8.487</v>
      </c>
      <c r="E375" s="8">
        <v>10023233</v>
      </c>
      <c r="F375" s="8">
        <v>79955</v>
      </c>
      <c r="G375" s="6">
        <v>0</v>
      </c>
      <c r="H375" s="8">
        <v>0</v>
      </c>
      <c r="I375" s="6">
        <v>130.3</v>
      </c>
      <c r="J375" s="6">
        <v>4.9</v>
      </c>
      <c r="K375" s="6">
        <v>6.7</v>
      </c>
      <c r="L375" s="6">
        <v>6.99</v>
      </c>
      <c r="M375" s="6">
        <v>6.6</v>
      </c>
      <c r="N375" s="6">
        <v>5.6</v>
      </c>
    </row>
    <row r="376" hidden="1" spans="1:14">
      <c r="A376" s="4" t="s">
        <v>1761</v>
      </c>
      <c r="B376" s="5" t="s">
        <v>1721</v>
      </c>
      <c r="C376" s="6" t="s">
        <v>72</v>
      </c>
      <c r="D376" s="6">
        <v>7.388</v>
      </c>
      <c r="E376" s="8">
        <v>2478194</v>
      </c>
      <c r="F376" s="8">
        <v>46605</v>
      </c>
      <c r="G376" s="6">
        <v>0</v>
      </c>
      <c r="H376" s="8">
        <v>0</v>
      </c>
      <c r="I376" s="6">
        <v>120</v>
      </c>
      <c r="J376" s="6">
        <v>6.5</v>
      </c>
      <c r="K376" s="6">
        <v>4.87</v>
      </c>
      <c r="L376" s="6">
        <v>6.5</v>
      </c>
      <c r="M376" s="6">
        <v>6.5</v>
      </c>
      <c r="N376" s="6">
        <v>4</v>
      </c>
    </row>
    <row r="377" hidden="1" spans="1:14">
      <c r="A377" s="4" t="s">
        <v>1762</v>
      </c>
      <c r="B377" s="5" t="s">
        <v>1721</v>
      </c>
      <c r="C377" s="6" t="s">
        <v>30</v>
      </c>
      <c r="D377" s="6">
        <v>7.755</v>
      </c>
      <c r="E377" s="8">
        <v>15372422</v>
      </c>
      <c r="F377" s="8">
        <v>642365</v>
      </c>
      <c r="G377" s="6">
        <v>0</v>
      </c>
      <c r="H377" s="8">
        <v>0</v>
      </c>
      <c r="I377" s="6">
        <v>121.5</v>
      </c>
      <c r="J377" s="6">
        <v>5.75</v>
      </c>
      <c r="K377" s="6">
        <v>3.73</v>
      </c>
      <c r="L377" s="6">
        <v>3.87</v>
      </c>
      <c r="M377" s="6">
        <v>8.4</v>
      </c>
      <c r="N377" s="6">
        <v>0.6</v>
      </c>
    </row>
    <row r="378" hidden="1" spans="1:14">
      <c r="A378" s="4" t="s">
        <v>1763</v>
      </c>
      <c r="B378" s="5" t="s">
        <v>1721</v>
      </c>
      <c r="C378" s="6" t="s">
        <v>40</v>
      </c>
      <c r="D378" s="6">
        <v>8.287</v>
      </c>
      <c r="E378" s="8">
        <v>7415001</v>
      </c>
      <c r="F378" s="8">
        <v>275794</v>
      </c>
      <c r="G378" s="6">
        <v>0</v>
      </c>
      <c r="H378" s="8">
        <v>0</v>
      </c>
      <c r="I378" s="6">
        <v>124.8</v>
      </c>
      <c r="J378" s="6">
        <v>4</v>
      </c>
      <c r="K378" s="6">
        <v>5.13</v>
      </c>
      <c r="L378" s="6">
        <v>9.69</v>
      </c>
      <c r="M378" s="6">
        <v>8.2</v>
      </c>
      <c r="N378" s="6">
        <v>1.65</v>
      </c>
    </row>
    <row r="379" hidden="1" spans="1:14">
      <c r="A379" s="4" t="s">
        <v>1764</v>
      </c>
      <c r="B379" s="5" t="s">
        <v>1721</v>
      </c>
      <c r="C379" s="6" t="s">
        <v>30</v>
      </c>
      <c r="D379" s="6">
        <v>8.657</v>
      </c>
      <c r="E379" s="8">
        <v>19819284</v>
      </c>
      <c r="F379" s="8">
        <v>852966</v>
      </c>
      <c r="G379" s="6">
        <v>0</v>
      </c>
      <c r="H379" s="8">
        <v>0</v>
      </c>
      <c r="I379" s="6">
        <v>121.5</v>
      </c>
      <c r="J379" s="6">
        <v>5.75</v>
      </c>
      <c r="K379" s="6">
        <v>3.73</v>
      </c>
      <c r="L379" s="6">
        <v>3.87</v>
      </c>
      <c r="M379" s="6">
        <v>8.4</v>
      </c>
      <c r="N379" s="6">
        <v>0.6</v>
      </c>
    </row>
    <row r="380" hidden="1" spans="1:14">
      <c r="A380" s="4" t="s">
        <v>1765</v>
      </c>
      <c r="B380" s="5" t="s">
        <v>1721</v>
      </c>
      <c r="C380" s="6" t="s">
        <v>40</v>
      </c>
      <c r="D380" s="6">
        <v>7.434</v>
      </c>
      <c r="E380" s="8">
        <v>24368963</v>
      </c>
      <c r="F380" s="8">
        <v>27209</v>
      </c>
      <c r="G380" s="6">
        <v>0</v>
      </c>
      <c r="H380" s="8">
        <v>0</v>
      </c>
      <c r="I380" s="6">
        <v>124.8</v>
      </c>
      <c r="J380" s="6">
        <v>4</v>
      </c>
      <c r="K380" s="6">
        <v>5.13</v>
      </c>
      <c r="L380" s="6">
        <v>9.69</v>
      </c>
      <c r="M380" s="6">
        <v>8.2</v>
      </c>
      <c r="N380" s="6">
        <v>1.65</v>
      </c>
    </row>
    <row r="381" hidden="1" spans="1:14">
      <c r="A381" s="4" t="s">
        <v>1766</v>
      </c>
      <c r="B381" s="5" t="s">
        <v>1721</v>
      </c>
      <c r="C381" s="6" t="s">
        <v>45</v>
      </c>
      <c r="D381" s="6">
        <v>7.546</v>
      </c>
      <c r="E381" s="8">
        <v>3947099</v>
      </c>
      <c r="F381" s="8">
        <v>4465</v>
      </c>
      <c r="G381" s="6">
        <v>0</v>
      </c>
      <c r="H381" s="8">
        <v>0</v>
      </c>
      <c r="I381" s="6">
        <v>134.7</v>
      </c>
      <c r="J381" s="6">
        <v>6.5</v>
      </c>
      <c r="K381" s="6">
        <v>5.65</v>
      </c>
      <c r="L381" s="6">
        <v>8.15</v>
      </c>
      <c r="M381" s="6">
        <v>6.6</v>
      </c>
      <c r="N381" s="6">
        <v>4.1</v>
      </c>
    </row>
    <row r="382" hidden="1" spans="1:14">
      <c r="A382" s="4" t="s">
        <v>1767</v>
      </c>
      <c r="B382" s="5" t="s">
        <v>1721</v>
      </c>
      <c r="C382" s="6" t="s">
        <v>45</v>
      </c>
      <c r="D382" s="6">
        <v>9.393</v>
      </c>
      <c r="E382" s="8">
        <v>23098272</v>
      </c>
      <c r="F382" s="8">
        <v>124474</v>
      </c>
      <c r="G382" s="6">
        <v>0</v>
      </c>
      <c r="H382" s="8">
        <v>0</v>
      </c>
      <c r="I382" s="6">
        <v>134.7</v>
      </c>
      <c r="J382" s="6">
        <v>6.5</v>
      </c>
      <c r="K382" s="6">
        <v>5.65</v>
      </c>
      <c r="L382" s="6">
        <v>8.15</v>
      </c>
      <c r="M382" s="6">
        <v>6.6</v>
      </c>
      <c r="N382" s="6">
        <v>4.1</v>
      </c>
    </row>
    <row r="383" hidden="1" spans="1:14">
      <c r="A383" s="4" t="s">
        <v>1768</v>
      </c>
      <c r="B383" s="5" t="s">
        <v>1721</v>
      </c>
      <c r="C383" s="6" t="s">
        <v>37</v>
      </c>
      <c r="D383" s="6">
        <v>6.619</v>
      </c>
      <c r="E383" s="8">
        <v>38530677</v>
      </c>
      <c r="F383" s="8">
        <v>1304899</v>
      </c>
      <c r="G383" s="6">
        <v>0</v>
      </c>
      <c r="H383" s="8">
        <v>0</v>
      </c>
      <c r="I383" s="6">
        <v>124.8</v>
      </c>
      <c r="J383" s="6">
        <v>4</v>
      </c>
      <c r="K383" s="6">
        <v>5.13</v>
      </c>
      <c r="L383" s="6">
        <v>9.69</v>
      </c>
      <c r="M383" s="6">
        <v>12.6</v>
      </c>
      <c r="N383" s="6">
        <v>45</v>
      </c>
    </row>
    <row r="384" hidden="1" spans="1:14">
      <c r="A384" s="4" t="s">
        <v>1769</v>
      </c>
      <c r="B384" s="5" t="s">
        <v>1721</v>
      </c>
      <c r="C384" s="6" t="s">
        <v>38</v>
      </c>
      <c r="D384" s="6">
        <v>7.784</v>
      </c>
      <c r="E384" s="8">
        <v>9361273</v>
      </c>
      <c r="F384" s="8">
        <v>450644</v>
      </c>
      <c r="G384" s="6">
        <v>0</v>
      </c>
      <c r="H384" s="8">
        <v>0</v>
      </c>
      <c r="I384" s="6">
        <v>124.8</v>
      </c>
      <c r="J384" s="6">
        <v>4</v>
      </c>
      <c r="K384" s="6">
        <v>5.13</v>
      </c>
      <c r="L384" s="6">
        <v>9.69</v>
      </c>
      <c r="M384" s="6">
        <v>9.8</v>
      </c>
      <c r="N384" s="6">
        <v>8.7</v>
      </c>
    </row>
    <row r="385" hidden="1" spans="1:14">
      <c r="A385" s="4" t="s">
        <v>1770</v>
      </c>
      <c r="B385" s="5" t="s">
        <v>1721</v>
      </c>
      <c r="C385" s="6" t="s">
        <v>34</v>
      </c>
      <c r="D385" s="6">
        <v>7.925</v>
      </c>
      <c r="E385" s="8">
        <v>16688379</v>
      </c>
      <c r="F385" s="8">
        <v>11435019</v>
      </c>
      <c r="G385" s="6">
        <v>1</v>
      </c>
      <c r="H385" s="8">
        <v>9407462</v>
      </c>
      <c r="I385" s="6">
        <v>118.2</v>
      </c>
      <c r="J385" s="6">
        <v>4</v>
      </c>
      <c r="K385" s="6">
        <v>6.62</v>
      </c>
      <c r="L385" s="6">
        <v>-5.78</v>
      </c>
      <c r="M385" s="6">
        <v>13.2</v>
      </c>
      <c r="N385" s="6">
        <v>-8.6</v>
      </c>
    </row>
    <row r="386" hidden="1" spans="1:14">
      <c r="A386" s="4" t="s">
        <v>1771</v>
      </c>
      <c r="B386" s="5" t="s">
        <v>1721</v>
      </c>
      <c r="C386" s="6" t="s">
        <v>72</v>
      </c>
      <c r="D386" s="6">
        <v>8.572</v>
      </c>
      <c r="E386" s="8">
        <v>27200176</v>
      </c>
      <c r="F386" s="8">
        <v>126781</v>
      </c>
      <c r="G386" s="6">
        <v>0</v>
      </c>
      <c r="H386" s="8">
        <v>0</v>
      </c>
      <c r="I386" s="6">
        <v>120</v>
      </c>
      <c r="J386" s="6">
        <v>6.5</v>
      </c>
      <c r="K386" s="6">
        <v>4.87</v>
      </c>
      <c r="L386" s="6">
        <v>6.5</v>
      </c>
      <c r="M386" s="6">
        <v>6.5</v>
      </c>
      <c r="N386" s="6">
        <v>4</v>
      </c>
    </row>
    <row r="387" hidden="1" spans="1:14">
      <c r="A387" s="4" t="s">
        <v>1772</v>
      </c>
      <c r="B387" s="5" t="s">
        <v>1721</v>
      </c>
      <c r="C387" s="6" t="s">
        <v>41</v>
      </c>
      <c r="D387" s="6">
        <v>8.021</v>
      </c>
      <c r="E387" s="8">
        <v>21885484</v>
      </c>
      <c r="F387" s="8">
        <v>649467</v>
      </c>
      <c r="G387" s="6">
        <v>0</v>
      </c>
      <c r="H387" s="8">
        <v>0</v>
      </c>
      <c r="I387" s="6">
        <v>130.3</v>
      </c>
      <c r="J387" s="6">
        <v>4</v>
      </c>
      <c r="K387" s="6">
        <v>6.7</v>
      </c>
      <c r="L387" s="6">
        <v>6.99</v>
      </c>
      <c r="M387" s="6">
        <v>6.6</v>
      </c>
      <c r="N387" s="6">
        <v>13.8</v>
      </c>
    </row>
    <row r="388" hidden="1" spans="1:14">
      <c r="A388" s="4" t="s">
        <v>1773</v>
      </c>
      <c r="B388" s="5" t="s">
        <v>1721</v>
      </c>
      <c r="C388" s="6" t="s">
        <v>72</v>
      </c>
      <c r="D388" s="6">
        <v>8.389</v>
      </c>
      <c r="E388" s="8">
        <v>22198885</v>
      </c>
      <c r="F388" s="8">
        <v>600111</v>
      </c>
      <c r="G388" s="6">
        <v>0</v>
      </c>
      <c r="H388" s="8">
        <v>0</v>
      </c>
      <c r="I388" s="6">
        <v>120</v>
      </c>
      <c r="J388" s="6">
        <v>6.5</v>
      </c>
      <c r="K388" s="6">
        <v>4.87</v>
      </c>
      <c r="L388" s="6">
        <v>6.5</v>
      </c>
      <c r="M388" s="6">
        <v>6.5</v>
      </c>
      <c r="N388" s="6">
        <v>4</v>
      </c>
    </row>
    <row r="389" hidden="1" spans="1:14">
      <c r="A389" s="4" t="s">
        <v>1774</v>
      </c>
      <c r="B389" s="5" t="s">
        <v>1721</v>
      </c>
      <c r="C389" s="6" t="s">
        <v>72</v>
      </c>
      <c r="D389" s="6">
        <v>9.079</v>
      </c>
      <c r="E389" s="8">
        <v>2415032</v>
      </c>
      <c r="F389" s="8">
        <v>76851</v>
      </c>
      <c r="G389" s="6">
        <v>0</v>
      </c>
      <c r="H389" s="8">
        <v>0</v>
      </c>
      <c r="I389" s="6">
        <v>120</v>
      </c>
      <c r="J389" s="6">
        <v>6.5</v>
      </c>
      <c r="K389" s="6">
        <v>4.87</v>
      </c>
      <c r="L389" s="6">
        <v>6.5</v>
      </c>
      <c r="M389" s="6">
        <v>6.5</v>
      </c>
      <c r="N389" s="6">
        <v>4</v>
      </c>
    </row>
    <row r="390" hidden="1" spans="1:14">
      <c r="A390" s="4" t="s">
        <v>1775</v>
      </c>
      <c r="B390" s="5" t="s">
        <v>1721</v>
      </c>
      <c r="C390" s="6" t="s">
        <v>37</v>
      </c>
      <c r="D390" s="6">
        <v>8.056</v>
      </c>
      <c r="E390" s="8">
        <v>25279911</v>
      </c>
      <c r="F390" s="8">
        <v>135940</v>
      </c>
      <c r="G390" s="6">
        <v>0</v>
      </c>
      <c r="H390" s="8">
        <v>0</v>
      </c>
      <c r="I390" s="6">
        <v>124.8</v>
      </c>
      <c r="J390" s="6">
        <v>4</v>
      </c>
      <c r="K390" s="6">
        <v>5.13</v>
      </c>
      <c r="L390" s="6">
        <v>9.69</v>
      </c>
      <c r="M390" s="6">
        <v>12.6</v>
      </c>
      <c r="N390" s="6">
        <v>45</v>
      </c>
    </row>
    <row r="391" hidden="1" spans="1:14">
      <c r="A391" s="4" t="s">
        <v>1776</v>
      </c>
      <c r="B391" s="5" t="s">
        <v>1721</v>
      </c>
      <c r="C391" s="6" t="s">
        <v>33</v>
      </c>
      <c r="D391" s="6">
        <v>7.26</v>
      </c>
      <c r="E391" s="8">
        <v>29185200</v>
      </c>
      <c r="F391" s="8">
        <v>13075442</v>
      </c>
      <c r="G391" s="6">
        <v>1</v>
      </c>
      <c r="H391" s="8">
        <v>7186099</v>
      </c>
      <c r="I391" s="6">
        <v>118.2</v>
      </c>
      <c r="J391" s="6">
        <v>4.4</v>
      </c>
      <c r="K391" s="6">
        <v>6.62</v>
      </c>
      <c r="L391" s="6">
        <v>-5.78</v>
      </c>
      <c r="M391" s="6">
        <v>20.8</v>
      </c>
      <c r="N391" s="6">
        <v>-37</v>
      </c>
    </row>
    <row r="392" hidden="1" spans="1:14">
      <c r="A392" s="4" t="s">
        <v>1777</v>
      </c>
      <c r="B392" s="5" t="s">
        <v>1721</v>
      </c>
      <c r="C392" s="6" t="s">
        <v>39</v>
      </c>
      <c r="D392" s="6">
        <v>8.316</v>
      </c>
      <c r="E392" s="8">
        <v>31672629</v>
      </c>
      <c r="F392" s="8">
        <v>790548</v>
      </c>
      <c r="G392" s="6">
        <v>0</v>
      </c>
      <c r="H392" s="8">
        <v>0</v>
      </c>
      <c r="I392" s="6">
        <v>124.8</v>
      </c>
      <c r="J392" s="6">
        <v>4</v>
      </c>
      <c r="K392" s="6">
        <v>5.13</v>
      </c>
      <c r="L392" s="6">
        <v>9.69</v>
      </c>
      <c r="M392" s="6">
        <v>8.7</v>
      </c>
      <c r="N392" s="6">
        <v>2.1</v>
      </c>
    </row>
    <row r="393" hidden="1" spans="1:14">
      <c r="A393" s="4" t="s">
        <v>1778</v>
      </c>
      <c r="B393" s="5" t="s">
        <v>1721</v>
      </c>
      <c r="C393" s="6" t="s">
        <v>33</v>
      </c>
      <c r="D393" s="6">
        <v>8.1</v>
      </c>
      <c r="E393" s="8">
        <v>1717069</v>
      </c>
      <c r="F393" s="8">
        <v>72720</v>
      </c>
      <c r="G393" s="6">
        <v>0</v>
      </c>
      <c r="H393" s="8">
        <v>0</v>
      </c>
      <c r="I393" s="6">
        <v>118.2</v>
      </c>
      <c r="J393" s="6">
        <v>4.4</v>
      </c>
      <c r="K393" s="6">
        <v>6.62</v>
      </c>
      <c r="L393" s="6">
        <v>-5.78</v>
      </c>
      <c r="M393" s="6">
        <v>20.8</v>
      </c>
      <c r="N393" s="6">
        <v>-37</v>
      </c>
    </row>
    <row r="394" hidden="1" spans="1:14">
      <c r="A394" s="4" t="s">
        <v>1779</v>
      </c>
      <c r="B394" s="5" t="s">
        <v>1721</v>
      </c>
      <c r="C394" s="6" t="s">
        <v>35</v>
      </c>
      <c r="D394" s="6">
        <v>8.265</v>
      </c>
      <c r="E394" s="8">
        <v>19505040</v>
      </c>
      <c r="F394" s="8">
        <v>362048</v>
      </c>
      <c r="G394" s="6">
        <v>0</v>
      </c>
      <c r="H394" s="8">
        <v>0</v>
      </c>
      <c r="I394" s="6">
        <v>118.2</v>
      </c>
      <c r="J394" s="6">
        <v>4</v>
      </c>
      <c r="K394" s="6">
        <v>6.62</v>
      </c>
      <c r="L394" s="6">
        <v>-5.78</v>
      </c>
      <c r="M394" s="6">
        <v>10.3</v>
      </c>
      <c r="N394" s="6">
        <v>-1.6</v>
      </c>
    </row>
    <row r="395" hidden="1" spans="1:14">
      <c r="A395" s="4" t="s">
        <v>1780</v>
      </c>
      <c r="B395" s="5" t="s">
        <v>1721</v>
      </c>
      <c r="C395" s="6" t="s">
        <v>37</v>
      </c>
      <c r="D395" s="6">
        <v>7.938</v>
      </c>
      <c r="E395" s="8">
        <v>10471041</v>
      </c>
      <c r="F395" s="8">
        <v>242238</v>
      </c>
      <c r="G395" s="6">
        <v>0</v>
      </c>
      <c r="H395" s="8">
        <v>0</v>
      </c>
      <c r="I395" s="6">
        <v>124.8</v>
      </c>
      <c r="J395" s="6">
        <v>4</v>
      </c>
      <c r="K395" s="6">
        <v>5.13</v>
      </c>
      <c r="L395" s="6">
        <v>9.69</v>
      </c>
      <c r="M395" s="6">
        <v>12.6</v>
      </c>
      <c r="N395" s="6">
        <v>45</v>
      </c>
    </row>
    <row r="396" hidden="1" spans="1:14">
      <c r="A396" s="4" t="s">
        <v>1781</v>
      </c>
      <c r="B396" s="5" t="s">
        <v>1721</v>
      </c>
      <c r="C396" s="6" t="s">
        <v>29</v>
      </c>
      <c r="D396" s="6">
        <v>7.802</v>
      </c>
      <c r="E396" s="8">
        <v>45347680</v>
      </c>
      <c r="F396" s="8">
        <v>878169</v>
      </c>
      <c r="G396" s="6">
        <v>0</v>
      </c>
      <c r="H396" s="8">
        <v>0</v>
      </c>
      <c r="I396" s="6">
        <v>121.5</v>
      </c>
      <c r="J396" s="6">
        <v>6</v>
      </c>
      <c r="K396" s="6">
        <v>3.73</v>
      </c>
      <c r="L396" s="6">
        <v>3.87</v>
      </c>
      <c r="M396" s="6">
        <v>7</v>
      </c>
      <c r="N396" s="6">
        <v>3.6</v>
      </c>
    </row>
    <row r="397" hidden="1" spans="1:14">
      <c r="A397" s="4" t="s">
        <v>1782</v>
      </c>
      <c r="B397" s="5" t="s">
        <v>1721</v>
      </c>
      <c r="C397" s="6" t="s">
        <v>42</v>
      </c>
      <c r="D397" s="6">
        <v>8.932</v>
      </c>
      <c r="E397" s="8">
        <v>17549379</v>
      </c>
      <c r="F397" s="8">
        <v>767171</v>
      </c>
      <c r="G397" s="6">
        <v>0</v>
      </c>
      <c r="H397" s="8">
        <v>0</v>
      </c>
      <c r="I397" s="6">
        <v>130.3</v>
      </c>
      <c r="J397" s="6">
        <v>4.9</v>
      </c>
      <c r="K397" s="6">
        <v>6.7</v>
      </c>
      <c r="L397" s="6">
        <v>6.99</v>
      </c>
      <c r="M397" s="6">
        <v>6.6</v>
      </c>
      <c r="N397" s="6">
        <v>5.6</v>
      </c>
    </row>
    <row r="398" hidden="1" spans="1:14">
      <c r="A398" s="4" t="s">
        <v>1783</v>
      </c>
      <c r="B398" s="5" t="s">
        <v>1721</v>
      </c>
      <c r="C398" s="6" t="s">
        <v>36</v>
      </c>
      <c r="D398" s="6">
        <v>7.96</v>
      </c>
      <c r="E398" s="8">
        <v>12792362</v>
      </c>
      <c r="F398" s="8">
        <v>483836</v>
      </c>
      <c r="G398" s="6">
        <v>0</v>
      </c>
      <c r="H398" s="8">
        <v>0</v>
      </c>
      <c r="I398" s="6">
        <v>118.2</v>
      </c>
      <c r="J398" s="6">
        <v>4</v>
      </c>
      <c r="K398" s="6">
        <v>6.62</v>
      </c>
      <c r="L398" s="6">
        <v>-5.78</v>
      </c>
      <c r="M398" s="6">
        <v>9.3</v>
      </c>
      <c r="N398" s="6">
        <v>6.4</v>
      </c>
    </row>
    <row r="399" hidden="1" spans="1:14">
      <c r="A399" s="4" t="s">
        <v>1784</v>
      </c>
      <c r="B399" s="5" t="s">
        <v>1721</v>
      </c>
      <c r="C399" s="6" t="s">
        <v>72</v>
      </c>
      <c r="D399" s="6">
        <v>9.032</v>
      </c>
      <c r="E399" s="8">
        <v>17978969</v>
      </c>
      <c r="F399" s="8">
        <v>255511</v>
      </c>
      <c r="G399" s="6">
        <v>0</v>
      </c>
      <c r="H399" s="8">
        <v>0</v>
      </c>
      <c r="I399" s="6">
        <v>120</v>
      </c>
      <c r="J399" s="6">
        <v>6.5</v>
      </c>
      <c r="K399" s="6">
        <v>4.87</v>
      </c>
      <c r="L399" s="6">
        <v>6.5</v>
      </c>
      <c r="M399" s="6">
        <v>6.5</v>
      </c>
      <c r="N399" s="6">
        <v>4</v>
      </c>
    </row>
    <row r="400" hidden="1" spans="1:14">
      <c r="A400" s="4" t="s">
        <v>1785</v>
      </c>
      <c r="B400" s="5" t="s">
        <v>1721</v>
      </c>
      <c r="C400" s="6" t="s">
        <v>33</v>
      </c>
      <c r="D400" s="6">
        <v>8.944</v>
      </c>
      <c r="E400" s="8">
        <v>2117731</v>
      </c>
      <c r="F400" s="8">
        <v>59112</v>
      </c>
      <c r="G400" s="6">
        <v>0</v>
      </c>
      <c r="H400" s="8">
        <v>0</v>
      </c>
      <c r="I400" s="6">
        <v>118.2</v>
      </c>
      <c r="J400" s="6">
        <v>4.4</v>
      </c>
      <c r="K400" s="6">
        <v>6.62</v>
      </c>
      <c r="L400" s="6">
        <v>-5.78</v>
      </c>
      <c r="M400" s="6">
        <v>20.8</v>
      </c>
      <c r="N400" s="6">
        <v>-37</v>
      </c>
    </row>
    <row r="401" hidden="1" spans="1:14">
      <c r="A401" s="4" t="s">
        <v>1786</v>
      </c>
      <c r="B401" s="5" t="s">
        <v>1721</v>
      </c>
      <c r="C401" s="6" t="s">
        <v>41</v>
      </c>
      <c r="D401" s="6">
        <v>7.397</v>
      </c>
      <c r="E401" s="8">
        <v>30540079</v>
      </c>
      <c r="F401" s="8">
        <v>1066542</v>
      </c>
      <c r="G401" s="6">
        <v>0</v>
      </c>
      <c r="H401" s="8">
        <v>0</v>
      </c>
      <c r="I401" s="6">
        <v>130.3</v>
      </c>
      <c r="J401" s="6">
        <v>4</v>
      </c>
      <c r="K401" s="6">
        <v>6.7</v>
      </c>
      <c r="L401" s="6">
        <v>6.99</v>
      </c>
      <c r="M401" s="6">
        <v>6.6</v>
      </c>
      <c r="N401" s="6">
        <v>13.8</v>
      </c>
    </row>
    <row r="402" hidden="1" spans="1:14">
      <c r="A402" s="4" t="s">
        <v>1787</v>
      </c>
      <c r="B402" s="5" t="s">
        <v>1721</v>
      </c>
      <c r="C402" s="6" t="s">
        <v>43</v>
      </c>
      <c r="D402" s="6">
        <v>8.63</v>
      </c>
      <c r="E402" s="8">
        <v>24401694</v>
      </c>
      <c r="F402" s="8">
        <v>813452</v>
      </c>
      <c r="G402" s="6">
        <v>0</v>
      </c>
      <c r="H402" s="8">
        <v>0</v>
      </c>
      <c r="I402" s="6">
        <v>130.3</v>
      </c>
      <c r="J402" s="6">
        <v>5.9</v>
      </c>
      <c r="K402" s="6">
        <v>6.7</v>
      </c>
      <c r="L402" s="6">
        <v>6.99</v>
      </c>
      <c r="M402" s="6">
        <v>7.2</v>
      </c>
      <c r="N402" s="6">
        <v>4.5</v>
      </c>
    </row>
    <row r="403" hidden="1" spans="1:14">
      <c r="A403" s="4" t="s">
        <v>1788</v>
      </c>
      <c r="B403" s="5" t="s">
        <v>1721</v>
      </c>
      <c r="C403" s="6" t="s">
        <v>44</v>
      </c>
      <c r="D403" s="6">
        <v>9.335</v>
      </c>
      <c r="E403" s="8">
        <v>11990353</v>
      </c>
      <c r="F403" s="8">
        <v>438283</v>
      </c>
      <c r="G403" s="6">
        <v>0</v>
      </c>
      <c r="H403" s="8">
        <v>0</v>
      </c>
      <c r="I403" s="6">
        <v>130.3</v>
      </c>
      <c r="J403" s="6">
        <v>6.25</v>
      </c>
      <c r="K403" s="6">
        <v>6.7</v>
      </c>
      <c r="L403" s="6">
        <v>6.99</v>
      </c>
      <c r="M403" s="6">
        <v>6.7</v>
      </c>
      <c r="N403" s="6">
        <v>1.8</v>
      </c>
    </row>
    <row r="404" hidden="1" spans="1:14">
      <c r="A404" s="4" t="s">
        <v>1789</v>
      </c>
      <c r="B404" s="5" t="s">
        <v>1721</v>
      </c>
      <c r="C404" s="6" t="s">
        <v>47</v>
      </c>
      <c r="D404" s="6">
        <v>8.954</v>
      </c>
      <c r="E404" s="8">
        <v>27640384</v>
      </c>
      <c r="F404" s="8">
        <v>461314</v>
      </c>
      <c r="G404" s="6">
        <v>0</v>
      </c>
      <c r="H404" s="8">
        <v>0</v>
      </c>
      <c r="I404" s="6">
        <v>134.7</v>
      </c>
      <c r="J404" s="6">
        <v>6.5</v>
      </c>
      <c r="K404" s="6">
        <v>5.65</v>
      </c>
      <c r="L404" s="6">
        <v>8.15</v>
      </c>
      <c r="M404" s="6">
        <v>6.5</v>
      </c>
      <c r="N404" s="6">
        <v>3.6</v>
      </c>
    </row>
    <row r="405" hidden="1" spans="1:14">
      <c r="A405" s="4" t="s">
        <v>1790</v>
      </c>
      <c r="B405" s="5" t="s">
        <v>1721</v>
      </c>
      <c r="C405" s="6" t="s">
        <v>37</v>
      </c>
      <c r="D405" s="6">
        <v>8.139</v>
      </c>
      <c r="E405" s="8">
        <v>18215610</v>
      </c>
      <c r="F405" s="8">
        <v>879517</v>
      </c>
      <c r="G405" s="6">
        <v>0</v>
      </c>
      <c r="H405" s="8">
        <v>0</v>
      </c>
      <c r="I405" s="6">
        <v>124.8</v>
      </c>
      <c r="J405" s="6">
        <v>4</v>
      </c>
      <c r="K405" s="6">
        <v>5.13</v>
      </c>
      <c r="L405" s="6">
        <v>9.69</v>
      </c>
      <c r="M405" s="6">
        <v>12.6</v>
      </c>
      <c r="N405" s="6">
        <v>45</v>
      </c>
    </row>
    <row r="406" hidden="1" spans="1:14">
      <c r="A406" s="4" t="s">
        <v>1791</v>
      </c>
      <c r="B406" s="5" t="s">
        <v>1721</v>
      </c>
      <c r="C406" s="6" t="s">
        <v>38</v>
      </c>
      <c r="D406" s="6">
        <v>7.915</v>
      </c>
      <c r="E406" s="8">
        <v>5808847</v>
      </c>
      <c r="F406" s="8">
        <v>12980</v>
      </c>
      <c r="G406" s="6">
        <v>0</v>
      </c>
      <c r="H406" s="8">
        <v>0</v>
      </c>
      <c r="I406" s="6">
        <v>124.8</v>
      </c>
      <c r="J406" s="6">
        <v>4</v>
      </c>
      <c r="K406" s="6">
        <v>5.13</v>
      </c>
      <c r="L406" s="6">
        <v>9.69</v>
      </c>
      <c r="M406" s="6">
        <v>9.8</v>
      </c>
      <c r="N406" s="6">
        <v>8.7</v>
      </c>
    </row>
    <row r="407" hidden="1" spans="1:14">
      <c r="A407" s="4" t="s">
        <v>1792</v>
      </c>
      <c r="B407" s="5" t="s">
        <v>1721</v>
      </c>
      <c r="C407" s="6" t="s">
        <v>43</v>
      </c>
      <c r="D407" s="6">
        <v>9.271</v>
      </c>
      <c r="E407" s="8">
        <v>23842639</v>
      </c>
      <c r="F407" s="8">
        <v>197602</v>
      </c>
      <c r="G407" s="6">
        <v>0</v>
      </c>
      <c r="H407" s="8">
        <v>0</v>
      </c>
      <c r="I407" s="6">
        <v>130.3</v>
      </c>
      <c r="J407" s="6">
        <v>5.9</v>
      </c>
      <c r="K407" s="6">
        <v>6.7</v>
      </c>
      <c r="L407" s="6">
        <v>6.99</v>
      </c>
      <c r="M407" s="6">
        <v>7.2</v>
      </c>
      <c r="N407" s="6">
        <v>4.5</v>
      </c>
    </row>
    <row r="408" hidden="1" spans="1:14">
      <c r="A408" s="4" t="s">
        <v>1793</v>
      </c>
      <c r="B408" s="5" t="s">
        <v>1721</v>
      </c>
      <c r="C408" s="6" t="s">
        <v>43</v>
      </c>
      <c r="D408" s="6">
        <v>9.097</v>
      </c>
      <c r="E408" s="8">
        <v>4945580</v>
      </c>
      <c r="F408" s="8">
        <v>168718</v>
      </c>
      <c r="G408" s="6">
        <v>0</v>
      </c>
      <c r="H408" s="8">
        <v>0</v>
      </c>
      <c r="I408" s="6">
        <v>130.3</v>
      </c>
      <c r="J408" s="6">
        <v>5.9</v>
      </c>
      <c r="K408" s="6">
        <v>6.7</v>
      </c>
      <c r="L408" s="6">
        <v>6.99</v>
      </c>
      <c r="M408" s="6">
        <v>7.2</v>
      </c>
      <c r="N408" s="6">
        <v>4.5</v>
      </c>
    </row>
    <row r="409" hidden="1" spans="1:14">
      <c r="A409" s="4" t="s">
        <v>1794</v>
      </c>
      <c r="B409" s="5" t="s">
        <v>1721</v>
      </c>
      <c r="C409" s="6" t="s">
        <v>31</v>
      </c>
      <c r="D409" s="6">
        <v>7.69</v>
      </c>
      <c r="E409" s="8">
        <v>24598884</v>
      </c>
      <c r="F409" s="8">
        <v>265248</v>
      </c>
      <c r="G409" s="6">
        <v>0</v>
      </c>
      <c r="H409" s="8">
        <v>0</v>
      </c>
      <c r="I409" s="6">
        <v>121.5</v>
      </c>
      <c r="J409" s="6">
        <v>5.4</v>
      </c>
      <c r="K409" s="6">
        <v>3.73</v>
      </c>
      <c r="L409" s="6">
        <v>3.87</v>
      </c>
      <c r="M409" s="6">
        <v>7.8</v>
      </c>
      <c r="N409" s="6">
        <v>0.7</v>
      </c>
    </row>
    <row r="410" hidden="1" spans="1:14">
      <c r="A410" s="4" t="s">
        <v>1795</v>
      </c>
      <c r="B410" s="5" t="s">
        <v>1721</v>
      </c>
      <c r="C410" s="6" t="s">
        <v>34</v>
      </c>
      <c r="D410" s="6">
        <v>8.157</v>
      </c>
      <c r="E410" s="8">
        <v>25305221</v>
      </c>
      <c r="F410" s="8">
        <v>17507610</v>
      </c>
      <c r="G410" s="6">
        <v>1</v>
      </c>
      <c r="H410" s="8">
        <v>12804286</v>
      </c>
      <c r="I410" s="6">
        <v>118.2</v>
      </c>
      <c r="J410" s="6">
        <v>4</v>
      </c>
      <c r="K410" s="6">
        <v>6.62</v>
      </c>
      <c r="L410" s="6">
        <v>-5.78</v>
      </c>
      <c r="M410" s="6">
        <v>13.2</v>
      </c>
      <c r="N410" s="6">
        <v>-8.6</v>
      </c>
    </row>
    <row r="411" hidden="1" spans="1:14">
      <c r="A411" s="4" t="s">
        <v>1796</v>
      </c>
      <c r="B411" s="5" t="s">
        <v>1721</v>
      </c>
      <c r="C411" s="6" t="s">
        <v>72</v>
      </c>
      <c r="D411" s="6">
        <v>8.814</v>
      </c>
      <c r="E411" s="8">
        <v>11163352</v>
      </c>
      <c r="F411" s="8">
        <v>145381</v>
      </c>
      <c r="G411" s="6">
        <v>0</v>
      </c>
      <c r="H411" s="8">
        <v>0</v>
      </c>
      <c r="I411" s="6">
        <v>120</v>
      </c>
      <c r="J411" s="6">
        <v>6.5</v>
      </c>
      <c r="K411" s="6">
        <v>4.87</v>
      </c>
      <c r="L411" s="6">
        <v>6.5</v>
      </c>
      <c r="M411" s="6">
        <v>6.5</v>
      </c>
      <c r="N411" s="6">
        <v>4</v>
      </c>
    </row>
    <row r="412" hidden="1" spans="1:14">
      <c r="A412" s="4" t="s">
        <v>1797</v>
      </c>
      <c r="B412" s="5" t="s">
        <v>1721</v>
      </c>
      <c r="C412" s="6" t="s">
        <v>36</v>
      </c>
      <c r="D412" s="6">
        <v>8.284</v>
      </c>
      <c r="E412" s="8">
        <v>31047067</v>
      </c>
      <c r="F412" s="8">
        <v>4902</v>
      </c>
      <c r="G412" s="6">
        <v>0</v>
      </c>
      <c r="H412" s="8">
        <v>0</v>
      </c>
      <c r="I412" s="6">
        <v>118.2</v>
      </c>
      <c r="J412" s="6">
        <v>4</v>
      </c>
      <c r="K412" s="6">
        <v>6.62</v>
      </c>
      <c r="L412" s="6">
        <v>-5.78</v>
      </c>
      <c r="M412" s="6">
        <v>9.3</v>
      </c>
      <c r="N412" s="6">
        <v>6.4</v>
      </c>
    </row>
    <row r="413" hidden="1" spans="1:14">
      <c r="A413" s="4" t="s">
        <v>1798</v>
      </c>
      <c r="B413" s="5" t="s">
        <v>1721</v>
      </c>
      <c r="C413" s="6" t="s">
        <v>45</v>
      </c>
      <c r="D413" s="6">
        <v>9.371</v>
      </c>
      <c r="E413" s="8">
        <v>1210292</v>
      </c>
      <c r="F413" s="8">
        <v>2281</v>
      </c>
      <c r="G413" s="6">
        <v>0</v>
      </c>
      <c r="H413" s="8">
        <v>0</v>
      </c>
      <c r="I413" s="6">
        <v>134.7</v>
      </c>
      <c r="J413" s="6">
        <v>6.5</v>
      </c>
      <c r="K413" s="6">
        <v>5.65</v>
      </c>
      <c r="L413" s="6">
        <v>8.15</v>
      </c>
      <c r="M413" s="6">
        <v>6.6</v>
      </c>
      <c r="N413" s="6">
        <v>4.1</v>
      </c>
    </row>
    <row r="414" hidden="1" spans="1:14">
      <c r="A414" s="4" t="s">
        <v>1799</v>
      </c>
      <c r="B414" s="5" t="s">
        <v>1721</v>
      </c>
      <c r="C414" s="6" t="s">
        <v>44</v>
      </c>
      <c r="D414" s="6">
        <v>8.7</v>
      </c>
      <c r="E414" s="8">
        <v>22912972</v>
      </c>
      <c r="F414" s="8">
        <v>348860</v>
      </c>
      <c r="G414" s="6">
        <v>0</v>
      </c>
      <c r="H414" s="8">
        <v>0</v>
      </c>
      <c r="I414" s="6">
        <v>130.3</v>
      </c>
      <c r="J414" s="6">
        <v>6.25</v>
      </c>
      <c r="K414" s="6">
        <v>6.7</v>
      </c>
      <c r="L414" s="6">
        <v>6.99</v>
      </c>
      <c r="M414" s="6">
        <v>6.7</v>
      </c>
      <c r="N414" s="6">
        <v>1.8</v>
      </c>
    </row>
    <row r="415" hidden="1" spans="1:14">
      <c r="A415" s="4" t="s">
        <v>1800</v>
      </c>
      <c r="B415" s="5" t="s">
        <v>1721</v>
      </c>
      <c r="C415" s="6" t="s">
        <v>30</v>
      </c>
      <c r="D415" s="6">
        <v>8.422</v>
      </c>
      <c r="E415" s="8">
        <v>2688872</v>
      </c>
      <c r="F415" s="8">
        <v>102344</v>
      </c>
      <c r="G415" s="6">
        <v>0</v>
      </c>
      <c r="H415" s="8">
        <v>0</v>
      </c>
      <c r="I415" s="6">
        <v>121.5</v>
      </c>
      <c r="J415" s="6">
        <v>5.75</v>
      </c>
      <c r="K415" s="6">
        <v>3.73</v>
      </c>
      <c r="L415" s="6">
        <v>3.87</v>
      </c>
      <c r="M415" s="6">
        <v>8.4</v>
      </c>
      <c r="N415" s="6">
        <v>0.6</v>
      </c>
    </row>
    <row r="416" hidden="1" spans="1:14">
      <c r="A416" s="4" t="s">
        <v>1801</v>
      </c>
      <c r="B416" s="5" t="s">
        <v>1721</v>
      </c>
      <c r="C416" s="6" t="s">
        <v>31</v>
      </c>
      <c r="D416" s="6">
        <v>7.312</v>
      </c>
      <c r="E416" s="8">
        <v>18058954</v>
      </c>
      <c r="F416" s="8">
        <v>468285</v>
      </c>
      <c r="G416" s="6">
        <v>0</v>
      </c>
      <c r="H416" s="8">
        <v>0</v>
      </c>
      <c r="I416" s="6">
        <v>121.5</v>
      </c>
      <c r="J416" s="6">
        <v>5.4</v>
      </c>
      <c r="K416" s="6">
        <v>3.73</v>
      </c>
      <c r="L416" s="6">
        <v>3.87</v>
      </c>
      <c r="M416" s="6">
        <v>7.8</v>
      </c>
      <c r="N416" s="6">
        <v>0.7</v>
      </c>
    </row>
    <row r="417" hidden="1" spans="1:14">
      <c r="A417" s="4" t="s">
        <v>1802</v>
      </c>
      <c r="B417" s="5" t="s">
        <v>1721</v>
      </c>
      <c r="C417" s="6" t="s">
        <v>29</v>
      </c>
      <c r="D417" s="6">
        <v>8.043</v>
      </c>
      <c r="E417" s="8">
        <v>40260671</v>
      </c>
      <c r="F417" s="8">
        <v>1905138</v>
      </c>
      <c r="G417" s="6">
        <v>0</v>
      </c>
      <c r="H417" s="8">
        <v>0</v>
      </c>
      <c r="I417" s="6">
        <v>121.5</v>
      </c>
      <c r="J417" s="6">
        <v>6</v>
      </c>
      <c r="K417" s="6">
        <v>3.73</v>
      </c>
      <c r="L417" s="6">
        <v>3.87</v>
      </c>
      <c r="M417" s="6">
        <v>7</v>
      </c>
      <c r="N417" s="6">
        <v>3.6</v>
      </c>
    </row>
    <row r="418" hidden="1" spans="1:14">
      <c r="A418" s="4" t="s">
        <v>1803</v>
      </c>
      <c r="B418" s="5" t="s">
        <v>1721</v>
      </c>
      <c r="C418" s="6" t="s">
        <v>48</v>
      </c>
      <c r="D418" s="6">
        <v>8.469</v>
      </c>
      <c r="E418" s="8">
        <v>14750973</v>
      </c>
      <c r="F418" s="8">
        <v>416523</v>
      </c>
      <c r="G418" s="6">
        <v>0</v>
      </c>
      <c r="H418" s="8">
        <v>0</v>
      </c>
      <c r="I418" s="6">
        <v>134.7</v>
      </c>
      <c r="J418" s="6">
        <v>6.5</v>
      </c>
      <c r="K418" s="6">
        <v>5.65</v>
      </c>
      <c r="L418" s="6">
        <v>8.15</v>
      </c>
      <c r="M418" s="6">
        <v>6.7</v>
      </c>
      <c r="N418" s="6">
        <v>5</v>
      </c>
    </row>
    <row r="419" hidden="1" spans="1:14">
      <c r="A419" s="4" t="s">
        <v>1804</v>
      </c>
      <c r="B419" s="5" t="s">
        <v>1721</v>
      </c>
      <c r="C419" s="6" t="s">
        <v>30</v>
      </c>
      <c r="D419" s="6">
        <v>8.136</v>
      </c>
      <c r="E419" s="8">
        <v>16367720</v>
      </c>
      <c r="F419" s="8">
        <v>762863</v>
      </c>
      <c r="G419" s="6">
        <v>0</v>
      </c>
      <c r="H419" s="8">
        <v>0</v>
      </c>
      <c r="I419" s="6">
        <v>121.5</v>
      </c>
      <c r="J419" s="6">
        <v>5.75</v>
      </c>
      <c r="K419" s="6">
        <v>3.73</v>
      </c>
      <c r="L419" s="6">
        <v>3.87</v>
      </c>
      <c r="M419" s="6">
        <v>8.4</v>
      </c>
      <c r="N419" s="6">
        <v>0.6</v>
      </c>
    </row>
    <row r="420" hidden="1" spans="1:14">
      <c r="A420" s="4" t="s">
        <v>1805</v>
      </c>
      <c r="B420" s="5" t="s">
        <v>1721</v>
      </c>
      <c r="C420" s="6" t="s">
        <v>46</v>
      </c>
      <c r="D420" s="6">
        <v>8.504</v>
      </c>
      <c r="E420" s="8">
        <v>28164640</v>
      </c>
      <c r="F420" s="8">
        <v>761680</v>
      </c>
      <c r="G420" s="6">
        <v>0</v>
      </c>
      <c r="H420" s="8">
        <v>0</v>
      </c>
      <c r="I420" s="6">
        <v>134.7</v>
      </c>
      <c r="J420" s="6">
        <v>6.5</v>
      </c>
      <c r="K420" s="6">
        <v>5.65</v>
      </c>
      <c r="L420" s="6">
        <v>8.15</v>
      </c>
      <c r="M420" s="6">
        <v>6.6</v>
      </c>
      <c r="N420" s="6">
        <v>9.7</v>
      </c>
    </row>
    <row r="421" hidden="1" spans="1:14">
      <c r="A421" s="4" t="s">
        <v>1806</v>
      </c>
      <c r="B421" s="5" t="s">
        <v>1721</v>
      </c>
      <c r="C421" s="6" t="s">
        <v>42</v>
      </c>
      <c r="D421" s="6">
        <v>8.296</v>
      </c>
      <c r="E421" s="8">
        <v>13322999</v>
      </c>
      <c r="F421" s="8">
        <v>301320</v>
      </c>
      <c r="G421" s="6">
        <v>0</v>
      </c>
      <c r="H421" s="8">
        <v>0</v>
      </c>
      <c r="I421" s="6">
        <v>130.3</v>
      </c>
      <c r="J421" s="6">
        <v>4.9</v>
      </c>
      <c r="K421" s="6">
        <v>6.7</v>
      </c>
      <c r="L421" s="6">
        <v>6.99</v>
      </c>
      <c r="M421" s="6">
        <v>6.6</v>
      </c>
      <c r="N421" s="6">
        <v>5.6</v>
      </c>
    </row>
    <row r="422" hidden="1" spans="1:14">
      <c r="A422" s="4" t="s">
        <v>1807</v>
      </c>
      <c r="B422" s="5" t="s">
        <v>1721</v>
      </c>
      <c r="C422" s="6" t="s">
        <v>34</v>
      </c>
      <c r="D422" s="6">
        <v>7.307</v>
      </c>
      <c r="E422" s="8">
        <v>27068075</v>
      </c>
      <c r="F422" s="8">
        <v>409586</v>
      </c>
      <c r="G422" s="6">
        <v>0</v>
      </c>
      <c r="H422" s="8">
        <v>0</v>
      </c>
      <c r="I422" s="6">
        <v>118.2</v>
      </c>
      <c r="J422" s="6">
        <v>4</v>
      </c>
      <c r="K422" s="6">
        <v>6.62</v>
      </c>
      <c r="L422" s="6">
        <v>-5.78</v>
      </c>
      <c r="M422" s="6">
        <v>13.2</v>
      </c>
      <c r="N422" s="6">
        <v>-8.6</v>
      </c>
    </row>
    <row r="423" hidden="1" spans="1:14">
      <c r="A423" s="4" t="s">
        <v>1808</v>
      </c>
      <c r="B423" s="5" t="s">
        <v>1721</v>
      </c>
      <c r="C423" s="6" t="s">
        <v>72</v>
      </c>
      <c r="D423" s="6">
        <v>8.972</v>
      </c>
      <c r="E423" s="8">
        <v>27924517</v>
      </c>
      <c r="F423" s="8">
        <v>993610</v>
      </c>
      <c r="G423" s="6">
        <v>0</v>
      </c>
      <c r="H423" s="8">
        <v>0</v>
      </c>
      <c r="I423" s="6">
        <v>120</v>
      </c>
      <c r="J423" s="6">
        <v>6.5</v>
      </c>
      <c r="K423" s="6">
        <v>4.87</v>
      </c>
      <c r="L423" s="6">
        <v>6.5</v>
      </c>
      <c r="M423" s="6">
        <v>6.5</v>
      </c>
      <c r="N423" s="6">
        <v>4</v>
      </c>
    </row>
    <row r="424" hidden="1" spans="1:14">
      <c r="A424" s="4" t="s">
        <v>1809</v>
      </c>
      <c r="B424" s="5" t="s">
        <v>1721</v>
      </c>
      <c r="C424" s="6" t="s">
        <v>36</v>
      </c>
      <c r="D424" s="6">
        <v>7.976</v>
      </c>
      <c r="E424" s="8">
        <v>18770041</v>
      </c>
      <c r="F424" s="8">
        <v>8947375</v>
      </c>
      <c r="G424" s="6">
        <v>1</v>
      </c>
      <c r="H424" s="8">
        <v>6123546</v>
      </c>
      <c r="I424" s="6">
        <v>118.2</v>
      </c>
      <c r="J424" s="6">
        <v>4</v>
      </c>
      <c r="K424" s="6">
        <v>6.62</v>
      </c>
      <c r="L424" s="6">
        <v>-5.78</v>
      </c>
      <c r="M424" s="6">
        <v>9.3</v>
      </c>
      <c r="N424" s="6">
        <v>6.4</v>
      </c>
    </row>
    <row r="425" hidden="1" spans="1:14">
      <c r="A425" s="4" t="s">
        <v>1810</v>
      </c>
      <c r="B425" s="5" t="s">
        <v>1721</v>
      </c>
      <c r="C425" s="6" t="s">
        <v>37</v>
      </c>
      <c r="D425" s="6">
        <v>8.222</v>
      </c>
      <c r="E425" s="8">
        <v>9075922</v>
      </c>
      <c r="F425" s="8">
        <v>159103</v>
      </c>
      <c r="G425" s="6">
        <v>0</v>
      </c>
      <c r="H425" s="8">
        <v>0</v>
      </c>
      <c r="I425" s="6">
        <v>124.8</v>
      </c>
      <c r="J425" s="6">
        <v>4</v>
      </c>
      <c r="K425" s="6">
        <v>5.13</v>
      </c>
      <c r="L425" s="6">
        <v>9.69</v>
      </c>
      <c r="M425" s="6">
        <v>12.6</v>
      </c>
      <c r="N425" s="6">
        <v>45</v>
      </c>
    </row>
    <row r="426" hidden="1" spans="1:14">
      <c r="A426" s="4" t="s">
        <v>1811</v>
      </c>
      <c r="B426" s="5" t="s">
        <v>1721</v>
      </c>
      <c r="C426" s="6" t="s">
        <v>32</v>
      </c>
      <c r="D426" s="6">
        <v>8.153</v>
      </c>
      <c r="E426" s="8">
        <v>33744133</v>
      </c>
      <c r="F426" s="8">
        <v>1576827</v>
      </c>
      <c r="G426" s="6">
        <v>0</v>
      </c>
      <c r="H426" s="8">
        <v>0</v>
      </c>
      <c r="I426" s="6">
        <v>121.5</v>
      </c>
      <c r="J426" s="6">
        <v>5.15</v>
      </c>
      <c r="K426" s="6">
        <v>3.73</v>
      </c>
      <c r="L426" s="6">
        <v>3.87</v>
      </c>
      <c r="M426" s="6">
        <v>9.1</v>
      </c>
      <c r="N426" s="6">
        <v>-16.7</v>
      </c>
    </row>
    <row r="427" hidden="1" spans="1:14">
      <c r="A427" s="4" t="s">
        <v>1812</v>
      </c>
      <c r="B427" s="5" t="s">
        <v>1721</v>
      </c>
      <c r="C427" s="6" t="s">
        <v>33</v>
      </c>
      <c r="D427" s="6">
        <v>8.217</v>
      </c>
      <c r="E427" s="8">
        <v>20488652</v>
      </c>
      <c r="F427" s="8">
        <v>16474</v>
      </c>
      <c r="G427" s="6">
        <v>0</v>
      </c>
      <c r="H427" s="8">
        <v>0</v>
      </c>
      <c r="I427" s="6">
        <v>118.2</v>
      </c>
      <c r="J427" s="6">
        <v>4.4</v>
      </c>
      <c r="K427" s="6">
        <v>6.62</v>
      </c>
      <c r="L427" s="6">
        <v>-5.78</v>
      </c>
      <c r="M427" s="6">
        <v>20.8</v>
      </c>
      <c r="N427" s="6">
        <v>-37</v>
      </c>
    </row>
    <row r="428" hidden="1" spans="1:14">
      <c r="A428" s="4" t="s">
        <v>1813</v>
      </c>
      <c r="B428" s="5" t="s">
        <v>1721</v>
      </c>
      <c r="C428" s="6" t="s">
        <v>43</v>
      </c>
      <c r="D428" s="6">
        <v>9.397</v>
      </c>
      <c r="E428" s="8">
        <v>13396002</v>
      </c>
      <c r="F428" s="8">
        <v>390525</v>
      </c>
      <c r="G428" s="6">
        <v>0</v>
      </c>
      <c r="H428" s="8">
        <v>0</v>
      </c>
      <c r="I428" s="6">
        <v>130.3</v>
      </c>
      <c r="J428" s="6">
        <v>5.9</v>
      </c>
      <c r="K428" s="6">
        <v>6.7</v>
      </c>
      <c r="L428" s="6">
        <v>6.99</v>
      </c>
      <c r="M428" s="6">
        <v>7.2</v>
      </c>
      <c r="N428" s="6">
        <v>4.5</v>
      </c>
    </row>
    <row r="429" hidden="1" spans="1:14">
      <c r="A429" s="4" t="s">
        <v>1814</v>
      </c>
      <c r="B429" s="5" t="s">
        <v>1721</v>
      </c>
      <c r="C429" s="6" t="s">
        <v>42</v>
      </c>
      <c r="D429" s="6">
        <v>8.188</v>
      </c>
      <c r="E429" s="8">
        <v>16845424</v>
      </c>
      <c r="F429" s="8">
        <v>486337</v>
      </c>
      <c r="G429" s="6">
        <v>0</v>
      </c>
      <c r="H429" s="8">
        <v>0</v>
      </c>
      <c r="I429" s="6">
        <v>130.3</v>
      </c>
      <c r="J429" s="6">
        <v>4.9</v>
      </c>
      <c r="K429" s="6">
        <v>6.7</v>
      </c>
      <c r="L429" s="6">
        <v>6.99</v>
      </c>
      <c r="M429" s="6">
        <v>6.6</v>
      </c>
      <c r="N429" s="6">
        <v>5.6</v>
      </c>
    </row>
    <row r="430" hidden="1" spans="1:14">
      <c r="A430" s="4" t="s">
        <v>1815</v>
      </c>
      <c r="B430" s="5" t="s">
        <v>1721</v>
      </c>
      <c r="C430" s="6" t="s">
        <v>35</v>
      </c>
      <c r="D430" s="6">
        <v>8.086</v>
      </c>
      <c r="E430" s="8">
        <v>27457480</v>
      </c>
      <c r="F430" s="8">
        <v>1304257</v>
      </c>
      <c r="G430" s="6">
        <v>0</v>
      </c>
      <c r="H430" s="8">
        <v>0</v>
      </c>
      <c r="I430" s="6">
        <v>118.2</v>
      </c>
      <c r="J430" s="6">
        <v>4</v>
      </c>
      <c r="K430" s="6">
        <v>6.62</v>
      </c>
      <c r="L430" s="6">
        <v>-5.78</v>
      </c>
      <c r="M430" s="6">
        <v>10.3</v>
      </c>
      <c r="N430" s="6">
        <v>-1.6</v>
      </c>
    </row>
    <row r="431" hidden="1" spans="1:14">
      <c r="A431" s="4" t="s">
        <v>1816</v>
      </c>
      <c r="B431" s="5" t="s">
        <v>1721</v>
      </c>
      <c r="C431" s="6" t="s">
        <v>47</v>
      </c>
      <c r="D431" s="6">
        <v>9.326</v>
      </c>
      <c r="E431" s="8">
        <v>14763396</v>
      </c>
      <c r="F431" s="8">
        <v>399894</v>
      </c>
      <c r="G431" s="6">
        <v>0</v>
      </c>
      <c r="H431" s="8">
        <v>0</v>
      </c>
      <c r="I431" s="6">
        <v>134.7</v>
      </c>
      <c r="J431" s="6">
        <v>6.5</v>
      </c>
      <c r="K431" s="6">
        <v>5.65</v>
      </c>
      <c r="L431" s="6">
        <v>8.15</v>
      </c>
      <c r="M431" s="6">
        <v>6.5</v>
      </c>
      <c r="N431" s="6">
        <v>3.6</v>
      </c>
    </row>
    <row r="432" hidden="1" spans="1:14">
      <c r="A432" s="4" t="s">
        <v>1817</v>
      </c>
      <c r="B432" s="5" t="s">
        <v>1721</v>
      </c>
      <c r="C432" s="6" t="s">
        <v>44</v>
      </c>
      <c r="D432" s="6">
        <v>9.349</v>
      </c>
      <c r="E432" s="8">
        <v>12834743</v>
      </c>
      <c r="F432" s="8">
        <v>258163</v>
      </c>
      <c r="G432" s="6">
        <v>0</v>
      </c>
      <c r="H432" s="8">
        <v>0</v>
      </c>
      <c r="I432" s="6">
        <v>130.3</v>
      </c>
      <c r="J432" s="6">
        <v>6.25</v>
      </c>
      <c r="K432" s="6">
        <v>6.7</v>
      </c>
      <c r="L432" s="6">
        <v>6.99</v>
      </c>
      <c r="M432" s="6">
        <v>6.7</v>
      </c>
      <c r="N432" s="6">
        <v>1.8</v>
      </c>
    </row>
    <row r="433" hidden="1" spans="1:14">
      <c r="A433" s="4" t="s">
        <v>1818</v>
      </c>
      <c r="B433" s="5" t="s">
        <v>1721</v>
      </c>
      <c r="C433" s="6" t="s">
        <v>45</v>
      </c>
      <c r="D433" s="6">
        <v>8.184</v>
      </c>
      <c r="E433" s="8">
        <v>19469201</v>
      </c>
      <c r="F433" s="8">
        <v>756873</v>
      </c>
      <c r="G433" s="6">
        <v>0</v>
      </c>
      <c r="H433" s="8">
        <v>0</v>
      </c>
      <c r="I433" s="6">
        <v>134.7</v>
      </c>
      <c r="J433" s="6">
        <v>6.5</v>
      </c>
      <c r="K433" s="6">
        <v>5.65</v>
      </c>
      <c r="L433" s="6">
        <v>8.15</v>
      </c>
      <c r="M433" s="6">
        <v>6.6</v>
      </c>
      <c r="N433" s="6">
        <v>4.1</v>
      </c>
    </row>
    <row r="434" hidden="1" spans="1:14">
      <c r="A434" s="4" t="s">
        <v>1819</v>
      </c>
      <c r="B434" s="5" t="s">
        <v>1721</v>
      </c>
      <c r="C434" s="6" t="s">
        <v>38</v>
      </c>
      <c r="D434" s="6">
        <v>7.908</v>
      </c>
      <c r="E434" s="8">
        <v>33378684</v>
      </c>
      <c r="F434" s="8">
        <v>722070</v>
      </c>
      <c r="G434" s="6">
        <v>0</v>
      </c>
      <c r="H434" s="8">
        <v>0</v>
      </c>
      <c r="I434" s="6">
        <v>124.8</v>
      </c>
      <c r="J434" s="6">
        <v>4</v>
      </c>
      <c r="K434" s="6">
        <v>5.13</v>
      </c>
      <c r="L434" s="6">
        <v>9.69</v>
      </c>
      <c r="M434" s="6">
        <v>9.8</v>
      </c>
      <c r="N434" s="6">
        <v>8.7</v>
      </c>
    </row>
    <row r="435" hidden="1" spans="1:14">
      <c r="A435" s="4" t="s">
        <v>1820</v>
      </c>
      <c r="B435" s="5" t="s">
        <v>1721</v>
      </c>
      <c r="C435" s="6" t="s">
        <v>41</v>
      </c>
      <c r="D435" s="6">
        <v>8.819</v>
      </c>
      <c r="E435" s="8">
        <v>2555925</v>
      </c>
      <c r="F435" s="8">
        <v>78488</v>
      </c>
      <c r="G435" s="6">
        <v>0</v>
      </c>
      <c r="H435" s="8">
        <v>0</v>
      </c>
      <c r="I435" s="6">
        <v>130.3</v>
      </c>
      <c r="J435" s="6">
        <v>4</v>
      </c>
      <c r="K435" s="6">
        <v>6.7</v>
      </c>
      <c r="L435" s="6">
        <v>6.99</v>
      </c>
      <c r="M435" s="6">
        <v>6.6</v>
      </c>
      <c r="N435" s="6">
        <v>13.8</v>
      </c>
    </row>
    <row r="436" hidden="1" spans="1:14">
      <c r="A436" s="4" t="s">
        <v>1821</v>
      </c>
      <c r="B436" s="5" t="s">
        <v>1721</v>
      </c>
      <c r="C436" s="6" t="s">
        <v>44</v>
      </c>
      <c r="D436" s="6">
        <v>8.582</v>
      </c>
      <c r="E436" s="8">
        <v>12262303</v>
      </c>
      <c r="F436" s="8">
        <v>390470</v>
      </c>
      <c r="G436" s="6">
        <v>0</v>
      </c>
      <c r="H436" s="8">
        <v>0</v>
      </c>
      <c r="I436" s="6">
        <v>130.3</v>
      </c>
      <c r="J436" s="6">
        <v>6.25</v>
      </c>
      <c r="K436" s="6">
        <v>6.7</v>
      </c>
      <c r="L436" s="6">
        <v>6.99</v>
      </c>
      <c r="M436" s="6">
        <v>6.7</v>
      </c>
      <c r="N436" s="6">
        <v>1.8</v>
      </c>
    </row>
    <row r="437" hidden="1" spans="1:14">
      <c r="A437" s="4" t="s">
        <v>1822</v>
      </c>
      <c r="B437" s="5" t="s">
        <v>1721</v>
      </c>
      <c r="C437" s="6" t="s">
        <v>29</v>
      </c>
      <c r="D437" s="6">
        <v>8.57</v>
      </c>
      <c r="E437" s="8">
        <v>9787438</v>
      </c>
      <c r="F437" s="8">
        <v>279213</v>
      </c>
      <c r="G437" s="6">
        <v>0</v>
      </c>
      <c r="H437" s="8">
        <v>0</v>
      </c>
      <c r="I437" s="6">
        <v>121.5</v>
      </c>
      <c r="J437" s="6">
        <v>6</v>
      </c>
      <c r="K437" s="6">
        <v>3.73</v>
      </c>
      <c r="L437" s="6">
        <v>3.87</v>
      </c>
      <c r="M437" s="6">
        <v>7</v>
      </c>
      <c r="N437" s="6">
        <v>3.6</v>
      </c>
    </row>
    <row r="438" hidden="1" spans="1:14">
      <c r="A438" s="4" t="s">
        <v>1823</v>
      </c>
      <c r="B438" s="5" t="s">
        <v>1721</v>
      </c>
      <c r="C438" s="6" t="s">
        <v>30</v>
      </c>
      <c r="D438" s="6">
        <v>8.545</v>
      </c>
      <c r="E438" s="8">
        <v>5560735</v>
      </c>
      <c r="F438" s="8">
        <v>78537</v>
      </c>
      <c r="G438" s="6">
        <v>0</v>
      </c>
      <c r="H438" s="8">
        <v>0</v>
      </c>
      <c r="I438" s="6">
        <v>121.5</v>
      </c>
      <c r="J438" s="6">
        <v>5.75</v>
      </c>
      <c r="K438" s="6">
        <v>3.73</v>
      </c>
      <c r="L438" s="6">
        <v>3.87</v>
      </c>
      <c r="M438" s="6">
        <v>8.4</v>
      </c>
      <c r="N438" s="6">
        <v>0.6</v>
      </c>
    </row>
    <row r="439" hidden="1" spans="1:14">
      <c r="A439" s="4" t="s">
        <v>1824</v>
      </c>
      <c r="B439" s="5" t="s">
        <v>1721</v>
      </c>
      <c r="C439" s="6" t="s">
        <v>31</v>
      </c>
      <c r="D439" s="6">
        <v>8.412</v>
      </c>
      <c r="E439" s="8">
        <v>4040192</v>
      </c>
      <c r="F439" s="8">
        <v>186247</v>
      </c>
      <c r="G439" s="6">
        <v>0</v>
      </c>
      <c r="H439" s="8">
        <v>0</v>
      </c>
      <c r="I439" s="6">
        <v>121.5</v>
      </c>
      <c r="J439" s="6">
        <v>5.4</v>
      </c>
      <c r="K439" s="6">
        <v>3.73</v>
      </c>
      <c r="L439" s="6">
        <v>3.87</v>
      </c>
      <c r="M439" s="6">
        <v>7.8</v>
      </c>
      <c r="N439" s="6">
        <v>0.7</v>
      </c>
    </row>
    <row r="440" hidden="1" spans="1:14">
      <c r="A440" s="4" t="s">
        <v>1825</v>
      </c>
      <c r="B440" s="5" t="s">
        <v>1721</v>
      </c>
      <c r="C440" s="6" t="s">
        <v>33</v>
      </c>
      <c r="D440" s="6">
        <v>7.854</v>
      </c>
      <c r="E440" s="8">
        <v>1157437</v>
      </c>
      <c r="F440" s="8">
        <v>30311</v>
      </c>
      <c r="G440" s="6">
        <v>0</v>
      </c>
      <c r="H440" s="8">
        <v>0</v>
      </c>
      <c r="I440" s="6">
        <v>118.2</v>
      </c>
      <c r="J440" s="6">
        <v>4.4</v>
      </c>
      <c r="K440" s="6">
        <v>6.62</v>
      </c>
      <c r="L440" s="6">
        <v>-5.78</v>
      </c>
      <c r="M440" s="6">
        <v>20.8</v>
      </c>
      <c r="N440" s="6">
        <v>-37</v>
      </c>
    </row>
    <row r="441" hidden="1" spans="1:14">
      <c r="A441" s="4" t="s">
        <v>1826</v>
      </c>
      <c r="B441" s="5" t="s">
        <v>1721</v>
      </c>
      <c r="C441" s="6" t="s">
        <v>32</v>
      </c>
      <c r="D441" s="6">
        <v>7.157</v>
      </c>
      <c r="E441" s="8">
        <v>45025797</v>
      </c>
      <c r="F441" s="8">
        <v>715108</v>
      </c>
      <c r="G441" s="6">
        <v>0</v>
      </c>
      <c r="H441" s="8">
        <v>0</v>
      </c>
      <c r="I441" s="6">
        <v>121.5</v>
      </c>
      <c r="J441" s="6">
        <v>5.15</v>
      </c>
      <c r="K441" s="6">
        <v>3.73</v>
      </c>
      <c r="L441" s="6">
        <v>3.87</v>
      </c>
      <c r="M441" s="6">
        <v>9.1</v>
      </c>
      <c r="N441" s="6">
        <v>-16.7</v>
      </c>
    </row>
    <row r="442" hidden="1" spans="1:14">
      <c r="A442" s="4" t="s">
        <v>1827</v>
      </c>
      <c r="B442" s="5" t="s">
        <v>1721</v>
      </c>
      <c r="C442" s="6" t="s">
        <v>38</v>
      </c>
      <c r="D442" s="6">
        <v>8.141</v>
      </c>
      <c r="E442" s="8">
        <v>803708</v>
      </c>
      <c r="F442" s="8">
        <v>32381</v>
      </c>
      <c r="G442" s="6">
        <v>0</v>
      </c>
      <c r="H442" s="8">
        <v>0</v>
      </c>
      <c r="I442" s="6">
        <v>124.8</v>
      </c>
      <c r="J442" s="6">
        <v>4</v>
      </c>
      <c r="K442" s="6">
        <v>5.13</v>
      </c>
      <c r="L442" s="6">
        <v>9.69</v>
      </c>
      <c r="M442" s="6">
        <v>9.8</v>
      </c>
      <c r="N442" s="6">
        <v>8.7</v>
      </c>
    </row>
    <row r="443" hidden="1" spans="1:14">
      <c r="A443" s="4" t="s">
        <v>1828</v>
      </c>
      <c r="B443" s="5" t="s">
        <v>1721</v>
      </c>
      <c r="C443" s="6" t="s">
        <v>48</v>
      </c>
      <c r="D443" s="6">
        <v>8.681</v>
      </c>
      <c r="E443" s="8">
        <v>13610256</v>
      </c>
      <c r="F443" s="8">
        <v>594392</v>
      </c>
      <c r="G443" s="6">
        <v>0</v>
      </c>
      <c r="H443" s="8">
        <v>0</v>
      </c>
      <c r="I443" s="6">
        <v>134.7</v>
      </c>
      <c r="J443" s="6">
        <v>6.5</v>
      </c>
      <c r="K443" s="6">
        <v>5.65</v>
      </c>
      <c r="L443" s="6">
        <v>8.15</v>
      </c>
      <c r="M443" s="6">
        <v>6.7</v>
      </c>
      <c r="N443" s="6">
        <v>5</v>
      </c>
    </row>
    <row r="444" hidden="1" spans="1:14">
      <c r="A444" s="4" t="s">
        <v>1829</v>
      </c>
      <c r="B444" s="5" t="s">
        <v>1721</v>
      </c>
      <c r="C444" s="6" t="s">
        <v>47</v>
      </c>
      <c r="D444" s="6">
        <v>9.246</v>
      </c>
      <c r="E444" s="8">
        <v>4379017</v>
      </c>
      <c r="F444" s="8">
        <v>167619</v>
      </c>
      <c r="G444" s="6">
        <v>0</v>
      </c>
      <c r="H444" s="8">
        <v>0</v>
      </c>
      <c r="I444" s="6">
        <v>134.7</v>
      </c>
      <c r="J444" s="6">
        <v>6.5</v>
      </c>
      <c r="K444" s="6">
        <v>5.65</v>
      </c>
      <c r="L444" s="6">
        <v>8.15</v>
      </c>
      <c r="M444" s="6">
        <v>6.5</v>
      </c>
      <c r="N444" s="6">
        <v>3.6</v>
      </c>
    </row>
    <row r="445" hidden="1" spans="1:14">
      <c r="A445" s="4" t="s">
        <v>1830</v>
      </c>
      <c r="B445" s="5" t="s">
        <v>1721</v>
      </c>
      <c r="C445" s="6" t="s">
        <v>34</v>
      </c>
      <c r="D445" s="6">
        <v>7.944</v>
      </c>
      <c r="E445" s="8">
        <v>21752806</v>
      </c>
      <c r="F445" s="8">
        <v>522453</v>
      </c>
      <c r="G445" s="6">
        <v>0</v>
      </c>
      <c r="H445" s="8">
        <v>0</v>
      </c>
      <c r="I445" s="6">
        <v>118.2</v>
      </c>
      <c r="J445" s="6">
        <v>4</v>
      </c>
      <c r="K445" s="6">
        <v>6.62</v>
      </c>
      <c r="L445" s="6">
        <v>-5.78</v>
      </c>
      <c r="M445" s="6">
        <v>13.2</v>
      </c>
      <c r="N445" s="6">
        <v>-8.6</v>
      </c>
    </row>
    <row r="446" hidden="1" spans="1:14">
      <c r="A446" s="4" t="s">
        <v>1831</v>
      </c>
      <c r="B446" s="5" t="s">
        <v>1721</v>
      </c>
      <c r="C446" s="6" t="s">
        <v>29</v>
      </c>
      <c r="D446" s="6">
        <v>8.469</v>
      </c>
      <c r="E446" s="8">
        <v>17366433</v>
      </c>
      <c r="F446" s="8">
        <v>331986</v>
      </c>
      <c r="G446" s="6">
        <v>0</v>
      </c>
      <c r="H446" s="8">
        <v>0</v>
      </c>
      <c r="I446" s="6">
        <v>121.5</v>
      </c>
      <c r="J446" s="6">
        <v>6</v>
      </c>
      <c r="K446" s="6">
        <v>3.73</v>
      </c>
      <c r="L446" s="6">
        <v>3.87</v>
      </c>
      <c r="M446" s="6">
        <v>7</v>
      </c>
      <c r="N446" s="6">
        <v>3.6</v>
      </c>
    </row>
    <row r="447" hidden="1" spans="1:14">
      <c r="A447" s="4" t="s">
        <v>1832</v>
      </c>
      <c r="B447" s="5" t="s">
        <v>1721</v>
      </c>
      <c r="C447" s="6" t="s">
        <v>47</v>
      </c>
      <c r="D447" s="6">
        <v>8.45</v>
      </c>
      <c r="E447" s="8">
        <v>1996865</v>
      </c>
      <c r="F447" s="8">
        <v>86604</v>
      </c>
      <c r="G447" s="6">
        <v>0</v>
      </c>
      <c r="H447" s="8">
        <v>0</v>
      </c>
      <c r="I447" s="6">
        <v>134.7</v>
      </c>
      <c r="J447" s="6">
        <v>6.5</v>
      </c>
      <c r="K447" s="6">
        <v>5.65</v>
      </c>
      <c r="L447" s="6">
        <v>8.15</v>
      </c>
      <c r="M447" s="6">
        <v>6.5</v>
      </c>
      <c r="N447" s="6">
        <v>3.6</v>
      </c>
    </row>
    <row r="448" hidden="1" spans="1:14">
      <c r="A448" s="4" t="s">
        <v>1833</v>
      </c>
      <c r="B448" s="5" t="s">
        <v>1721</v>
      </c>
      <c r="C448" s="6" t="s">
        <v>32</v>
      </c>
      <c r="D448" s="6">
        <v>7.793</v>
      </c>
      <c r="E448" s="8">
        <v>27998986</v>
      </c>
      <c r="F448" s="8">
        <v>1033993</v>
      </c>
      <c r="G448" s="6">
        <v>0</v>
      </c>
      <c r="H448" s="8">
        <v>0</v>
      </c>
      <c r="I448" s="6">
        <v>121.5</v>
      </c>
      <c r="J448" s="6">
        <v>5.15</v>
      </c>
      <c r="K448" s="6">
        <v>3.73</v>
      </c>
      <c r="L448" s="6">
        <v>3.87</v>
      </c>
      <c r="M448" s="6">
        <v>9.1</v>
      </c>
      <c r="N448" s="6">
        <v>-16.7</v>
      </c>
    </row>
    <row r="449" hidden="1" spans="1:14">
      <c r="A449" s="4" t="s">
        <v>1834</v>
      </c>
      <c r="B449" s="5" t="s">
        <v>1721</v>
      </c>
      <c r="C449" s="6" t="s">
        <v>29</v>
      </c>
      <c r="D449" s="6">
        <v>7.231</v>
      </c>
      <c r="E449" s="8">
        <v>13569085</v>
      </c>
      <c r="F449" s="8">
        <v>457294</v>
      </c>
      <c r="G449" s="6">
        <v>0</v>
      </c>
      <c r="H449" s="8">
        <v>0</v>
      </c>
      <c r="I449" s="6">
        <v>121.5</v>
      </c>
      <c r="J449" s="6">
        <v>6</v>
      </c>
      <c r="K449" s="6">
        <v>3.73</v>
      </c>
      <c r="L449" s="6">
        <v>3.87</v>
      </c>
      <c r="M449" s="6">
        <v>7</v>
      </c>
      <c r="N449" s="6">
        <v>3.6</v>
      </c>
    </row>
    <row r="450" hidden="1" spans="1:14">
      <c r="A450" s="4" t="s">
        <v>1835</v>
      </c>
      <c r="B450" s="5" t="s">
        <v>1721</v>
      </c>
      <c r="C450" s="6" t="s">
        <v>43</v>
      </c>
      <c r="D450" s="6">
        <v>9.227</v>
      </c>
      <c r="E450" s="8">
        <v>19584980</v>
      </c>
      <c r="F450" s="8">
        <v>926902</v>
      </c>
      <c r="G450" s="6">
        <v>0</v>
      </c>
      <c r="H450" s="8">
        <v>0</v>
      </c>
      <c r="I450" s="6">
        <v>130.3</v>
      </c>
      <c r="J450" s="6">
        <v>5.9</v>
      </c>
      <c r="K450" s="6">
        <v>6.7</v>
      </c>
      <c r="L450" s="6">
        <v>6.99</v>
      </c>
      <c r="M450" s="6">
        <v>7.2</v>
      </c>
      <c r="N450" s="6">
        <v>4.5</v>
      </c>
    </row>
    <row r="451" hidden="1" spans="1:14">
      <c r="A451" s="4" t="s">
        <v>1836</v>
      </c>
      <c r="B451" s="5" t="s">
        <v>1721</v>
      </c>
      <c r="C451" s="6" t="s">
        <v>47</v>
      </c>
      <c r="D451" s="6">
        <v>8.487</v>
      </c>
      <c r="E451" s="8">
        <v>2182945</v>
      </c>
      <c r="F451" s="8">
        <v>3876</v>
      </c>
      <c r="G451" s="6">
        <v>0</v>
      </c>
      <c r="H451" s="8">
        <v>0</v>
      </c>
      <c r="I451" s="6">
        <v>134.7</v>
      </c>
      <c r="J451" s="6">
        <v>6.5</v>
      </c>
      <c r="K451" s="6">
        <v>5.65</v>
      </c>
      <c r="L451" s="6">
        <v>8.15</v>
      </c>
      <c r="M451" s="6">
        <v>6.5</v>
      </c>
      <c r="N451" s="6">
        <v>3.6</v>
      </c>
    </row>
    <row r="452" hidden="1" spans="1:14">
      <c r="A452" s="4" t="s">
        <v>1837</v>
      </c>
      <c r="B452" s="5" t="s">
        <v>1721</v>
      </c>
      <c r="C452" s="6" t="s">
        <v>44</v>
      </c>
      <c r="D452" s="6">
        <v>8.768</v>
      </c>
      <c r="E452" s="8">
        <v>22047604</v>
      </c>
      <c r="F452" s="8">
        <v>795936</v>
      </c>
      <c r="G452" s="6">
        <v>0</v>
      </c>
      <c r="H452" s="8">
        <v>0</v>
      </c>
      <c r="I452" s="6">
        <v>130.3</v>
      </c>
      <c r="J452" s="6">
        <v>6.25</v>
      </c>
      <c r="K452" s="6">
        <v>6.7</v>
      </c>
      <c r="L452" s="6">
        <v>6.99</v>
      </c>
      <c r="M452" s="6">
        <v>6.7</v>
      </c>
      <c r="N452" s="6">
        <v>1.8</v>
      </c>
    </row>
    <row r="453" hidden="1" spans="1:14">
      <c r="A453" s="4" t="s">
        <v>1838</v>
      </c>
      <c r="B453" s="5" t="s">
        <v>1721</v>
      </c>
      <c r="C453" s="6" t="s">
        <v>35</v>
      </c>
      <c r="D453" s="6">
        <v>8.279</v>
      </c>
      <c r="E453" s="8">
        <v>7157265</v>
      </c>
      <c r="F453" s="8">
        <v>29035</v>
      </c>
      <c r="G453" s="6">
        <v>0</v>
      </c>
      <c r="H453" s="8">
        <v>0</v>
      </c>
      <c r="I453" s="6">
        <v>118.2</v>
      </c>
      <c r="J453" s="6">
        <v>4</v>
      </c>
      <c r="K453" s="6">
        <v>6.62</v>
      </c>
      <c r="L453" s="6">
        <v>-5.78</v>
      </c>
      <c r="M453" s="6">
        <v>10.3</v>
      </c>
      <c r="N453" s="6">
        <v>-1.6</v>
      </c>
    </row>
    <row r="454" hidden="1" spans="1:14">
      <c r="A454" s="4" t="s">
        <v>1839</v>
      </c>
      <c r="B454" s="5" t="s">
        <v>1721</v>
      </c>
      <c r="C454" s="6" t="s">
        <v>72</v>
      </c>
      <c r="D454" s="6">
        <v>8.851</v>
      </c>
      <c r="E454" s="8">
        <v>16392669</v>
      </c>
      <c r="F454" s="8">
        <v>770995</v>
      </c>
      <c r="G454" s="6">
        <v>0</v>
      </c>
      <c r="H454" s="8">
        <v>0</v>
      </c>
      <c r="I454" s="6">
        <v>120</v>
      </c>
      <c r="J454" s="6">
        <v>6.5</v>
      </c>
      <c r="K454" s="6">
        <v>4.87</v>
      </c>
      <c r="L454" s="6">
        <v>6.5</v>
      </c>
      <c r="M454" s="6">
        <v>6.5</v>
      </c>
      <c r="N454" s="6">
        <v>4</v>
      </c>
    </row>
    <row r="455" hidden="1" spans="1:14">
      <c r="A455" s="4" t="s">
        <v>1840</v>
      </c>
      <c r="B455" s="5" t="s">
        <v>1721</v>
      </c>
      <c r="C455" s="6" t="s">
        <v>36</v>
      </c>
      <c r="D455" s="6">
        <v>7.969</v>
      </c>
      <c r="E455" s="8">
        <v>30843563</v>
      </c>
      <c r="F455" s="8">
        <v>21803166</v>
      </c>
      <c r="G455" s="6">
        <v>1</v>
      </c>
      <c r="H455" s="8">
        <v>11577171</v>
      </c>
      <c r="I455" s="6">
        <v>118.2</v>
      </c>
      <c r="J455" s="6">
        <v>4</v>
      </c>
      <c r="K455" s="6">
        <v>6.62</v>
      </c>
      <c r="L455" s="6">
        <v>-5.78</v>
      </c>
      <c r="M455" s="6">
        <v>9.3</v>
      </c>
      <c r="N455" s="6">
        <v>6.4</v>
      </c>
    </row>
    <row r="456" hidden="1" spans="1:14">
      <c r="A456" s="4" t="s">
        <v>1841</v>
      </c>
      <c r="B456" s="5" t="s">
        <v>1721</v>
      </c>
      <c r="C456" s="6" t="s">
        <v>47</v>
      </c>
      <c r="D456" s="6">
        <v>8.845</v>
      </c>
      <c r="E456" s="8">
        <v>5239322</v>
      </c>
      <c r="F456" s="8">
        <v>178688</v>
      </c>
      <c r="G456" s="6">
        <v>0</v>
      </c>
      <c r="H456" s="8">
        <v>0</v>
      </c>
      <c r="I456" s="6">
        <v>134.7</v>
      </c>
      <c r="J456" s="6">
        <v>6.5</v>
      </c>
      <c r="K456" s="6">
        <v>5.65</v>
      </c>
      <c r="L456" s="6">
        <v>8.15</v>
      </c>
      <c r="M456" s="6">
        <v>6.5</v>
      </c>
      <c r="N456" s="6">
        <v>3.6</v>
      </c>
    </row>
    <row r="457" hidden="1" spans="1:14">
      <c r="A457" s="4" t="s">
        <v>1842</v>
      </c>
      <c r="B457" s="5" t="s">
        <v>1721</v>
      </c>
      <c r="C457" s="6" t="s">
        <v>41</v>
      </c>
      <c r="D457" s="6">
        <v>7.824</v>
      </c>
      <c r="E457" s="8">
        <v>10322556</v>
      </c>
      <c r="F457" s="8">
        <v>118411</v>
      </c>
      <c r="G457" s="6">
        <v>0</v>
      </c>
      <c r="H457" s="8">
        <v>0</v>
      </c>
      <c r="I457" s="6">
        <v>130.3</v>
      </c>
      <c r="J457" s="6">
        <v>4</v>
      </c>
      <c r="K457" s="6">
        <v>6.7</v>
      </c>
      <c r="L457" s="6">
        <v>6.99</v>
      </c>
      <c r="M457" s="6">
        <v>6.6</v>
      </c>
      <c r="N457" s="6">
        <v>13.8</v>
      </c>
    </row>
    <row r="458" hidden="1" spans="1:14">
      <c r="A458" s="4" t="s">
        <v>1843</v>
      </c>
      <c r="B458" s="5" t="s">
        <v>1721</v>
      </c>
      <c r="C458" s="6" t="s">
        <v>45</v>
      </c>
      <c r="D458" s="6">
        <v>8.946</v>
      </c>
      <c r="E458" s="8">
        <v>13352861</v>
      </c>
      <c r="F458" s="8">
        <v>164738</v>
      </c>
      <c r="G458" s="6">
        <v>0</v>
      </c>
      <c r="H458" s="8">
        <v>0</v>
      </c>
      <c r="I458" s="6">
        <v>134.7</v>
      </c>
      <c r="J458" s="6">
        <v>6.5</v>
      </c>
      <c r="K458" s="6">
        <v>5.65</v>
      </c>
      <c r="L458" s="6">
        <v>8.15</v>
      </c>
      <c r="M458" s="6">
        <v>6.6</v>
      </c>
      <c r="N458" s="6">
        <v>4.1</v>
      </c>
    </row>
    <row r="459" hidden="1" spans="1:14">
      <c r="A459" s="4" t="s">
        <v>1844</v>
      </c>
      <c r="B459" s="5" t="s">
        <v>1721</v>
      </c>
      <c r="C459" s="6" t="s">
        <v>34</v>
      </c>
      <c r="D459" s="6">
        <v>7.25</v>
      </c>
      <c r="E459" s="8">
        <v>1292970</v>
      </c>
      <c r="F459" s="8">
        <v>26766</v>
      </c>
      <c r="G459" s="6">
        <v>0</v>
      </c>
      <c r="H459" s="8">
        <v>0</v>
      </c>
      <c r="I459" s="6">
        <v>118.2</v>
      </c>
      <c r="J459" s="6">
        <v>4</v>
      </c>
      <c r="K459" s="6">
        <v>6.62</v>
      </c>
      <c r="L459" s="6">
        <v>-5.78</v>
      </c>
      <c r="M459" s="6">
        <v>13.2</v>
      </c>
      <c r="N459" s="6">
        <v>-8.6</v>
      </c>
    </row>
    <row r="460" hidden="1" spans="1:14">
      <c r="A460" s="4" t="s">
        <v>1845</v>
      </c>
      <c r="B460" s="5" t="s">
        <v>1721</v>
      </c>
      <c r="C460" s="6" t="s">
        <v>47</v>
      </c>
      <c r="D460" s="6">
        <v>8.212</v>
      </c>
      <c r="E460" s="8">
        <v>8005064</v>
      </c>
      <c r="F460" s="8">
        <v>45654</v>
      </c>
      <c r="G460" s="6">
        <v>0</v>
      </c>
      <c r="H460" s="8">
        <v>0</v>
      </c>
      <c r="I460" s="6">
        <v>134.7</v>
      </c>
      <c r="J460" s="6">
        <v>6.5</v>
      </c>
      <c r="K460" s="6">
        <v>5.65</v>
      </c>
      <c r="L460" s="6">
        <v>8.15</v>
      </c>
      <c r="M460" s="6">
        <v>6.5</v>
      </c>
      <c r="N460" s="6">
        <v>3.6</v>
      </c>
    </row>
    <row r="461" hidden="1" spans="1:14">
      <c r="A461" s="4" t="s">
        <v>1846</v>
      </c>
      <c r="B461" s="5" t="s">
        <v>1721</v>
      </c>
      <c r="C461" s="6" t="s">
        <v>35</v>
      </c>
      <c r="D461" s="6">
        <v>8.304</v>
      </c>
      <c r="E461" s="8">
        <v>19884302</v>
      </c>
      <c r="F461" s="8">
        <v>421301</v>
      </c>
      <c r="G461" s="6">
        <v>0</v>
      </c>
      <c r="H461" s="8">
        <v>0</v>
      </c>
      <c r="I461" s="6">
        <v>118.2</v>
      </c>
      <c r="J461" s="6">
        <v>4</v>
      </c>
      <c r="K461" s="6">
        <v>6.62</v>
      </c>
      <c r="L461" s="6">
        <v>-5.78</v>
      </c>
      <c r="M461" s="6">
        <v>10.3</v>
      </c>
      <c r="N461" s="6">
        <v>-1.6</v>
      </c>
    </row>
    <row r="462" hidden="1" spans="1:14">
      <c r="A462" s="4" t="s">
        <v>1847</v>
      </c>
      <c r="B462" s="5" t="s">
        <v>1721</v>
      </c>
      <c r="C462" s="6" t="s">
        <v>72</v>
      </c>
      <c r="D462" s="6">
        <v>8.835</v>
      </c>
      <c r="E462" s="8">
        <v>27901686</v>
      </c>
      <c r="F462" s="8">
        <v>530054</v>
      </c>
      <c r="G462" s="6">
        <v>0</v>
      </c>
      <c r="H462" s="8">
        <v>0</v>
      </c>
      <c r="I462" s="6">
        <v>120</v>
      </c>
      <c r="J462" s="6">
        <v>6.5</v>
      </c>
      <c r="K462" s="6">
        <v>4.87</v>
      </c>
      <c r="L462" s="6">
        <v>6.5</v>
      </c>
      <c r="M462" s="6">
        <v>6.5</v>
      </c>
      <c r="N462" s="6">
        <v>4</v>
      </c>
    </row>
    <row r="463" hidden="1" spans="1:14">
      <c r="A463" s="4" t="s">
        <v>1848</v>
      </c>
      <c r="B463" s="5" t="s">
        <v>1721</v>
      </c>
      <c r="C463" s="6" t="s">
        <v>41</v>
      </c>
      <c r="D463" s="6">
        <v>8.501</v>
      </c>
      <c r="E463" s="8">
        <v>6137445</v>
      </c>
      <c r="F463" s="8">
        <v>249655</v>
      </c>
      <c r="G463" s="6">
        <v>0</v>
      </c>
      <c r="H463" s="8">
        <v>0</v>
      </c>
      <c r="I463" s="6">
        <v>130.3</v>
      </c>
      <c r="J463" s="6">
        <v>4</v>
      </c>
      <c r="K463" s="6">
        <v>6.7</v>
      </c>
      <c r="L463" s="6">
        <v>6.99</v>
      </c>
      <c r="M463" s="6">
        <v>6.6</v>
      </c>
      <c r="N463" s="6">
        <v>13.8</v>
      </c>
    </row>
    <row r="464" hidden="1" spans="1:14">
      <c r="A464" s="4" t="s">
        <v>1849</v>
      </c>
      <c r="B464" s="5" t="s">
        <v>1721</v>
      </c>
      <c r="C464" s="6" t="s">
        <v>42</v>
      </c>
      <c r="D464" s="6">
        <v>8.939</v>
      </c>
      <c r="E464" s="8">
        <v>1008361</v>
      </c>
      <c r="F464" s="8">
        <v>29708</v>
      </c>
      <c r="G464" s="6">
        <v>0</v>
      </c>
      <c r="H464" s="8">
        <v>0</v>
      </c>
      <c r="I464" s="6">
        <v>130.3</v>
      </c>
      <c r="J464" s="6">
        <v>4.9</v>
      </c>
      <c r="K464" s="6">
        <v>6.7</v>
      </c>
      <c r="L464" s="6">
        <v>6.99</v>
      </c>
      <c r="M464" s="6">
        <v>6.6</v>
      </c>
      <c r="N464" s="6">
        <v>5.6</v>
      </c>
    </row>
    <row r="465" hidden="1" spans="1:14">
      <c r="A465" s="4" t="s">
        <v>1850</v>
      </c>
      <c r="B465" s="5" t="s">
        <v>1721</v>
      </c>
      <c r="C465" s="6" t="s">
        <v>41</v>
      </c>
      <c r="D465" s="6">
        <v>8.023</v>
      </c>
      <c r="E465" s="8">
        <v>8019862</v>
      </c>
      <c r="F465" s="8">
        <v>305786</v>
      </c>
      <c r="G465" s="6">
        <v>0</v>
      </c>
      <c r="H465" s="8">
        <v>0</v>
      </c>
      <c r="I465" s="6">
        <v>130.3</v>
      </c>
      <c r="J465" s="6">
        <v>4</v>
      </c>
      <c r="K465" s="6">
        <v>6.7</v>
      </c>
      <c r="L465" s="6">
        <v>6.99</v>
      </c>
      <c r="M465" s="6">
        <v>6.6</v>
      </c>
      <c r="N465" s="6">
        <v>13.8</v>
      </c>
    </row>
    <row r="466" hidden="1" spans="1:14">
      <c r="A466" s="4" t="s">
        <v>1851</v>
      </c>
      <c r="B466" s="5" t="s">
        <v>1721</v>
      </c>
      <c r="C466" s="6" t="s">
        <v>30</v>
      </c>
      <c r="D466" s="6">
        <v>7.649</v>
      </c>
      <c r="E466" s="8">
        <v>4872968</v>
      </c>
      <c r="F466" s="8">
        <v>135045</v>
      </c>
      <c r="G466" s="6">
        <v>0</v>
      </c>
      <c r="H466" s="8">
        <v>0</v>
      </c>
      <c r="I466" s="6">
        <v>121.5</v>
      </c>
      <c r="J466" s="6">
        <v>5.75</v>
      </c>
      <c r="K466" s="6">
        <v>3.73</v>
      </c>
      <c r="L466" s="6">
        <v>3.87</v>
      </c>
      <c r="M466" s="6">
        <v>8.4</v>
      </c>
      <c r="N466" s="6">
        <v>0.6</v>
      </c>
    </row>
    <row r="467" hidden="1" spans="1:14">
      <c r="A467" s="4" t="s">
        <v>1852</v>
      </c>
      <c r="B467" s="5" t="s">
        <v>1721</v>
      </c>
      <c r="C467" s="6" t="s">
        <v>45</v>
      </c>
      <c r="D467" s="6">
        <v>9.409</v>
      </c>
      <c r="E467" s="8">
        <v>10945226</v>
      </c>
      <c r="F467" s="8">
        <v>533322</v>
      </c>
      <c r="G467" s="6">
        <v>0</v>
      </c>
      <c r="H467" s="8">
        <v>0</v>
      </c>
      <c r="I467" s="6">
        <v>134.7</v>
      </c>
      <c r="J467" s="6">
        <v>6.5</v>
      </c>
      <c r="K467" s="6">
        <v>5.65</v>
      </c>
      <c r="L467" s="6">
        <v>8.15</v>
      </c>
      <c r="M467" s="6">
        <v>6.6</v>
      </c>
      <c r="N467" s="6">
        <v>4.1</v>
      </c>
    </row>
    <row r="468" hidden="1" spans="1:14">
      <c r="A468" s="4" t="s">
        <v>1853</v>
      </c>
      <c r="B468" s="5" t="s">
        <v>1721</v>
      </c>
      <c r="C468" s="6" t="s">
        <v>40</v>
      </c>
      <c r="D468" s="6">
        <v>8.284</v>
      </c>
      <c r="E468" s="8">
        <v>16777073</v>
      </c>
      <c r="F468" s="8">
        <v>787604</v>
      </c>
      <c r="G468" s="6">
        <v>0</v>
      </c>
      <c r="H468" s="8">
        <v>0</v>
      </c>
      <c r="I468" s="6">
        <v>124.8</v>
      </c>
      <c r="J468" s="6">
        <v>4</v>
      </c>
      <c r="K468" s="6">
        <v>5.13</v>
      </c>
      <c r="L468" s="6">
        <v>9.69</v>
      </c>
      <c r="M468" s="6">
        <v>8.2</v>
      </c>
      <c r="N468" s="6">
        <v>1.65</v>
      </c>
    </row>
    <row r="469" hidden="1" spans="1:14">
      <c r="A469" s="4" t="s">
        <v>1854</v>
      </c>
      <c r="B469" s="5" t="s">
        <v>1721</v>
      </c>
      <c r="C469" s="6" t="s">
        <v>43</v>
      </c>
      <c r="D469" s="6">
        <v>8.501</v>
      </c>
      <c r="E469" s="8">
        <v>21643638</v>
      </c>
      <c r="F469" s="8">
        <v>665015</v>
      </c>
      <c r="G469" s="6">
        <v>0</v>
      </c>
      <c r="H469" s="8">
        <v>0</v>
      </c>
      <c r="I469" s="6">
        <v>130.3</v>
      </c>
      <c r="J469" s="6">
        <v>5.9</v>
      </c>
      <c r="K469" s="6">
        <v>6.7</v>
      </c>
      <c r="L469" s="6">
        <v>6.99</v>
      </c>
      <c r="M469" s="6">
        <v>7.2</v>
      </c>
      <c r="N469" s="6">
        <v>4.5</v>
      </c>
    </row>
    <row r="470" hidden="1" spans="1:14">
      <c r="A470" s="4" t="s">
        <v>1855</v>
      </c>
      <c r="B470" s="5" t="s">
        <v>1721</v>
      </c>
      <c r="C470" s="6" t="s">
        <v>33</v>
      </c>
      <c r="D470" s="6">
        <v>8.496</v>
      </c>
      <c r="E470" s="8">
        <v>15888948</v>
      </c>
      <c r="F470" s="8">
        <v>564877</v>
      </c>
      <c r="G470" s="6">
        <v>0</v>
      </c>
      <c r="H470" s="8">
        <v>0</v>
      </c>
      <c r="I470" s="6">
        <v>118.2</v>
      </c>
      <c r="J470" s="6">
        <v>4.4</v>
      </c>
      <c r="K470" s="6">
        <v>6.62</v>
      </c>
      <c r="L470" s="6">
        <v>-5.78</v>
      </c>
      <c r="M470" s="6">
        <v>20.8</v>
      </c>
      <c r="N470" s="6">
        <v>-37</v>
      </c>
    </row>
    <row r="471" hidden="1" spans="1:14">
      <c r="A471" s="4" t="s">
        <v>1856</v>
      </c>
      <c r="B471" s="5" t="s">
        <v>1721</v>
      </c>
      <c r="C471" s="6" t="s">
        <v>37</v>
      </c>
      <c r="D471" s="6">
        <v>7.941</v>
      </c>
      <c r="E471" s="8">
        <v>2257854</v>
      </c>
      <c r="F471" s="8">
        <v>34191</v>
      </c>
      <c r="G471" s="6">
        <v>0</v>
      </c>
      <c r="H471" s="8">
        <v>0</v>
      </c>
      <c r="I471" s="6">
        <v>124.8</v>
      </c>
      <c r="J471" s="6">
        <v>4</v>
      </c>
      <c r="K471" s="6">
        <v>5.13</v>
      </c>
      <c r="L471" s="6">
        <v>9.69</v>
      </c>
      <c r="M471" s="6">
        <v>12.6</v>
      </c>
      <c r="N471" s="6">
        <v>45</v>
      </c>
    </row>
    <row r="472" hidden="1" spans="1:14">
      <c r="A472" s="4" t="s">
        <v>1857</v>
      </c>
      <c r="B472" s="5" t="s">
        <v>1721</v>
      </c>
      <c r="C472" s="6" t="s">
        <v>47</v>
      </c>
      <c r="D472" s="6">
        <v>9.058</v>
      </c>
      <c r="E472" s="8">
        <v>20077727</v>
      </c>
      <c r="F472" s="8">
        <v>499825</v>
      </c>
      <c r="G472" s="6">
        <v>0</v>
      </c>
      <c r="H472" s="8">
        <v>0</v>
      </c>
      <c r="I472" s="6">
        <v>134.7</v>
      </c>
      <c r="J472" s="6">
        <v>6.5</v>
      </c>
      <c r="K472" s="6">
        <v>5.65</v>
      </c>
      <c r="L472" s="6">
        <v>8.15</v>
      </c>
      <c r="M472" s="6">
        <v>6.5</v>
      </c>
      <c r="N472" s="6">
        <v>3.6</v>
      </c>
    </row>
    <row r="473" hidden="1" spans="1:14">
      <c r="A473" s="4" t="s">
        <v>1858</v>
      </c>
      <c r="B473" s="5" t="s">
        <v>1721</v>
      </c>
      <c r="C473" s="6" t="s">
        <v>41</v>
      </c>
      <c r="D473" s="6">
        <v>7.93</v>
      </c>
      <c r="E473" s="8">
        <v>22892909</v>
      </c>
      <c r="F473" s="8">
        <v>1120114</v>
      </c>
      <c r="G473" s="6">
        <v>0</v>
      </c>
      <c r="H473" s="8">
        <v>0</v>
      </c>
      <c r="I473" s="6">
        <v>130.3</v>
      </c>
      <c r="J473" s="6">
        <v>4</v>
      </c>
      <c r="K473" s="6">
        <v>6.7</v>
      </c>
      <c r="L473" s="6">
        <v>6.99</v>
      </c>
      <c r="M473" s="6">
        <v>6.6</v>
      </c>
      <c r="N473" s="6">
        <v>13.8</v>
      </c>
    </row>
    <row r="474" hidden="1" spans="1:14">
      <c r="A474" s="4" t="s">
        <v>1859</v>
      </c>
      <c r="B474" s="5" t="s">
        <v>1721</v>
      </c>
      <c r="C474" s="6" t="s">
        <v>47</v>
      </c>
      <c r="D474" s="6">
        <v>9.293</v>
      </c>
      <c r="E474" s="8">
        <v>5008962</v>
      </c>
      <c r="F474" s="8">
        <v>215172</v>
      </c>
      <c r="G474" s="6">
        <v>0</v>
      </c>
      <c r="H474" s="8">
        <v>0</v>
      </c>
      <c r="I474" s="6">
        <v>134.7</v>
      </c>
      <c r="J474" s="6">
        <v>6.5</v>
      </c>
      <c r="K474" s="6">
        <v>5.65</v>
      </c>
      <c r="L474" s="6">
        <v>8.15</v>
      </c>
      <c r="M474" s="6">
        <v>6.5</v>
      </c>
      <c r="N474" s="6">
        <v>3.6</v>
      </c>
    </row>
    <row r="475" hidden="1" spans="1:14">
      <c r="A475" s="4" t="s">
        <v>1860</v>
      </c>
      <c r="B475" s="5" t="s">
        <v>1721</v>
      </c>
      <c r="C475" s="6" t="s">
        <v>42</v>
      </c>
      <c r="D475" s="6">
        <v>8.593</v>
      </c>
      <c r="E475" s="8">
        <v>20706043</v>
      </c>
      <c r="F475" s="8">
        <v>974275</v>
      </c>
      <c r="G475" s="6">
        <v>0</v>
      </c>
      <c r="H475" s="8">
        <v>0</v>
      </c>
      <c r="I475" s="6">
        <v>130.3</v>
      </c>
      <c r="J475" s="6">
        <v>4.9</v>
      </c>
      <c r="K475" s="6">
        <v>6.7</v>
      </c>
      <c r="L475" s="6">
        <v>6.99</v>
      </c>
      <c r="M475" s="6">
        <v>6.6</v>
      </c>
      <c r="N475" s="6">
        <v>5.6</v>
      </c>
    </row>
    <row r="476" hidden="1" spans="1:14">
      <c r="A476" s="4" t="s">
        <v>1861</v>
      </c>
      <c r="B476" s="5" t="s">
        <v>1721</v>
      </c>
      <c r="C476" s="6" t="s">
        <v>33</v>
      </c>
      <c r="D476" s="6">
        <v>8.015</v>
      </c>
      <c r="E476" s="8">
        <v>35790181</v>
      </c>
      <c r="F476" s="8">
        <v>1558050</v>
      </c>
      <c r="G476" s="6">
        <v>0</v>
      </c>
      <c r="H476" s="8">
        <v>0</v>
      </c>
      <c r="I476" s="6">
        <v>118.2</v>
      </c>
      <c r="J476" s="6">
        <v>4.4</v>
      </c>
      <c r="K476" s="6">
        <v>6.62</v>
      </c>
      <c r="L476" s="6">
        <v>-5.78</v>
      </c>
      <c r="M476" s="6">
        <v>20.8</v>
      </c>
      <c r="N476" s="6">
        <v>-37</v>
      </c>
    </row>
    <row r="477" hidden="1" spans="1:14">
      <c r="A477" s="4" t="s">
        <v>1862</v>
      </c>
      <c r="B477" s="5" t="s">
        <v>1721</v>
      </c>
      <c r="C477" s="6" t="s">
        <v>30</v>
      </c>
      <c r="D477" s="6">
        <v>8.415</v>
      </c>
      <c r="E477" s="8">
        <v>16089113</v>
      </c>
      <c r="F477" s="8">
        <v>16625</v>
      </c>
      <c r="G477" s="6">
        <v>0</v>
      </c>
      <c r="H477" s="8">
        <v>0</v>
      </c>
      <c r="I477" s="6">
        <v>121.5</v>
      </c>
      <c r="J477" s="6">
        <v>5.75</v>
      </c>
      <c r="K477" s="6">
        <v>3.73</v>
      </c>
      <c r="L477" s="6">
        <v>3.87</v>
      </c>
      <c r="M477" s="6">
        <v>8.4</v>
      </c>
      <c r="N477" s="6">
        <v>0.6</v>
      </c>
    </row>
    <row r="478" hidden="1" spans="1:14">
      <c r="A478" s="4" t="s">
        <v>1863</v>
      </c>
      <c r="B478" s="5" t="s">
        <v>1721</v>
      </c>
      <c r="C478" s="6" t="s">
        <v>31</v>
      </c>
      <c r="D478" s="6">
        <v>8.557</v>
      </c>
      <c r="E478" s="8">
        <v>1721172</v>
      </c>
      <c r="F478" s="8">
        <v>53718</v>
      </c>
      <c r="G478" s="6">
        <v>0</v>
      </c>
      <c r="H478" s="8">
        <v>0</v>
      </c>
      <c r="I478" s="6">
        <v>121.5</v>
      </c>
      <c r="J478" s="6">
        <v>5.4</v>
      </c>
      <c r="K478" s="6">
        <v>3.73</v>
      </c>
      <c r="L478" s="6">
        <v>3.87</v>
      </c>
      <c r="M478" s="6">
        <v>7.8</v>
      </c>
      <c r="N478" s="6">
        <v>0.7</v>
      </c>
    </row>
    <row r="479" hidden="1" spans="1:14">
      <c r="A479" s="4" t="s">
        <v>1864</v>
      </c>
      <c r="B479" s="5" t="s">
        <v>1721</v>
      </c>
      <c r="C479" s="6" t="s">
        <v>43</v>
      </c>
      <c r="D479" s="6">
        <v>9.121</v>
      </c>
      <c r="E479" s="8">
        <v>2092586</v>
      </c>
      <c r="F479" s="8">
        <v>37789</v>
      </c>
      <c r="G479" s="6">
        <v>0</v>
      </c>
      <c r="H479" s="8">
        <v>0</v>
      </c>
      <c r="I479" s="6">
        <v>130.3</v>
      </c>
      <c r="J479" s="6">
        <v>5.9</v>
      </c>
      <c r="K479" s="6">
        <v>6.7</v>
      </c>
      <c r="L479" s="6">
        <v>6.99</v>
      </c>
      <c r="M479" s="6">
        <v>7.2</v>
      </c>
      <c r="N479" s="6">
        <v>4.5</v>
      </c>
    </row>
    <row r="480" hidden="1" spans="1:14">
      <c r="A480" s="4" t="s">
        <v>1865</v>
      </c>
      <c r="B480" s="5" t="s">
        <v>1721</v>
      </c>
      <c r="C480" s="6" t="s">
        <v>34</v>
      </c>
      <c r="D480" s="6">
        <v>8.791</v>
      </c>
      <c r="E480" s="8">
        <v>21540460</v>
      </c>
      <c r="F480" s="8">
        <v>18382308</v>
      </c>
      <c r="G480" s="6">
        <v>1</v>
      </c>
      <c r="H480" s="8">
        <v>9479327</v>
      </c>
      <c r="I480" s="6">
        <v>118.2</v>
      </c>
      <c r="J480" s="6">
        <v>4</v>
      </c>
      <c r="K480" s="6">
        <v>6.62</v>
      </c>
      <c r="L480" s="6">
        <v>-5.78</v>
      </c>
      <c r="M480" s="6">
        <v>13.2</v>
      </c>
      <c r="N480" s="6">
        <v>-8.6</v>
      </c>
    </row>
    <row r="481" hidden="1" spans="1:14">
      <c r="A481" s="4" t="s">
        <v>1866</v>
      </c>
      <c r="B481" s="5" t="s">
        <v>1721</v>
      </c>
      <c r="C481" s="6" t="s">
        <v>36</v>
      </c>
      <c r="D481" s="6">
        <v>8.211</v>
      </c>
      <c r="E481" s="8">
        <v>29347859</v>
      </c>
      <c r="F481" s="8">
        <v>7511</v>
      </c>
      <c r="G481" s="6">
        <v>0</v>
      </c>
      <c r="H481" s="8">
        <v>0</v>
      </c>
      <c r="I481" s="6">
        <v>118.2</v>
      </c>
      <c r="J481" s="6">
        <v>4</v>
      </c>
      <c r="K481" s="6">
        <v>6.62</v>
      </c>
      <c r="L481" s="6">
        <v>-5.78</v>
      </c>
      <c r="M481" s="6">
        <v>9.3</v>
      </c>
      <c r="N481" s="6">
        <v>6.4</v>
      </c>
    </row>
    <row r="482" hidden="1" spans="1:14">
      <c r="A482" s="4" t="s">
        <v>1867</v>
      </c>
      <c r="B482" s="5" t="s">
        <v>1721</v>
      </c>
      <c r="C482" s="6" t="s">
        <v>72</v>
      </c>
      <c r="D482" s="6">
        <v>8.879</v>
      </c>
      <c r="E482" s="8">
        <v>11938678</v>
      </c>
      <c r="F482" s="8">
        <v>292818</v>
      </c>
      <c r="G482" s="6">
        <v>0</v>
      </c>
      <c r="H482" s="8">
        <v>0</v>
      </c>
      <c r="I482" s="6">
        <v>120</v>
      </c>
      <c r="J482" s="6">
        <v>6.5</v>
      </c>
      <c r="K482" s="6">
        <v>4.87</v>
      </c>
      <c r="L482" s="6">
        <v>6.5</v>
      </c>
      <c r="M482" s="6">
        <v>6.5</v>
      </c>
      <c r="N482" s="6">
        <v>4</v>
      </c>
    </row>
    <row r="483" hidden="1" spans="1:14">
      <c r="A483" s="4" t="s">
        <v>1868</v>
      </c>
      <c r="B483" s="5" t="s">
        <v>1721</v>
      </c>
      <c r="C483" s="6" t="s">
        <v>35</v>
      </c>
      <c r="D483" s="6">
        <v>8.396</v>
      </c>
      <c r="E483" s="8">
        <v>18630574</v>
      </c>
      <c r="F483" s="8">
        <v>10343139</v>
      </c>
      <c r="G483" s="6">
        <v>1</v>
      </c>
      <c r="H483" s="8">
        <v>8763171</v>
      </c>
      <c r="I483" s="6">
        <v>118.2</v>
      </c>
      <c r="J483" s="6">
        <v>4</v>
      </c>
      <c r="K483" s="6">
        <v>6.62</v>
      </c>
      <c r="L483" s="6">
        <v>-5.78</v>
      </c>
      <c r="M483" s="6">
        <v>10.3</v>
      </c>
      <c r="N483" s="6">
        <v>-1.6</v>
      </c>
    </row>
    <row r="484" hidden="1" spans="1:14">
      <c r="A484" s="4" t="s">
        <v>1869</v>
      </c>
      <c r="B484" s="5" t="s">
        <v>1721</v>
      </c>
      <c r="C484" s="6" t="s">
        <v>31</v>
      </c>
      <c r="D484" s="6">
        <v>7.001</v>
      </c>
      <c r="E484" s="8">
        <v>2969895</v>
      </c>
      <c r="F484" s="8">
        <v>58416</v>
      </c>
      <c r="G484" s="6">
        <v>0</v>
      </c>
      <c r="H484" s="8">
        <v>0</v>
      </c>
      <c r="I484" s="6">
        <v>121.5</v>
      </c>
      <c r="J484" s="6">
        <v>5.4</v>
      </c>
      <c r="K484" s="6">
        <v>3.73</v>
      </c>
      <c r="L484" s="6">
        <v>3.87</v>
      </c>
      <c r="M484" s="6">
        <v>7.8</v>
      </c>
      <c r="N484" s="6">
        <v>0.7</v>
      </c>
    </row>
    <row r="485" hidden="1" spans="1:14">
      <c r="A485" s="4" t="s">
        <v>1870</v>
      </c>
      <c r="B485" s="5" t="s">
        <v>1721</v>
      </c>
      <c r="C485" s="6" t="s">
        <v>48</v>
      </c>
      <c r="D485" s="6">
        <v>8.488</v>
      </c>
      <c r="E485" s="8">
        <v>25020152</v>
      </c>
      <c r="F485" s="8">
        <v>883623</v>
      </c>
      <c r="G485" s="6">
        <v>0</v>
      </c>
      <c r="H485" s="8">
        <v>0</v>
      </c>
      <c r="I485" s="6">
        <v>134.7</v>
      </c>
      <c r="J485" s="6">
        <v>6.5</v>
      </c>
      <c r="K485" s="6">
        <v>5.65</v>
      </c>
      <c r="L485" s="6">
        <v>8.15</v>
      </c>
      <c r="M485" s="6">
        <v>6.7</v>
      </c>
      <c r="N485" s="6">
        <v>5</v>
      </c>
    </row>
    <row r="486" hidden="1" spans="1:14">
      <c r="A486" s="4" t="s">
        <v>1871</v>
      </c>
      <c r="B486" s="5" t="s">
        <v>1721</v>
      </c>
      <c r="C486" s="6" t="s">
        <v>72</v>
      </c>
      <c r="D486" s="6">
        <v>8.901</v>
      </c>
      <c r="E486" s="8">
        <v>22608780</v>
      </c>
      <c r="F486" s="8">
        <v>886866</v>
      </c>
      <c r="G486" s="6">
        <v>0</v>
      </c>
      <c r="H486" s="8">
        <v>0</v>
      </c>
      <c r="I486" s="6">
        <v>120</v>
      </c>
      <c r="J486" s="6">
        <v>6.5</v>
      </c>
      <c r="K486" s="6">
        <v>4.87</v>
      </c>
      <c r="L486" s="6">
        <v>6.5</v>
      </c>
      <c r="M486" s="6">
        <v>6.5</v>
      </c>
      <c r="N486" s="6">
        <v>4</v>
      </c>
    </row>
    <row r="487" hidden="1" spans="1:14">
      <c r="A487" s="4" t="s">
        <v>1872</v>
      </c>
      <c r="B487" s="5" t="s">
        <v>1721</v>
      </c>
      <c r="C487" s="6" t="s">
        <v>39</v>
      </c>
      <c r="D487" s="6">
        <v>8.427</v>
      </c>
      <c r="E487" s="8">
        <v>9559186</v>
      </c>
      <c r="F487" s="8">
        <v>65133</v>
      </c>
      <c r="G487" s="6">
        <v>0</v>
      </c>
      <c r="H487" s="8">
        <v>0</v>
      </c>
      <c r="I487" s="6">
        <v>124.8</v>
      </c>
      <c r="J487" s="6">
        <v>4</v>
      </c>
      <c r="K487" s="6">
        <v>5.13</v>
      </c>
      <c r="L487" s="6">
        <v>9.69</v>
      </c>
      <c r="M487" s="6">
        <v>8.7</v>
      </c>
      <c r="N487" s="6">
        <v>2.1</v>
      </c>
    </row>
    <row r="488" hidden="1" spans="1:14">
      <c r="A488" s="4" t="s">
        <v>1873</v>
      </c>
      <c r="B488" s="5" t="s">
        <v>1721</v>
      </c>
      <c r="C488" s="6" t="s">
        <v>47</v>
      </c>
      <c r="D488" s="6">
        <v>9.038</v>
      </c>
      <c r="E488" s="8">
        <v>7437234</v>
      </c>
      <c r="F488" s="8">
        <v>79169</v>
      </c>
      <c r="G488" s="6">
        <v>0</v>
      </c>
      <c r="H488" s="8">
        <v>0</v>
      </c>
      <c r="I488" s="6">
        <v>134.7</v>
      </c>
      <c r="J488" s="6">
        <v>6.5</v>
      </c>
      <c r="K488" s="6">
        <v>5.65</v>
      </c>
      <c r="L488" s="6">
        <v>8.15</v>
      </c>
      <c r="M488" s="6">
        <v>6.5</v>
      </c>
      <c r="N488" s="6">
        <v>3.6</v>
      </c>
    </row>
    <row r="489" hidden="1" spans="1:14">
      <c r="A489" s="4" t="s">
        <v>1874</v>
      </c>
      <c r="B489" s="5" t="s">
        <v>1721</v>
      </c>
      <c r="C489" s="6" t="s">
        <v>46</v>
      </c>
      <c r="D489" s="6">
        <v>9.139</v>
      </c>
      <c r="E489" s="8">
        <v>27617611</v>
      </c>
      <c r="F489" s="8">
        <v>891747</v>
      </c>
      <c r="G489" s="6">
        <v>0</v>
      </c>
      <c r="H489" s="8">
        <v>0</v>
      </c>
      <c r="I489" s="6">
        <v>134.7</v>
      </c>
      <c r="J489" s="6">
        <v>6.5</v>
      </c>
      <c r="K489" s="6">
        <v>5.65</v>
      </c>
      <c r="L489" s="6">
        <v>8.15</v>
      </c>
      <c r="M489" s="6">
        <v>6.6</v>
      </c>
      <c r="N489" s="6">
        <v>9.7</v>
      </c>
    </row>
    <row r="490" hidden="1" spans="1:14">
      <c r="A490" s="4" t="s">
        <v>1875</v>
      </c>
      <c r="B490" s="5" t="s">
        <v>1721</v>
      </c>
      <c r="C490" s="6" t="s">
        <v>35</v>
      </c>
      <c r="D490" s="6">
        <v>7.936</v>
      </c>
      <c r="E490" s="8">
        <v>11667026</v>
      </c>
      <c r="F490" s="8">
        <v>259221</v>
      </c>
      <c r="G490" s="6">
        <v>0</v>
      </c>
      <c r="H490" s="8">
        <v>0</v>
      </c>
      <c r="I490" s="6">
        <v>118.2</v>
      </c>
      <c r="J490" s="6">
        <v>4</v>
      </c>
      <c r="K490" s="6">
        <v>6.62</v>
      </c>
      <c r="L490" s="6">
        <v>-5.78</v>
      </c>
      <c r="M490" s="6">
        <v>10.3</v>
      </c>
      <c r="N490" s="6">
        <v>-1.6</v>
      </c>
    </row>
    <row r="491" hidden="1" spans="1:14">
      <c r="A491" s="4" t="s">
        <v>1876</v>
      </c>
      <c r="B491" s="5" t="s">
        <v>1721</v>
      </c>
      <c r="C491" s="6" t="s">
        <v>35</v>
      </c>
      <c r="D491" s="6">
        <v>8.607</v>
      </c>
      <c r="E491" s="8">
        <v>22926276</v>
      </c>
      <c r="F491" s="8">
        <v>580179</v>
      </c>
      <c r="G491" s="6">
        <v>0</v>
      </c>
      <c r="H491" s="8">
        <v>0</v>
      </c>
      <c r="I491" s="6">
        <v>118.2</v>
      </c>
      <c r="J491" s="6">
        <v>4</v>
      </c>
      <c r="K491" s="6">
        <v>6.62</v>
      </c>
      <c r="L491" s="6">
        <v>-5.78</v>
      </c>
      <c r="M491" s="6">
        <v>10.3</v>
      </c>
      <c r="N491" s="6">
        <v>-1.6</v>
      </c>
    </row>
    <row r="492" hidden="1" spans="1:14">
      <c r="A492" s="4" t="s">
        <v>1877</v>
      </c>
      <c r="B492" s="5" t="s">
        <v>1721</v>
      </c>
      <c r="C492" s="6" t="s">
        <v>35</v>
      </c>
      <c r="D492" s="6">
        <v>7.504</v>
      </c>
      <c r="E492" s="8">
        <v>17493578</v>
      </c>
      <c r="F492" s="8">
        <v>535714</v>
      </c>
      <c r="G492" s="6">
        <v>0</v>
      </c>
      <c r="H492" s="8">
        <v>0</v>
      </c>
      <c r="I492" s="6">
        <v>118.2</v>
      </c>
      <c r="J492" s="6">
        <v>4</v>
      </c>
      <c r="K492" s="6">
        <v>6.62</v>
      </c>
      <c r="L492" s="6">
        <v>-5.78</v>
      </c>
      <c r="M492" s="6">
        <v>10.3</v>
      </c>
      <c r="N492" s="6">
        <v>-1.6</v>
      </c>
    </row>
    <row r="493" hidden="1" spans="1:14">
      <c r="A493" s="4" t="s">
        <v>1878</v>
      </c>
      <c r="B493" s="5" t="s">
        <v>1721</v>
      </c>
      <c r="C493" s="6" t="s">
        <v>48</v>
      </c>
      <c r="D493" s="6">
        <v>9.238</v>
      </c>
      <c r="E493" s="8">
        <v>10615475</v>
      </c>
      <c r="F493" s="8">
        <v>517345</v>
      </c>
      <c r="G493" s="6">
        <v>0</v>
      </c>
      <c r="H493" s="8">
        <v>0</v>
      </c>
      <c r="I493" s="6">
        <v>134.7</v>
      </c>
      <c r="J493" s="6">
        <v>6.5</v>
      </c>
      <c r="K493" s="6">
        <v>5.65</v>
      </c>
      <c r="L493" s="6">
        <v>8.15</v>
      </c>
      <c r="M493" s="6">
        <v>6.7</v>
      </c>
      <c r="N493" s="6">
        <v>5</v>
      </c>
    </row>
    <row r="494" hidden="1" spans="1:14">
      <c r="A494" s="4" t="s">
        <v>1879</v>
      </c>
      <c r="B494" s="5" t="s">
        <v>1721</v>
      </c>
      <c r="C494" s="6" t="s">
        <v>33</v>
      </c>
      <c r="D494" s="6">
        <v>8.087</v>
      </c>
      <c r="E494" s="8">
        <v>34061230</v>
      </c>
      <c r="F494" s="8">
        <v>22710830</v>
      </c>
      <c r="G494" s="6">
        <v>1</v>
      </c>
      <c r="H494" s="8">
        <v>16809201</v>
      </c>
      <c r="I494" s="6">
        <v>118.2</v>
      </c>
      <c r="J494" s="6">
        <v>4.4</v>
      </c>
      <c r="K494" s="6">
        <v>6.62</v>
      </c>
      <c r="L494" s="6">
        <v>-5.78</v>
      </c>
      <c r="M494" s="6">
        <v>20.8</v>
      </c>
      <c r="N494" s="6">
        <v>-37</v>
      </c>
    </row>
    <row r="495" hidden="1" spans="1:14">
      <c r="A495" s="4" t="s">
        <v>1880</v>
      </c>
      <c r="B495" s="5" t="s">
        <v>1721</v>
      </c>
      <c r="C495" s="6" t="s">
        <v>48</v>
      </c>
      <c r="D495" s="6">
        <v>9.37</v>
      </c>
      <c r="E495" s="8">
        <v>23347630</v>
      </c>
      <c r="F495" s="8">
        <v>118229</v>
      </c>
      <c r="G495" s="6">
        <v>0</v>
      </c>
      <c r="H495" s="8">
        <v>0</v>
      </c>
      <c r="I495" s="6">
        <v>134.7</v>
      </c>
      <c r="J495" s="6">
        <v>6.5</v>
      </c>
      <c r="K495" s="6">
        <v>5.65</v>
      </c>
      <c r="L495" s="6">
        <v>8.15</v>
      </c>
      <c r="M495" s="6">
        <v>6.7</v>
      </c>
      <c r="N495" s="6">
        <v>5</v>
      </c>
    </row>
    <row r="496" hidden="1" spans="1:14">
      <c r="A496" s="4" t="s">
        <v>1881</v>
      </c>
      <c r="B496" s="5" t="s">
        <v>1721</v>
      </c>
      <c r="C496" s="6" t="s">
        <v>45</v>
      </c>
      <c r="D496" s="6">
        <v>8.871</v>
      </c>
      <c r="E496" s="8">
        <v>5544062</v>
      </c>
      <c r="F496" s="8">
        <v>34440</v>
      </c>
      <c r="G496" s="6">
        <v>0</v>
      </c>
      <c r="H496" s="8">
        <v>0</v>
      </c>
      <c r="I496" s="6">
        <v>134.7</v>
      </c>
      <c r="J496" s="6">
        <v>6.5</v>
      </c>
      <c r="K496" s="6">
        <v>5.65</v>
      </c>
      <c r="L496" s="6">
        <v>8.15</v>
      </c>
      <c r="M496" s="6">
        <v>6.6</v>
      </c>
      <c r="N496" s="6">
        <v>4.1</v>
      </c>
    </row>
    <row r="497" hidden="1" spans="1:14">
      <c r="A497" s="4" t="s">
        <v>1882</v>
      </c>
      <c r="B497" s="5" t="s">
        <v>1721</v>
      </c>
      <c r="C497" s="6" t="s">
        <v>30</v>
      </c>
      <c r="D497" s="6">
        <v>8.554</v>
      </c>
      <c r="E497" s="8">
        <v>20397194</v>
      </c>
      <c r="F497" s="8">
        <v>507341</v>
      </c>
      <c r="G497" s="6">
        <v>0</v>
      </c>
      <c r="H497" s="8">
        <v>0</v>
      </c>
      <c r="I497" s="6">
        <v>121.5</v>
      </c>
      <c r="J497" s="6">
        <v>5.75</v>
      </c>
      <c r="K497" s="6">
        <v>3.73</v>
      </c>
      <c r="L497" s="6">
        <v>3.87</v>
      </c>
      <c r="M497" s="6">
        <v>8.4</v>
      </c>
      <c r="N497" s="6">
        <v>0.6</v>
      </c>
    </row>
    <row r="498" hidden="1" spans="1:14">
      <c r="A498" s="4" t="s">
        <v>1883</v>
      </c>
      <c r="B498" s="5" t="s">
        <v>1721</v>
      </c>
      <c r="C498" s="6" t="s">
        <v>33</v>
      </c>
      <c r="D498" s="6">
        <v>8.659</v>
      </c>
      <c r="E498" s="8">
        <v>19709073</v>
      </c>
      <c r="F498" s="8">
        <v>337802</v>
      </c>
      <c r="G498" s="6">
        <v>0</v>
      </c>
      <c r="H498" s="8">
        <v>0</v>
      </c>
      <c r="I498" s="6">
        <v>118.2</v>
      </c>
      <c r="J498" s="6">
        <v>4.4</v>
      </c>
      <c r="K498" s="6">
        <v>6.62</v>
      </c>
      <c r="L498" s="6">
        <v>-5.78</v>
      </c>
      <c r="M498" s="6">
        <v>20.8</v>
      </c>
      <c r="N498" s="6">
        <v>-37</v>
      </c>
    </row>
    <row r="499" hidden="1" spans="1:14">
      <c r="A499" s="4" t="s">
        <v>1884</v>
      </c>
      <c r="B499" s="5" t="s">
        <v>1721</v>
      </c>
      <c r="C499" s="6" t="s">
        <v>44</v>
      </c>
      <c r="D499" s="6">
        <v>8.005</v>
      </c>
      <c r="E499" s="8">
        <v>22678929</v>
      </c>
      <c r="F499" s="8">
        <v>862490</v>
      </c>
      <c r="G499" s="6">
        <v>0</v>
      </c>
      <c r="H499" s="8">
        <v>0</v>
      </c>
      <c r="I499" s="6">
        <v>130.3</v>
      </c>
      <c r="J499" s="6">
        <v>6.25</v>
      </c>
      <c r="K499" s="6">
        <v>6.7</v>
      </c>
      <c r="L499" s="6">
        <v>6.99</v>
      </c>
      <c r="M499" s="6">
        <v>6.7</v>
      </c>
      <c r="N499" s="6">
        <v>1.8</v>
      </c>
    </row>
    <row r="500" hidden="1" spans="1:14">
      <c r="A500" s="4" t="s">
        <v>1885</v>
      </c>
      <c r="B500" s="5" t="s">
        <v>1721</v>
      </c>
      <c r="C500" s="6" t="s">
        <v>45</v>
      </c>
      <c r="D500" s="6">
        <v>9.15</v>
      </c>
      <c r="E500" s="8">
        <v>18193630</v>
      </c>
      <c r="F500" s="8">
        <v>98727</v>
      </c>
      <c r="G500" s="6">
        <v>0</v>
      </c>
      <c r="H500" s="8">
        <v>0</v>
      </c>
      <c r="I500" s="6">
        <v>134.7</v>
      </c>
      <c r="J500" s="6">
        <v>6.5</v>
      </c>
      <c r="K500" s="6">
        <v>5.65</v>
      </c>
      <c r="L500" s="6">
        <v>8.15</v>
      </c>
      <c r="M500" s="6">
        <v>6.6</v>
      </c>
      <c r="N500" s="6">
        <v>4.1</v>
      </c>
    </row>
    <row r="501" hidden="1" spans="1:14">
      <c r="A501" s="4" t="s">
        <v>1886</v>
      </c>
      <c r="B501" s="5" t="s">
        <v>1721</v>
      </c>
      <c r="C501" s="6" t="s">
        <v>47</v>
      </c>
      <c r="D501" s="6">
        <v>8.931</v>
      </c>
      <c r="E501" s="8">
        <v>16268800</v>
      </c>
      <c r="F501" s="8">
        <v>245912</v>
      </c>
      <c r="G501" s="6">
        <v>0</v>
      </c>
      <c r="H501" s="8">
        <v>0</v>
      </c>
      <c r="I501" s="6">
        <v>134.7</v>
      </c>
      <c r="J501" s="6">
        <v>6.5</v>
      </c>
      <c r="K501" s="6">
        <v>5.65</v>
      </c>
      <c r="L501" s="6">
        <v>8.15</v>
      </c>
      <c r="M501" s="6">
        <v>6.5</v>
      </c>
      <c r="N501" s="6">
        <v>3.6</v>
      </c>
    </row>
    <row r="502" hidden="1" spans="1:14">
      <c r="A502" s="4" t="s">
        <v>1887</v>
      </c>
      <c r="B502" s="5" t="s">
        <v>1721</v>
      </c>
      <c r="C502" s="6" t="s">
        <v>47</v>
      </c>
      <c r="D502" s="6">
        <v>8.441</v>
      </c>
      <c r="E502" s="8">
        <v>24804460</v>
      </c>
      <c r="F502" s="8">
        <v>1067222</v>
      </c>
      <c r="G502" s="6">
        <v>0</v>
      </c>
      <c r="H502" s="8">
        <v>0</v>
      </c>
      <c r="I502" s="6">
        <v>134.7</v>
      </c>
      <c r="J502" s="6">
        <v>6.5</v>
      </c>
      <c r="K502" s="6">
        <v>5.65</v>
      </c>
      <c r="L502" s="6">
        <v>8.15</v>
      </c>
      <c r="M502" s="6">
        <v>6.5</v>
      </c>
      <c r="N502" s="6">
        <v>3.6</v>
      </c>
    </row>
    <row r="503" hidden="1" spans="1:14">
      <c r="A503" s="4" t="s">
        <v>1888</v>
      </c>
      <c r="B503" s="5" t="s">
        <v>1889</v>
      </c>
      <c r="C503" s="6" t="s">
        <v>35</v>
      </c>
      <c r="D503" s="6">
        <v>10.85</v>
      </c>
      <c r="E503" s="8">
        <v>165945</v>
      </c>
      <c r="F503" s="8">
        <v>7653</v>
      </c>
      <c r="G503" s="6">
        <v>0</v>
      </c>
      <c r="H503" s="8">
        <v>0</v>
      </c>
      <c r="I503" s="6">
        <v>118.2</v>
      </c>
      <c r="J503" s="6">
        <v>4</v>
      </c>
      <c r="K503" s="6">
        <v>6.62</v>
      </c>
      <c r="L503" s="6">
        <v>-5.78</v>
      </c>
      <c r="M503" s="6">
        <v>10.3</v>
      </c>
      <c r="N503" s="6">
        <v>-1.6</v>
      </c>
    </row>
    <row r="504" hidden="1" spans="1:14">
      <c r="A504" s="4" t="s">
        <v>1890</v>
      </c>
      <c r="B504" s="5" t="s">
        <v>1889</v>
      </c>
      <c r="C504" s="6" t="s">
        <v>44</v>
      </c>
      <c r="D504" s="6">
        <v>13.62</v>
      </c>
      <c r="E504" s="8">
        <v>141943</v>
      </c>
      <c r="F504" s="8">
        <v>2796</v>
      </c>
      <c r="G504" s="6">
        <v>0</v>
      </c>
      <c r="H504" s="8">
        <v>0</v>
      </c>
      <c r="I504" s="6">
        <v>130.3</v>
      </c>
      <c r="J504" s="6">
        <v>6.25</v>
      </c>
      <c r="K504" s="6">
        <v>6.7</v>
      </c>
      <c r="L504" s="6">
        <v>6.99</v>
      </c>
      <c r="M504" s="6">
        <v>6.7</v>
      </c>
      <c r="N504" s="6">
        <v>1.8</v>
      </c>
    </row>
    <row r="505" hidden="1" spans="1:14">
      <c r="A505" s="4" t="s">
        <v>1891</v>
      </c>
      <c r="B505" s="5" t="s">
        <v>1889</v>
      </c>
      <c r="C505" s="6" t="s">
        <v>34</v>
      </c>
      <c r="D505" s="6">
        <v>11.919</v>
      </c>
      <c r="E505" s="8">
        <v>61281</v>
      </c>
      <c r="F505" s="8">
        <v>49882</v>
      </c>
      <c r="G505" s="6">
        <v>1</v>
      </c>
      <c r="H505" s="8">
        <v>1586</v>
      </c>
      <c r="I505" s="6">
        <v>118.2</v>
      </c>
      <c r="J505" s="6">
        <v>4</v>
      </c>
      <c r="K505" s="6">
        <v>6.62</v>
      </c>
      <c r="L505" s="6">
        <v>-5.78</v>
      </c>
      <c r="M505" s="6">
        <v>13.2</v>
      </c>
      <c r="N505" s="6">
        <v>-8.6</v>
      </c>
    </row>
    <row r="506" hidden="1" spans="1:14">
      <c r="A506" s="4" t="s">
        <v>1892</v>
      </c>
      <c r="B506" s="5" t="s">
        <v>1889</v>
      </c>
      <c r="C506" s="6" t="s">
        <v>41</v>
      </c>
      <c r="D506" s="6">
        <v>10.335</v>
      </c>
      <c r="E506" s="8">
        <v>105314</v>
      </c>
      <c r="F506" s="8">
        <v>1935</v>
      </c>
      <c r="G506" s="6">
        <v>0</v>
      </c>
      <c r="H506" s="8">
        <v>0</v>
      </c>
      <c r="I506" s="6">
        <v>130.3</v>
      </c>
      <c r="J506" s="6">
        <v>4</v>
      </c>
      <c r="K506" s="6">
        <v>6.7</v>
      </c>
      <c r="L506" s="6">
        <v>6.99</v>
      </c>
      <c r="M506" s="6">
        <v>6.6</v>
      </c>
      <c r="N506" s="6">
        <v>13.8</v>
      </c>
    </row>
    <row r="507" hidden="1" spans="1:14">
      <c r="A507" s="4" t="s">
        <v>1893</v>
      </c>
      <c r="B507" s="5" t="s">
        <v>1889</v>
      </c>
      <c r="C507" s="6" t="s">
        <v>33</v>
      </c>
      <c r="D507" s="6">
        <v>9.766</v>
      </c>
      <c r="E507" s="8">
        <v>316778</v>
      </c>
      <c r="F507" s="8">
        <v>5367</v>
      </c>
      <c r="G507" s="6">
        <v>0</v>
      </c>
      <c r="H507" s="8">
        <v>0</v>
      </c>
      <c r="I507" s="6">
        <v>118.2</v>
      </c>
      <c r="J507" s="6">
        <v>4.4</v>
      </c>
      <c r="K507" s="6">
        <v>6.62</v>
      </c>
      <c r="L507" s="6">
        <v>-5.78</v>
      </c>
      <c r="M507" s="6">
        <v>20.8</v>
      </c>
      <c r="N507" s="6">
        <v>-37</v>
      </c>
    </row>
    <row r="508" hidden="1" spans="1:14">
      <c r="A508" s="4" t="s">
        <v>1894</v>
      </c>
      <c r="B508" s="5" t="s">
        <v>1889</v>
      </c>
      <c r="C508" s="6" t="s">
        <v>44</v>
      </c>
      <c r="D508" s="6">
        <v>12.067</v>
      </c>
      <c r="E508" s="8">
        <v>156693</v>
      </c>
      <c r="F508" s="8">
        <v>7475</v>
      </c>
      <c r="G508" s="6">
        <v>0</v>
      </c>
      <c r="H508" s="8">
        <v>0</v>
      </c>
      <c r="I508" s="6">
        <v>130.3</v>
      </c>
      <c r="J508" s="6">
        <v>6.25</v>
      </c>
      <c r="K508" s="6">
        <v>6.7</v>
      </c>
      <c r="L508" s="6">
        <v>6.99</v>
      </c>
      <c r="M508" s="6">
        <v>6.7</v>
      </c>
      <c r="N508" s="6">
        <v>1.8</v>
      </c>
    </row>
    <row r="509" hidden="1" spans="1:14">
      <c r="A509" s="4" t="s">
        <v>1895</v>
      </c>
      <c r="B509" s="5" t="s">
        <v>1889</v>
      </c>
      <c r="C509" s="6" t="s">
        <v>39</v>
      </c>
      <c r="D509" s="6">
        <v>10.198</v>
      </c>
      <c r="E509" s="8">
        <v>308025</v>
      </c>
      <c r="F509" s="8">
        <v>13275</v>
      </c>
      <c r="G509" s="6">
        <v>0</v>
      </c>
      <c r="H509" s="8">
        <v>0</v>
      </c>
      <c r="I509" s="6">
        <v>124.8</v>
      </c>
      <c r="J509" s="6">
        <v>4</v>
      </c>
      <c r="K509" s="6">
        <v>5.13</v>
      </c>
      <c r="L509" s="6">
        <v>9.69</v>
      </c>
      <c r="M509" s="6">
        <v>8.7</v>
      </c>
      <c r="N509" s="6">
        <v>2.1</v>
      </c>
    </row>
    <row r="510" hidden="1" spans="1:14">
      <c r="A510" s="4" t="s">
        <v>1896</v>
      </c>
      <c r="B510" s="5" t="s">
        <v>1889</v>
      </c>
      <c r="C510" s="6" t="s">
        <v>40</v>
      </c>
      <c r="D510" s="6">
        <v>9.923</v>
      </c>
      <c r="E510" s="8">
        <v>220637</v>
      </c>
      <c r="F510" s="8">
        <v>6857</v>
      </c>
      <c r="G510" s="6">
        <v>0</v>
      </c>
      <c r="H510" s="8">
        <v>0</v>
      </c>
      <c r="I510" s="6">
        <v>124.8</v>
      </c>
      <c r="J510" s="6">
        <v>4</v>
      </c>
      <c r="K510" s="6">
        <v>5.13</v>
      </c>
      <c r="L510" s="6">
        <v>9.69</v>
      </c>
      <c r="M510" s="6">
        <v>8.2</v>
      </c>
      <c r="N510" s="6">
        <v>1.65</v>
      </c>
    </row>
    <row r="511" hidden="1" spans="1:14">
      <c r="A511" s="4" t="s">
        <v>1897</v>
      </c>
      <c r="B511" s="5" t="s">
        <v>1889</v>
      </c>
      <c r="C511" s="6" t="s">
        <v>48</v>
      </c>
      <c r="D511" s="6">
        <v>11.73</v>
      </c>
      <c r="E511" s="8">
        <v>34866</v>
      </c>
      <c r="F511" s="8">
        <v>592</v>
      </c>
      <c r="G511" s="6">
        <v>0</v>
      </c>
      <c r="H511" s="8">
        <v>0</v>
      </c>
      <c r="I511" s="6">
        <v>134.7</v>
      </c>
      <c r="J511" s="6">
        <v>6.5</v>
      </c>
      <c r="K511" s="6">
        <v>5.65</v>
      </c>
      <c r="L511" s="6">
        <v>8.15</v>
      </c>
      <c r="M511" s="6">
        <v>6.7</v>
      </c>
      <c r="N511" s="6">
        <v>5</v>
      </c>
    </row>
    <row r="512" hidden="1" spans="1:14">
      <c r="A512" s="4" t="s">
        <v>1898</v>
      </c>
      <c r="B512" s="5" t="s">
        <v>1889</v>
      </c>
      <c r="C512" s="6" t="s">
        <v>43</v>
      </c>
      <c r="D512" s="6">
        <v>12.627</v>
      </c>
      <c r="E512" s="8">
        <v>7553</v>
      </c>
      <c r="F512" s="8">
        <v>310</v>
      </c>
      <c r="G512" s="6">
        <v>0</v>
      </c>
      <c r="H512" s="8">
        <v>0</v>
      </c>
      <c r="I512" s="6">
        <v>130.3</v>
      </c>
      <c r="J512" s="6">
        <v>5.9</v>
      </c>
      <c r="K512" s="6">
        <v>6.7</v>
      </c>
      <c r="L512" s="6">
        <v>6.99</v>
      </c>
      <c r="M512" s="6">
        <v>7.2</v>
      </c>
      <c r="N512" s="6">
        <v>4.5</v>
      </c>
    </row>
    <row r="513" hidden="1" spans="1:14">
      <c r="A513" s="4" t="s">
        <v>1899</v>
      </c>
      <c r="B513" s="5" t="s">
        <v>1889</v>
      </c>
      <c r="C513" s="6" t="s">
        <v>45</v>
      </c>
      <c r="D513" s="6">
        <v>11.318</v>
      </c>
      <c r="E513" s="8">
        <v>124214</v>
      </c>
      <c r="F513" s="8">
        <v>1281</v>
      </c>
      <c r="G513" s="6">
        <v>0</v>
      </c>
      <c r="H513" s="8">
        <v>0</v>
      </c>
      <c r="I513" s="6">
        <v>134.7</v>
      </c>
      <c r="J513" s="6">
        <v>6.5</v>
      </c>
      <c r="K513" s="6">
        <v>5.65</v>
      </c>
      <c r="L513" s="6">
        <v>8.15</v>
      </c>
      <c r="M513" s="6">
        <v>6.6</v>
      </c>
      <c r="N513" s="6">
        <v>4.1</v>
      </c>
    </row>
    <row r="514" hidden="1" spans="1:14">
      <c r="A514" s="4" t="s">
        <v>1900</v>
      </c>
      <c r="B514" s="5" t="s">
        <v>1889</v>
      </c>
      <c r="C514" s="6" t="s">
        <v>31</v>
      </c>
      <c r="D514" s="6">
        <v>9.309</v>
      </c>
      <c r="E514" s="8">
        <v>445016</v>
      </c>
      <c r="F514" s="8">
        <v>7042</v>
      </c>
      <c r="G514" s="6">
        <v>0</v>
      </c>
      <c r="H514" s="8">
        <v>0</v>
      </c>
      <c r="I514" s="6">
        <v>121.5</v>
      </c>
      <c r="J514" s="6">
        <v>5.4</v>
      </c>
      <c r="K514" s="6">
        <v>3.73</v>
      </c>
      <c r="L514" s="6">
        <v>3.87</v>
      </c>
      <c r="M514" s="6">
        <v>7.8</v>
      </c>
      <c r="N514" s="6">
        <v>0.7</v>
      </c>
    </row>
    <row r="515" hidden="1" spans="1:14">
      <c r="A515" s="4" t="s">
        <v>1901</v>
      </c>
      <c r="B515" s="5" t="s">
        <v>1889</v>
      </c>
      <c r="C515" s="6" t="s">
        <v>47</v>
      </c>
      <c r="D515" s="6">
        <v>12.769</v>
      </c>
      <c r="E515" s="8">
        <v>179047</v>
      </c>
      <c r="F515" s="8">
        <v>3433</v>
      </c>
      <c r="G515" s="6">
        <v>0</v>
      </c>
      <c r="H515" s="8">
        <v>0</v>
      </c>
      <c r="I515" s="6">
        <v>134.7</v>
      </c>
      <c r="J515" s="6">
        <v>6.5</v>
      </c>
      <c r="K515" s="6">
        <v>5.65</v>
      </c>
      <c r="L515" s="6">
        <v>8.15</v>
      </c>
      <c r="M515" s="6">
        <v>6.5</v>
      </c>
      <c r="N515" s="6">
        <v>3.6</v>
      </c>
    </row>
    <row r="516" hidden="1" spans="1:14">
      <c r="A516" s="4" t="s">
        <v>1902</v>
      </c>
      <c r="B516" s="5" t="s">
        <v>1889</v>
      </c>
      <c r="C516" s="6" t="s">
        <v>32</v>
      </c>
      <c r="D516" s="6">
        <v>9.195</v>
      </c>
      <c r="E516" s="8">
        <v>375802</v>
      </c>
      <c r="F516" s="8">
        <v>15259</v>
      </c>
      <c r="G516" s="6">
        <v>0</v>
      </c>
      <c r="H516" s="8">
        <v>0</v>
      </c>
      <c r="I516" s="6">
        <v>121.5</v>
      </c>
      <c r="J516" s="6">
        <v>5.15</v>
      </c>
      <c r="K516" s="6">
        <v>3.73</v>
      </c>
      <c r="L516" s="6">
        <v>3.87</v>
      </c>
      <c r="M516" s="6">
        <v>9.1</v>
      </c>
      <c r="N516" s="6">
        <v>-16.7</v>
      </c>
    </row>
    <row r="517" hidden="1" spans="1:14">
      <c r="A517" s="4" t="s">
        <v>1903</v>
      </c>
      <c r="B517" s="5" t="s">
        <v>1889</v>
      </c>
      <c r="C517" s="6" t="s">
        <v>48</v>
      </c>
      <c r="D517" s="6">
        <v>9.947</v>
      </c>
      <c r="E517" s="8">
        <v>419390</v>
      </c>
      <c r="F517" s="8">
        <v>13680</v>
      </c>
      <c r="G517" s="6">
        <v>0</v>
      </c>
      <c r="H517" s="8">
        <v>0</v>
      </c>
      <c r="I517" s="6">
        <v>134.7</v>
      </c>
      <c r="J517" s="6">
        <v>6.5</v>
      </c>
      <c r="K517" s="6">
        <v>5.65</v>
      </c>
      <c r="L517" s="6">
        <v>8.15</v>
      </c>
      <c r="M517" s="6">
        <v>6.7</v>
      </c>
      <c r="N517" s="6">
        <v>5</v>
      </c>
    </row>
    <row r="518" hidden="1" spans="1:14">
      <c r="A518" s="4" t="s">
        <v>1904</v>
      </c>
      <c r="B518" s="5" t="s">
        <v>1889</v>
      </c>
      <c r="C518" s="6" t="s">
        <v>47</v>
      </c>
      <c r="D518" s="6">
        <v>12.942</v>
      </c>
      <c r="E518" s="8">
        <v>85540</v>
      </c>
      <c r="F518" s="8">
        <v>1226</v>
      </c>
      <c r="G518" s="6">
        <v>0</v>
      </c>
      <c r="H518" s="8">
        <v>0</v>
      </c>
      <c r="I518" s="6">
        <v>134.7</v>
      </c>
      <c r="J518" s="6">
        <v>6.5</v>
      </c>
      <c r="K518" s="6">
        <v>5.65</v>
      </c>
      <c r="L518" s="6">
        <v>8.15</v>
      </c>
      <c r="M518" s="6">
        <v>6.5</v>
      </c>
      <c r="N518" s="6">
        <v>3.6</v>
      </c>
    </row>
    <row r="519" hidden="1" spans="1:14">
      <c r="A519" s="4" t="s">
        <v>1905</v>
      </c>
      <c r="B519" s="5" t="s">
        <v>1889</v>
      </c>
      <c r="C519" s="6" t="s">
        <v>43</v>
      </c>
      <c r="D519" s="6">
        <v>10.48</v>
      </c>
      <c r="E519" s="8">
        <v>77527</v>
      </c>
      <c r="F519" s="8">
        <v>821</v>
      </c>
      <c r="G519" s="6">
        <v>0</v>
      </c>
      <c r="H519" s="8">
        <v>0</v>
      </c>
      <c r="I519" s="6">
        <v>130.3</v>
      </c>
      <c r="J519" s="6">
        <v>5.9</v>
      </c>
      <c r="K519" s="6">
        <v>6.7</v>
      </c>
      <c r="L519" s="6">
        <v>6.99</v>
      </c>
      <c r="M519" s="6">
        <v>7.2</v>
      </c>
      <c r="N519" s="6">
        <v>4.5</v>
      </c>
    </row>
    <row r="520" hidden="1" spans="1:14">
      <c r="A520" s="4" t="s">
        <v>1906</v>
      </c>
      <c r="B520" s="5" t="s">
        <v>1889</v>
      </c>
      <c r="C520" s="6" t="s">
        <v>48</v>
      </c>
      <c r="D520" s="6">
        <v>15.679</v>
      </c>
      <c r="E520" s="8">
        <v>75803</v>
      </c>
      <c r="F520" s="8">
        <v>69605</v>
      </c>
      <c r="G520" s="6">
        <v>1</v>
      </c>
      <c r="H520" s="8">
        <v>24206</v>
      </c>
      <c r="I520" s="6">
        <v>134.7</v>
      </c>
      <c r="J520" s="6">
        <v>6.5</v>
      </c>
      <c r="K520" s="6">
        <v>5.65</v>
      </c>
      <c r="L520" s="6">
        <v>8.15</v>
      </c>
      <c r="M520" s="6">
        <v>6.7</v>
      </c>
      <c r="N520" s="6">
        <v>5</v>
      </c>
    </row>
    <row r="521" hidden="1" spans="1:14">
      <c r="A521" s="4" t="s">
        <v>1907</v>
      </c>
      <c r="B521" s="5" t="s">
        <v>1889</v>
      </c>
      <c r="C521" s="6" t="s">
        <v>72</v>
      </c>
      <c r="D521" s="6">
        <v>10.784</v>
      </c>
      <c r="E521" s="8">
        <v>268374</v>
      </c>
      <c r="F521" s="8">
        <v>4802</v>
      </c>
      <c r="G521" s="6">
        <v>0</v>
      </c>
      <c r="H521" s="8">
        <v>0</v>
      </c>
      <c r="I521" s="6">
        <v>120</v>
      </c>
      <c r="J521" s="6">
        <v>6.5</v>
      </c>
      <c r="K521" s="6">
        <v>4.87</v>
      </c>
      <c r="L521" s="6">
        <v>6.5</v>
      </c>
      <c r="M521" s="6">
        <v>6.5</v>
      </c>
      <c r="N521" s="6">
        <v>4</v>
      </c>
    </row>
    <row r="522" hidden="1" spans="1:14">
      <c r="A522" s="4" t="s">
        <v>1908</v>
      </c>
      <c r="B522" s="5" t="s">
        <v>1889</v>
      </c>
      <c r="C522" s="6" t="s">
        <v>38</v>
      </c>
      <c r="D522" s="6">
        <v>9.699</v>
      </c>
      <c r="E522" s="8">
        <v>334458</v>
      </c>
      <c r="F522" s="8">
        <v>7970</v>
      </c>
      <c r="G522" s="6">
        <v>0</v>
      </c>
      <c r="H522" s="8">
        <v>0</v>
      </c>
      <c r="I522" s="6">
        <v>124.8</v>
      </c>
      <c r="J522" s="6">
        <v>4</v>
      </c>
      <c r="K522" s="6">
        <v>5.13</v>
      </c>
      <c r="L522" s="6">
        <v>9.69</v>
      </c>
      <c r="M522" s="6">
        <v>9.8</v>
      </c>
      <c r="N522" s="6">
        <v>8.7</v>
      </c>
    </row>
    <row r="523" hidden="1" spans="1:14">
      <c r="A523" s="4" t="s">
        <v>1909</v>
      </c>
      <c r="B523" s="5" t="s">
        <v>1889</v>
      </c>
      <c r="C523" s="6" t="s">
        <v>40</v>
      </c>
      <c r="D523" s="6">
        <v>12.408</v>
      </c>
      <c r="E523" s="8">
        <v>262254</v>
      </c>
      <c r="F523" s="8">
        <v>11683</v>
      </c>
      <c r="G523" s="6">
        <v>0</v>
      </c>
      <c r="H523" s="8">
        <v>0</v>
      </c>
      <c r="I523" s="6">
        <v>124.8</v>
      </c>
      <c r="J523" s="6">
        <v>4</v>
      </c>
      <c r="K523" s="6">
        <v>5.13</v>
      </c>
      <c r="L523" s="6">
        <v>9.69</v>
      </c>
      <c r="M523" s="6">
        <v>8.2</v>
      </c>
      <c r="N523" s="6">
        <v>1.65</v>
      </c>
    </row>
    <row r="524" hidden="1" spans="1:14">
      <c r="A524" s="4" t="s">
        <v>1910</v>
      </c>
      <c r="B524" s="5" t="s">
        <v>1889</v>
      </c>
      <c r="C524" s="6" t="s">
        <v>42</v>
      </c>
      <c r="D524" s="6">
        <v>9.757</v>
      </c>
      <c r="E524" s="8">
        <v>460284</v>
      </c>
      <c r="F524" s="8">
        <v>641</v>
      </c>
      <c r="G524" s="6">
        <v>0</v>
      </c>
      <c r="H524" s="8">
        <v>0</v>
      </c>
      <c r="I524" s="6">
        <v>130.3</v>
      </c>
      <c r="J524" s="6">
        <v>4.9</v>
      </c>
      <c r="K524" s="6">
        <v>6.7</v>
      </c>
      <c r="L524" s="6">
        <v>6.99</v>
      </c>
      <c r="M524" s="6">
        <v>6.6</v>
      </c>
      <c r="N524" s="6">
        <v>5.6</v>
      </c>
    </row>
    <row r="525" hidden="1" spans="1:14">
      <c r="A525" s="4" t="s">
        <v>1911</v>
      </c>
      <c r="B525" s="5" t="s">
        <v>1889</v>
      </c>
      <c r="C525" s="6" t="s">
        <v>31</v>
      </c>
      <c r="D525" s="6">
        <v>10.754</v>
      </c>
      <c r="E525" s="8">
        <v>193667</v>
      </c>
      <c r="F525" s="8">
        <v>1459</v>
      </c>
      <c r="G525" s="6">
        <v>0</v>
      </c>
      <c r="H525" s="8">
        <v>0</v>
      </c>
      <c r="I525" s="6">
        <v>121.5</v>
      </c>
      <c r="J525" s="6">
        <v>5.4</v>
      </c>
      <c r="K525" s="6">
        <v>3.73</v>
      </c>
      <c r="L525" s="6">
        <v>3.87</v>
      </c>
      <c r="M525" s="6">
        <v>7.8</v>
      </c>
      <c r="N525" s="6">
        <v>0.7</v>
      </c>
    </row>
    <row r="526" hidden="1" spans="1:14">
      <c r="A526" s="4" t="s">
        <v>1912</v>
      </c>
      <c r="B526" s="5" t="s">
        <v>1889</v>
      </c>
      <c r="C526" s="6" t="s">
        <v>35</v>
      </c>
      <c r="D526" s="6">
        <v>9.37</v>
      </c>
      <c r="E526" s="8">
        <v>82096</v>
      </c>
      <c r="F526" s="8">
        <v>35294</v>
      </c>
      <c r="G526" s="6">
        <v>1</v>
      </c>
      <c r="H526" s="8">
        <v>5588</v>
      </c>
      <c r="I526" s="6">
        <v>118.2</v>
      </c>
      <c r="J526" s="6">
        <v>4</v>
      </c>
      <c r="K526" s="6">
        <v>6.62</v>
      </c>
      <c r="L526" s="6">
        <v>-5.78</v>
      </c>
      <c r="M526" s="6">
        <v>10.3</v>
      </c>
      <c r="N526" s="6">
        <v>-1.6</v>
      </c>
    </row>
    <row r="527" hidden="1" spans="1:14">
      <c r="A527" s="4" t="s">
        <v>1913</v>
      </c>
      <c r="B527" s="5" t="s">
        <v>1889</v>
      </c>
      <c r="C527" s="6" t="s">
        <v>30</v>
      </c>
      <c r="D527" s="6">
        <v>11.46</v>
      </c>
      <c r="E527" s="8">
        <v>134953</v>
      </c>
      <c r="F527" s="8">
        <v>1906</v>
      </c>
      <c r="G527" s="6">
        <v>0</v>
      </c>
      <c r="H527" s="8">
        <v>0</v>
      </c>
      <c r="I527" s="6">
        <v>121.5</v>
      </c>
      <c r="J527" s="6">
        <v>5.75</v>
      </c>
      <c r="K527" s="6">
        <v>3.73</v>
      </c>
      <c r="L527" s="6">
        <v>3.87</v>
      </c>
      <c r="M527" s="6">
        <v>8.4</v>
      </c>
      <c r="N527" s="6">
        <v>0.6</v>
      </c>
    </row>
    <row r="528" hidden="1" spans="1:14">
      <c r="A528" s="4" t="s">
        <v>1914</v>
      </c>
      <c r="B528" s="5" t="s">
        <v>1889</v>
      </c>
      <c r="C528" s="6" t="s">
        <v>47</v>
      </c>
      <c r="D528" s="6">
        <v>11.7</v>
      </c>
      <c r="E528" s="8">
        <v>251430</v>
      </c>
      <c r="F528" s="8">
        <v>1925</v>
      </c>
      <c r="G528" s="6">
        <v>0</v>
      </c>
      <c r="H528" s="8">
        <v>0</v>
      </c>
      <c r="I528" s="6">
        <v>134.7</v>
      </c>
      <c r="J528" s="6">
        <v>6.5</v>
      </c>
      <c r="K528" s="6">
        <v>5.65</v>
      </c>
      <c r="L528" s="6">
        <v>8.15</v>
      </c>
      <c r="M528" s="6">
        <v>6.5</v>
      </c>
      <c r="N528" s="6">
        <v>3.6</v>
      </c>
    </row>
    <row r="529" hidden="1" spans="1:14">
      <c r="A529" s="4" t="s">
        <v>1915</v>
      </c>
      <c r="B529" s="5" t="s">
        <v>1889</v>
      </c>
      <c r="C529" s="6" t="s">
        <v>44</v>
      </c>
      <c r="D529" s="6">
        <v>10.53</v>
      </c>
      <c r="E529" s="8">
        <v>294438</v>
      </c>
      <c r="F529" s="8">
        <v>5902</v>
      </c>
      <c r="G529" s="6">
        <v>0</v>
      </c>
      <c r="H529" s="8">
        <v>0</v>
      </c>
      <c r="I529" s="6">
        <v>130.3</v>
      </c>
      <c r="J529" s="6">
        <v>6.25</v>
      </c>
      <c r="K529" s="6">
        <v>6.7</v>
      </c>
      <c r="L529" s="6">
        <v>6.99</v>
      </c>
      <c r="M529" s="6">
        <v>6.7</v>
      </c>
      <c r="N529" s="6">
        <v>1.8</v>
      </c>
    </row>
    <row r="530" hidden="1" spans="1:14">
      <c r="A530" s="4" t="s">
        <v>1916</v>
      </c>
      <c r="B530" s="5" t="s">
        <v>1889</v>
      </c>
      <c r="C530" s="6" t="s">
        <v>42</v>
      </c>
      <c r="D530" s="6">
        <v>10.88</v>
      </c>
      <c r="E530" s="8">
        <v>277870</v>
      </c>
      <c r="F530" s="8">
        <v>181849</v>
      </c>
      <c r="G530" s="6">
        <v>1</v>
      </c>
      <c r="H530" s="8">
        <v>24976</v>
      </c>
      <c r="I530" s="6">
        <v>130.3</v>
      </c>
      <c r="J530" s="6">
        <v>4.9</v>
      </c>
      <c r="K530" s="6">
        <v>6.7</v>
      </c>
      <c r="L530" s="6">
        <v>6.99</v>
      </c>
      <c r="M530" s="6">
        <v>6.6</v>
      </c>
      <c r="N530" s="6">
        <v>5.6</v>
      </c>
    </row>
    <row r="531" hidden="1" spans="1:14">
      <c r="A531" s="4" t="s">
        <v>1917</v>
      </c>
      <c r="B531" s="5" t="s">
        <v>1889</v>
      </c>
      <c r="C531" s="6" t="s">
        <v>32</v>
      </c>
      <c r="D531" s="6">
        <v>10.349</v>
      </c>
      <c r="E531" s="8">
        <v>278708</v>
      </c>
      <c r="F531" s="8">
        <v>13291</v>
      </c>
      <c r="G531" s="6">
        <v>0</v>
      </c>
      <c r="H531" s="8">
        <v>0</v>
      </c>
      <c r="I531" s="6">
        <v>121.5</v>
      </c>
      <c r="J531" s="6">
        <v>5.15</v>
      </c>
      <c r="K531" s="6">
        <v>3.73</v>
      </c>
      <c r="L531" s="6">
        <v>3.87</v>
      </c>
      <c r="M531" s="6">
        <v>9.1</v>
      </c>
      <c r="N531" s="6">
        <v>-16.7</v>
      </c>
    </row>
    <row r="532" hidden="1" spans="1:14">
      <c r="A532" s="4" t="s">
        <v>1918</v>
      </c>
      <c r="B532" s="5" t="s">
        <v>1889</v>
      </c>
      <c r="C532" s="6" t="s">
        <v>31</v>
      </c>
      <c r="D532" s="6">
        <v>13.072</v>
      </c>
      <c r="E532" s="8">
        <v>265398</v>
      </c>
      <c r="F532" s="8">
        <v>12124</v>
      </c>
      <c r="G532" s="6">
        <v>0</v>
      </c>
      <c r="H532" s="8">
        <v>0</v>
      </c>
      <c r="I532" s="6">
        <v>121.5</v>
      </c>
      <c r="J532" s="6">
        <v>5.4</v>
      </c>
      <c r="K532" s="6">
        <v>3.73</v>
      </c>
      <c r="L532" s="6">
        <v>3.87</v>
      </c>
      <c r="M532" s="6">
        <v>7.8</v>
      </c>
      <c r="N532" s="6">
        <v>0.7</v>
      </c>
    </row>
    <row r="533" hidden="1" spans="1:14">
      <c r="A533" s="4" t="s">
        <v>1919</v>
      </c>
      <c r="B533" s="5" t="s">
        <v>1889</v>
      </c>
      <c r="C533" s="6" t="s">
        <v>35</v>
      </c>
      <c r="D533" s="6">
        <v>10.088</v>
      </c>
      <c r="E533" s="8">
        <v>330812</v>
      </c>
      <c r="F533" s="8">
        <v>166419</v>
      </c>
      <c r="G533" s="6">
        <v>1</v>
      </c>
      <c r="H533" s="8">
        <v>9145</v>
      </c>
      <c r="I533" s="6">
        <v>118.2</v>
      </c>
      <c r="J533" s="6">
        <v>4</v>
      </c>
      <c r="K533" s="6">
        <v>6.62</v>
      </c>
      <c r="L533" s="6">
        <v>-5.78</v>
      </c>
      <c r="M533" s="6">
        <v>10.3</v>
      </c>
      <c r="N533" s="6">
        <v>-1.6</v>
      </c>
    </row>
    <row r="534" hidden="1" spans="1:14">
      <c r="A534" s="4" t="s">
        <v>1920</v>
      </c>
      <c r="B534" s="5" t="s">
        <v>1889</v>
      </c>
      <c r="C534" s="6" t="s">
        <v>35</v>
      </c>
      <c r="D534" s="6">
        <v>10.487</v>
      </c>
      <c r="E534" s="8">
        <v>33862</v>
      </c>
      <c r="F534" s="8">
        <v>202</v>
      </c>
      <c r="G534" s="6">
        <v>0</v>
      </c>
      <c r="H534" s="8">
        <v>0</v>
      </c>
      <c r="I534" s="6">
        <v>118.2</v>
      </c>
      <c r="J534" s="6">
        <v>4</v>
      </c>
      <c r="K534" s="6">
        <v>6.62</v>
      </c>
      <c r="L534" s="6">
        <v>-5.78</v>
      </c>
      <c r="M534" s="6">
        <v>10.3</v>
      </c>
      <c r="N534" s="6">
        <v>-1.6</v>
      </c>
    </row>
    <row r="535" hidden="1" spans="1:14">
      <c r="A535" s="4" t="s">
        <v>1921</v>
      </c>
      <c r="B535" s="5" t="s">
        <v>1889</v>
      </c>
      <c r="C535" s="6" t="s">
        <v>48</v>
      </c>
      <c r="D535" s="6">
        <v>10.358</v>
      </c>
      <c r="E535" s="8">
        <v>21526</v>
      </c>
      <c r="F535" s="8">
        <v>79</v>
      </c>
      <c r="G535" s="6">
        <v>0</v>
      </c>
      <c r="H535" s="8">
        <v>0</v>
      </c>
      <c r="I535" s="6">
        <v>134.7</v>
      </c>
      <c r="J535" s="6">
        <v>6.5</v>
      </c>
      <c r="K535" s="6">
        <v>5.65</v>
      </c>
      <c r="L535" s="6">
        <v>8.15</v>
      </c>
      <c r="M535" s="6">
        <v>6.7</v>
      </c>
      <c r="N535" s="6">
        <v>5</v>
      </c>
    </row>
    <row r="536" hidden="1" spans="1:14">
      <c r="A536" s="4" t="s">
        <v>1922</v>
      </c>
      <c r="B536" s="5" t="s">
        <v>1889</v>
      </c>
      <c r="C536" s="6" t="s">
        <v>43</v>
      </c>
      <c r="D536" s="6">
        <v>11.916</v>
      </c>
      <c r="E536" s="8">
        <v>225515</v>
      </c>
      <c r="F536" s="8">
        <v>7481</v>
      </c>
      <c r="G536" s="6">
        <v>0</v>
      </c>
      <c r="H536" s="8">
        <v>0</v>
      </c>
      <c r="I536" s="6">
        <v>130.3</v>
      </c>
      <c r="J536" s="6">
        <v>5.9</v>
      </c>
      <c r="K536" s="6">
        <v>6.7</v>
      </c>
      <c r="L536" s="6">
        <v>6.99</v>
      </c>
      <c r="M536" s="6">
        <v>7.2</v>
      </c>
      <c r="N536" s="6">
        <v>4.5</v>
      </c>
    </row>
    <row r="537" hidden="1" spans="1:14">
      <c r="A537" s="4" t="s">
        <v>1923</v>
      </c>
      <c r="B537" s="5" t="s">
        <v>1889</v>
      </c>
      <c r="C537" s="6" t="s">
        <v>30</v>
      </c>
      <c r="D537" s="6">
        <v>10.884</v>
      </c>
      <c r="E537" s="8">
        <v>101068</v>
      </c>
      <c r="F537" s="8">
        <v>4338</v>
      </c>
      <c r="G537" s="6">
        <v>0</v>
      </c>
      <c r="H537" s="8">
        <v>0</v>
      </c>
      <c r="I537" s="6">
        <v>121.5</v>
      </c>
      <c r="J537" s="6">
        <v>5.75</v>
      </c>
      <c r="K537" s="6">
        <v>3.73</v>
      </c>
      <c r="L537" s="6">
        <v>3.87</v>
      </c>
      <c r="M537" s="6">
        <v>8.4</v>
      </c>
      <c r="N537" s="6">
        <v>0.6</v>
      </c>
    </row>
    <row r="538" hidden="1" spans="1:14">
      <c r="A538" s="4" t="s">
        <v>1924</v>
      </c>
      <c r="B538" s="5" t="s">
        <v>1889</v>
      </c>
      <c r="C538" s="6" t="s">
        <v>30</v>
      </c>
      <c r="D538" s="6">
        <v>9.932</v>
      </c>
      <c r="E538" s="8">
        <v>203363</v>
      </c>
      <c r="F538" s="8">
        <v>778</v>
      </c>
      <c r="G538" s="6">
        <v>0</v>
      </c>
      <c r="H538" s="8">
        <v>0</v>
      </c>
      <c r="I538" s="6">
        <v>121.5</v>
      </c>
      <c r="J538" s="6">
        <v>5.75</v>
      </c>
      <c r="K538" s="6">
        <v>3.73</v>
      </c>
      <c r="L538" s="6">
        <v>3.87</v>
      </c>
      <c r="M538" s="6">
        <v>8.4</v>
      </c>
      <c r="N538" s="6">
        <v>0.6</v>
      </c>
    </row>
    <row r="539" hidden="1" spans="1:14">
      <c r="A539" s="4" t="s">
        <v>1925</v>
      </c>
      <c r="B539" s="5" t="s">
        <v>1889</v>
      </c>
      <c r="C539" s="6" t="s">
        <v>32</v>
      </c>
      <c r="D539" s="6">
        <v>10.507</v>
      </c>
      <c r="E539" s="8">
        <v>223924</v>
      </c>
      <c r="F539" s="8">
        <v>6857</v>
      </c>
      <c r="G539" s="6">
        <v>0</v>
      </c>
      <c r="H539" s="8">
        <v>0</v>
      </c>
      <c r="I539" s="6">
        <v>121.5</v>
      </c>
      <c r="J539" s="6">
        <v>5.15</v>
      </c>
      <c r="K539" s="6">
        <v>3.73</v>
      </c>
      <c r="L539" s="6">
        <v>3.87</v>
      </c>
      <c r="M539" s="6">
        <v>9.1</v>
      </c>
      <c r="N539" s="6">
        <v>-16.7</v>
      </c>
    </row>
    <row r="540" hidden="1" spans="1:14">
      <c r="A540" s="4" t="s">
        <v>1926</v>
      </c>
      <c r="B540" s="5" t="s">
        <v>1889</v>
      </c>
      <c r="C540" s="6" t="s">
        <v>37</v>
      </c>
      <c r="D540" s="6">
        <v>10.247</v>
      </c>
      <c r="E540" s="8">
        <v>236890</v>
      </c>
      <c r="F540" s="8">
        <v>9581</v>
      </c>
      <c r="G540" s="6">
        <v>0</v>
      </c>
      <c r="H540" s="8">
        <v>0</v>
      </c>
      <c r="I540" s="6">
        <v>124.8</v>
      </c>
      <c r="J540" s="6">
        <v>4</v>
      </c>
      <c r="K540" s="6">
        <v>5.13</v>
      </c>
      <c r="L540" s="6">
        <v>9.69</v>
      </c>
      <c r="M540" s="6">
        <v>12.6</v>
      </c>
      <c r="N540" s="6">
        <v>45</v>
      </c>
    </row>
    <row r="541" hidden="1" spans="1:14">
      <c r="A541" s="4" t="s">
        <v>1927</v>
      </c>
      <c r="B541" s="5" t="s">
        <v>1889</v>
      </c>
      <c r="C541" s="6" t="s">
        <v>38</v>
      </c>
      <c r="D541" s="6">
        <v>10.281</v>
      </c>
      <c r="E541" s="8">
        <v>73920</v>
      </c>
      <c r="F541" s="8">
        <v>1452</v>
      </c>
      <c r="G541" s="6">
        <v>0</v>
      </c>
      <c r="H541" s="8">
        <v>0</v>
      </c>
      <c r="I541" s="6">
        <v>124.8</v>
      </c>
      <c r="J541" s="6">
        <v>4</v>
      </c>
      <c r="K541" s="6">
        <v>5.13</v>
      </c>
      <c r="L541" s="6">
        <v>9.69</v>
      </c>
      <c r="M541" s="6">
        <v>9.8</v>
      </c>
      <c r="N541" s="6">
        <v>8.7</v>
      </c>
    </row>
    <row r="542" hidden="1" spans="1:14">
      <c r="A542" s="4" t="s">
        <v>1928</v>
      </c>
      <c r="B542" s="5" t="s">
        <v>1889</v>
      </c>
      <c r="C542" s="6" t="s">
        <v>46</v>
      </c>
      <c r="D542" s="6">
        <v>10.722</v>
      </c>
      <c r="E542" s="8">
        <v>215149</v>
      </c>
      <c r="F542" s="8">
        <v>2483</v>
      </c>
      <c r="G542" s="6">
        <v>0</v>
      </c>
      <c r="H542" s="8">
        <v>0</v>
      </c>
      <c r="I542" s="6">
        <v>134.7</v>
      </c>
      <c r="J542" s="6">
        <v>6.5</v>
      </c>
      <c r="K542" s="6">
        <v>5.65</v>
      </c>
      <c r="L542" s="6">
        <v>8.15</v>
      </c>
      <c r="M542" s="6">
        <v>6.6</v>
      </c>
      <c r="N542" s="6">
        <v>9.7</v>
      </c>
    </row>
    <row r="543" hidden="1" spans="1:14">
      <c r="A543" s="4" t="s">
        <v>1929</v>
      </c>
      <c r="B543" s="5" t="s">
        <v>1889</v>
      </c>
      <c r="C543" s="6" t="s">
        <v>45</v>
      </c>
      <c r="D543" s="6">
        <v>10.209</v>
      </c>
      <c r="E543" s="8">
        <v>91758</v>
      </c>
      <c r="F543" s="8">
        <v>127</v>
      </c>
      <c r="G543" s="6">
        <v>0</v>
      </c>
      <c r="H543" s="8">
        <v>0</v>
      </c>
      <c r="I543" s="6">
        <v>134.7</v>
      </c>
      <c r="J543" s="6">
        <v>6.5</v>
      </c>
      <c r="K543" s="6">
        <v>5.65</v>
      </c>
      <c r="L543" s="6">
        <v>8.15</v>
      </c>
      <c r="M543" s="6">
        <v>6.6</v>
      </c>
      <c r="N543" s="6">
        <v>4.1</v>
      </c>
    </row>
    <row r="544" hidden="1" spans="1:14">
      <c r="A544" s="4" t="s">
        <v>1930</v>
      </c>
      <c r="B544" s="5" t="s">
        <v>1889</v>
      </c>
      <c r="C544" s="6" t="s">
        <v>36</v>
      </c>
      <c r="D544" s="6">
        <v>10.708</v>
      </c>
      <c r="E544" s="8">
        <v>247592</v>
      </c>
      <c r="F544" s="8">
        <v>6591</v>
      </c>
      <c r="G544" s="6">
        <v>0</v>
      </c>
      <c r="H544" s="8">
        <v>0</v>
      </c>
      <c r="I544" s="6">
        <v>118.2</v>
      </c>
      <c r="J544" s="6">
        <v>4</v>
      </c>
      <c r="K544" s="6">
        <v>6.62</v>
      </c>
      <c r="L544" s="6">
        <v>-5.78</v>
      </c>
      <c r="M544" s="6">
        <v>9.3</v>
      </c>
      <c r="N544" s="6">
        <v>6.4</v>
      </c>
    </row>
    <row r="545" hidden="1" spans="1:14">
      <c r="A545" s="4" t="s">
        <v>1931</v>
      </c>
      <c r="B545" s="5" t="s">
        <v>1889</v>
      </c>
      <c r="C545" s="6" t="s">
        <v>48</v>
      </c>
      <c r="D545" s="6">
        <v>11.507</v>
      </c>
      <c r="E545" s="8">
        <v>43049</v>
      </c>
      <c r="F545" s="8">
        <v>167</v>
      </c>
      <c r="G545" s="6">
        <v>0</v>
      </c>
      <c r="H545" s="8">
        <v>0</v>
      </c>
      <c r="I545" s="6">
        <v>134.7</v>
      </c>
      <c r="J545" s="6">
        <v>6.5</v>
      </c>
      <c r="K545" s="6">
        <v>5.65</v>
      </c>
      <c r="L545" s="6">
        <v>8.15</v>
      </c>
      <c r="M545" s="6">
        <v>6.7</v>
      </c>
      <c r="N545" s="6">
        <v>5</v>
      </c>
    </row>
    <row r="546" hidden="1" spans="1:14">
      <c r="A546" s="4" t="s">
        <v>1932</v>
      </c>
      <c r="B546" s="5" t="s">
        <v>1889</v>
      </c>
      <c r="C546" s="6" t="s">
        <v>37</v>
      </c>
      <c r="D546" s="6">
        <v>9.526</v>
      </c>
      <c r="E546" s="8">
        <v>24228</v>
      </c>
      <c r="F546" s="8">
        <v>294</v>
      </c>
      <c r="G546" s="6">
        <v>0</v>
      </c>
      <c r="H546" s="8">
        <v>0</v>
      </c>
      <c r="I546" s="6">
        <v>124.8</v>
      </c>
      <c r="J546" s="6">
        <v>4</v>
      </c>
      <c r="K546" s="6">
        <v>5.13</v>
      </c>
      <c r="L546" s="6">
        <v>9.69</v>
      </c>
      <c r="M546" s="6">
        <v>12.6</v>
      </c>
      <c r="N546" s="6">
        <v>45</v>
      </c>
    </row>
    <row r="547" hidden="1" spans="1:14">
      <c r="A547" s="4" t="s">
        <v>1933</v>
      </c>
      <c r="B547" s="5" t="s">
        <v>1889</v>
      </c>
      <c r="C547" s="6" t="s">
        <v>34</v>
      </c>
      <c r="D547" s="6">
        <v>9.743</v>
      </c>
      <c r="E547" s="8">
        <v>281358</v>
      </c>
      <c r="F547" s="8">
        <v>7331</v>
      </c>
      <c r="G547" s="6">
        <v>0</v>
      </c>
      <c r="H547" s="8">
        <v>0</v>
      </c>
      <c r="I547" s="6">
        <v>118.2</v>
      </c>
      <c r="J547" s="6">
        <v>4</v>
      </c>
      <c r="K547" s="6">
        <v>6.62</v>
      </c>
      <c r="L547" s="6">
        <v>-5.78</v>
      </c>
      <c r="M547" s="6">
        <v>13.2</v>
      </c>
      <c r="N547" s="6">
        <v>-8.6</v>
      </c>
    </row>
    <row r="548" hidden="1" spans="1:14">
      <c r="A548" s="4" t="s">
        <v>1934</v>
      </c>
      <c r="B548" s="5" t="s">
        <v>1889</v>
      </c>
      <c r="C548" s="6" t="s">
        <v>37</v>
      </c>
      <c r="D548" s="6">
        <v>9.16</v>
      </c>
      <c r="E548" s="8">
        <v>264360</v>
      </c>
      <c r="F548" s="8">
        <v>10048</v>
      </c>
      <c r="G548" s="6">
        <v>0</v>
      </c>
      <c r="H548" s="8">
        <v>0</v>
      </c>
      <c r="I548" s="6">
        <v>124.8</v>
      </c>
      <c r="J548" s="6">
        <v>4</v>
      </c>
      <c r="K548" s="6">
        <v>5.13</v>
      </c>
      <c r="L548" s="6">
        <v>9.69</v>
      </c>
      <c r="M548" s="6">
        <v>12.6</v>
      </c>
      <c r="N548" s="6">
        <v>45</v>
      </c>
    </row>
    <row r="549" hidden="1" spans="1:14">
      <c r="A549" s="4" t="s">
        <v>1935</v>
      </c>
      <c r="B549" s="5" t="s">
        <v>1889</v>
      </c>
      <c r="C549" s="6" t="s">
        <v>42</v>
      </c>
      <c r="D549" s="6">
        <v>12.905</v>
      </c>
      <c r="E549" s="8">
        <v>238415</v>
      </c>
      <c r="F549" s="8">
        <v>7068</v>
      </c>
      <c r="G549" s="6">
        <v>0</v>
      </c>
      <c r="H549" s="8">
        <v>0</v>
      </c>
      <c r="I549" s="6">
        <v>130.3</v>
      </c>
      <c r="J549" s="6">
        <v>4.9</v>
      </c>
      <c r="K549" s="6">
        <v>6.7</v>
      </c>
      <c r="L549" s="6">
        <v>6.99</v>
      </c>
      <c r="M549" s="6">
        <v>6.6</v>
      </c>
      <c r="N549" s="6">
        <v>5.6</v>
      </c>
    </row>
    <row r="550" hidden="1" spans="1:14">
      <c r="A550" s="4" t="s">
        <v>1936</v>
      </c>
      <c r="B550" s="5" t="s">
        <v>1889</v>
      </c>
      <c r="C550" s="6" t="s">
        <v>42</v>
      </c>
      <c r="D550" s="6">
        <v>9.963</v>
      </c>
      <c r="E550" s="8">
        <v>24422</v>
      </c>
      <c r="F550" s="8">
        <v>837</v>
      </c>
      <c r="G550" s="6">
        <v>0</v>
      </c>
      <c r="H550" s="8">
        <v>0</v>
      </c>
      <c r="I550" s="6">
        <v>130.3</v>
      </c>
      <c r="J550" s="6">
        <v>4.9</v>
      </c>
      <c r="K550" s="6">
        <v>6.7</v>
      </c>
      <c r="L550" s="6">
        <v>6.99</v>
      </c>
      <c r="M550" s="6">
        <v>6.6</v>
      </c>
      <c r="N550" s="6">
        <v>5.6</v>
      </c>
    </row>
    <row r="551" hidden="1" spans="1:14">
      <c r="A551" s="4" t="s">
        <v>1937</v>
      </c>
      <c r="B551" s="5" t="s">
        <v>1889</v>
      </c>
      <c r="C551" s="6" t="s">
        <v>30</v>
      </c>
      <c r="D551" s="6">
        <v>12.51</v>
      </c>
      <c r="E551" s="8">
        <v>55493</v>
      </c>
      <c r="F551" s="8">
        <v>2696</v>
      </c>
      <c r="G551" s="6">
        <v>0</v>
      </c>
      <c r="H551" s="8">
        <v>0</v>
      </c>
      <c r="I551" s="6">
        <v>121.5</v>
      </c>
      <c r="J551" s="6">
        <v>5.75</v>
      </c>
      <c r="K551" s="6">
        <v>3.73</v>
      </c>
      <c r="L551" s="6">
        <v>3.87</v>
      </c>
      <c r="M551" s="6">
        <v>8.4</v>
      </c>
      <c r="N551" s="6">
        <v>0.6</v>
      </c>
    </row>
    <row r="552" hidden="1" spans="1:14">
      <c r="A552" s="4" t="s">
        <v>1938</v>
      </c>
      <c r="B552" s="5" t="s">
        <v>1889</v>
      </c>
      <c r="C552" s="6" t="s">
        <v>43</v>
      </c>
      <c r="D552" s="6">
        <v>10.577</v>
      </c>
      <c r="E552" s="8">
        <v>296037</v>
      </c>
      <c r="F552" s="8">
        <v>14210</v>
      </c>
      <c r="G552" s="6">
        <v>0</v>
      </c>
      <c r="H552" s="8">
        <v>0</v>
      </c>
      <c r="I552" s="6">
        <v>130.3</v>
      </c>
      <c r="J552" s="6">
        <v>5.9</v>
      </c>
      <c r="K552" s="6">
        <v>6.7</v>
      </c>
      <c r="L552" s="6">
        <v>6.99</v>
      </c>
      <c r="M552" s="6">
        <v>7.2</v>
      </c>
      <c r="N552" s="6">
        <v>4.5</v>
      </c>
    </row>
    <row r="553" hidden="1" spans="1:14">
      <c r="A553" s="4" t="s">
        <v>1939</v>
      </c>
      <c r="B553" s="5" t="s">
        <v>1889</v>
      </c>
      <c r="C553" s="6" t="s">
        <v>43</v>
      </c>
      <c r="D553" s="6">
        <v>10.53</v>
      </c>
      <c r="E553" s="8">
        <v>250026</v>
      </c>
      <c r="F553" s="8">
        <v>2590</v>
      </c>
      <c r="G553" s="6">
        <v>0</v>
      </c>
      <c r="H553" s="8">
        <v>0</v>
      </c>
      <c r="I553" s="6">
        <v>130.3</v>
      </c>
      <c r="J553" s="6">
        <v>5.9</v>
      </c>
      <c r="K553" s="6">
        <v>6.7</v>
      </c>
      <c r="L553" s="6">
        <v>6.99</v>
      </c>
      <c r="M553" s="6">
        <v>7.2</v>
      </c>
      <c r="N553" s="6">
        <v>4.5</v>
      </c>
    </row>
    <row r="554" hidden="1" spans="1:14">
      <c r="A554" s="4" t="s">
        <v>1940</v>
      </c>
      <c r="B554" s="5" t="s">
        <v>1889</v>
      </c>
      <c r="C554" s="6" t="s">
        <v>48</v>
      </c>
      <c r="D554" s="6">
        <v>12.136</v>
      </c>
      <c r="E554" s="8">
        <v>350305</v>
      </c>
      <c r="F554" s="8">
        <v>2971</v>
      </c>
      <c r="G554" s="6">
        <v>0</v>
      </c>
      <c r="H554" s="8">
        <v>0</v>
      </c>
      <c r="I554" s="6">
        <v>134.7</v>
      </c>
      <c r="J554" s="6">
        <v>6.5</v>
      </c>
      <c r="K554" s="6">
        <v>5.65</v>
      </c>
      <c r="L554" s="6">
        <v>8.15</v>
      </c>
      <c r="M554" s="6">
        <v>6.7</v>
      </c>
      <c r="N554" s="6">
        <v>5</v>
      </c>
    </row>
    <row r="555" hidden="1" spans="1:14">
      <c r="A555" s="4" t="s">
        <v>1941</v>
      </c>
      <c r="B555" s="5" t="s">
        <v>1889</v>
      </c>
      <c r="C555" s="6" t="s">
        <v>33</v>
      </c>
      <c r="D555" s="6">
        <v>9.913</v>
      </c>
      <c r="E555" s="8">
        <v>119774</v>
      </c>
      <c r="F555" s="8">
        <v>5544</v>
      </c>
      <c r="G555" s="6">
        <v>0</v>
      </c>
      <c r="H555" s="8">
        <v>0</v>
      </c>
      <c r="I555" s="6">
        <v>118.2</v>
      </c>
      <c r="J555" s="6">
        <v>4.4</v>
      </c>
      <c r="K555" s="6">
        <v>6.62</v>
      </c>
      <c r="L555" s="6">
        <v>-5.78</v>
      </c>
      <c r="M555" s="6">
        <v>20.8</v>
      </c>
      <c r="N555" s="6">
        <v>-37</v>
      </c>
    </row>
    <row r="556" hidden="1" spans="1:14">
      <c r="A556" s="4" t="s">
        <v>1942</v>
      </c>
      <c r="B556" s="5" t="s">
        <v>1889</v>
      </c>
      <c r="C556" s="6" t="s">
        <v>35</v>
      </c>
      <c r="D556" s="6">
        <v>12.281</v>
      </c>
      <c r="E556" s="8">
        <v>196390</v>
      </c>
      <c r="F556" s="8">
        <v>127186</v>
      </c>
      <c r="G556" s="6">
        <v>1</v>
      </c>
      <c r="H556" s="8">
        <v>7339</v>
      </c>
      <c r="I556" s="6">
        <v>118.2</v>
      </c>
      <c r="J556" s="6">
        <v>4</v>
      </c>
      <c r="K556" s="6">
        <v>6.62</v>
      </c>
      <c r="L556" s="6">
        <v>-5.78</v>
      </c>
      <c r="M556" s="6">
        <v>10.3</v>
      </c>
      <c r="N556" s="6">
        <v>-1.6</v>
      </c>
    </row>
    <row r="557" hidden="1" spans="1:14">
      <c r="A557" s="4" t="s">
        <v>1943</v>
      </c>
      <c r="B557" s="5" t="s">
        <v>1889</v>
      </c>
      <c r="C557" s="6" t="s">
        <v>48</v>
      </c>
      <c r="D557" s="6">
        <v>10.255</v>
      </c>
      <c r="E557" s="8">
        <v>254016</v>
      </c>
      <c r="F557" s="8">
        <v>3423</v>
      </c>
      <c r="G557" s="6">
        <v>0</v>
      </c>
      <c r="H557" s="8">
        <v>0</v>
      </c>
      <c r="I557" s="6">
        <v>134.7</v>
      </c>
      <c r="J557" s="6">
        <v>6.5</v>
      </c>
      <c r="K557" s="6">
        <v>5.65</v>
      </c>
      <c r="L557" s="6">
        <v>8.15</v>
      </c>
      <c r="M557" s="6">
        <v>6.7</v>
      </c>
      <c r="N557" s="6">
        <v>5</v>
      </c>
    </row>
    <row r="558" hidden="1" spans="1:14">
      <c r="A558" s="4" t="s">
        <v>1944</v>
      </c>
      <c r="B558" s="5" t="s">
        <v>1889</v>
      </c>
      <c r="C558" s="6" t="s">
        <v>42</v>
      </c>
      <c r="D558" s="6">
        <v>11.03</v>
      </c>
      <c r="E558" s="8">
        <v>206754</v>
      </c>
      <c r="F558" s="8">
        <v>696</v>
      </c>
      <c r="G558" s="6">
        <v>0</v>
      </c>
      <c r="H558" s="8">
        <v>0</v>
      </c>
      <c r="I558" s="6">
        <v>130.3</v>
      </c>
      <c r="J558" s="6">
        <v>4.9</v>
      </c>
      <c r="K558" s="6">
        <v>6.7</v>
      </c>
      <c r="L558" s="6">
        <v>6.99</v>
      </c>
      <c r="M558" s="6">
        <v>6.6</v>
      </c>
      <c r="N558" s="6">
        <v>5.6</v>
      </c>
    </row>
    <row r="559" hidden="1" spans="1:14">
      <c r="A559" s="4" t="s">
        <v>1945</v>
      </c>
      <c r="B559" s="5" t="s">
        <v>1889</v>
      </c>
      <c r="C559" s="6" t="s">
        <v>42</v>
      </c>
      <c r="D559" s="6">
        <v>10.758</v>
      </c>
      <c r="E559" s="8">
        <v>316536</v>
      </c>
      <c r="F559" s="8">
        <v>9022</v>
      </c>
      <c r="G559" s="6">
        <v>0</v>
      </c>
      <c r="H559" s="8">
        <v>0</v>
      </c>
      <c r="I559" s="6">
        <v>130.3</v>
      </c>
      <c r="J559" s="6">
        <v>4.9</v>
      </c>
      <c r="K559" s="6">
        <v>6.7</v>
      </c>
      <c r="L559" s="6">
        <v>6.99</v>
      </c>
      <c r="M559" s="6">
        <v>6.6</v>
      </c>
      <c r="N559" s="6">
        <v>5.6</v>
      </c>
    </row>
    <row r="560" hidden="1" spans="1:14">
      <c r="A560" s="4" t="s">
        <v>1946</v>
      </c>
      <c r="B560" s="5" t="s">
        <v>1889</v>
      </c>
      <c r="C560" s="6" t="s">
        <v>37</v>
      </c>
      <c r="D560" s="6">
        <v>10.501</v>
      </c>
      <c r="E560" s="8">
        <v>190683</v>
      </c>
      <c r="F560" s="8">
        <v>811</v>
      </c>
      <c r="G560" s="6">
        <v>0</v>
      </c>
      <c r="H560" s="8">
        <v>0</v>
      </c>
      <c r="I560" s="6">
        <v>124.8</v>
      </c>
      <c r="J560" s="6">
        <v>4</v>
      </c>
      <c r="K560" s="6">
        <v>5.13</v>
      </c>
      <c r="L560" s="6">
        <v>9.69</v>
      </c>
      <c r="M560" s="6">
        <v>12.6</v>
      </c>
      <c r="N560" s="6">
        <v>45</v>
      </c>
    </row>
    <row r="561" hidden="1" spans="1:14">
      <c r="A561" s="4" t="s">
        <v>1947</v>
      </c>
      <c r="B561" s="5" t="s">
        <v>1889</v>
      </c>
      <c r="C561" s="6" t="s">
        <v>37</v>
      </c>
      <c r="D561" s="6">
        <v>9.963</v>
      </c>
      <c r="E561" s="8">
        <v>36376</v>
      </c>
      <c r="F561" s="8">
        <v>759</v>
      </c>
      <c r="G561" s="6">
        <v>0</v>
      </c>
      <c r="H561" s="8">
        <v>0</v>
      </c>
      <c r="I561" s="6">
        <v>124.8</v>
      </c>
      <c r="J561" s="6">
        <v>4</v>
      </c>
      <c r="K561" s="6">
        <v>5.13</v>
      </c>
      <c r="L561" s="6">
        <v>9.69</v>
      </c>
      <c r="M561" s="6">
        <v>12.6</v>
      </c>
      <c r="N561" s="6">
        <v>45</v>
      </c>
    </row>
    <row r="562" hidden="1" spans="1:14">
      <c r="A562" s="4" t="s">
        <v>1948</v>
      </c>
      <c r="B562" s="5" t="s">
        <v>1889</v>
      </c>
      <c r="C562" s="6" t="s">
        <v>35</v>
      </c>
      <c r="D562" s="6">
        <v>11.138</v>
      </c>
      <c r="E562" s="8">
        <v>142583</v>
      </c>
      <c r="F562" s="8">
        <v>4948</v>
      </c>
      <c r="G562" s="6">
        <v>0</v>
      </c>
      <c r="H562" s="8">
        <v>0</v>
      </c>
      <c r="I562" s="6">
        <v>118.2</v>
      </c>
      <c r="J562" s="6">
        <v>4</v>
      </c>
      <c r="K562" s="6">
        <v>6.62</v>
      </c>
      <c r="L562" s="6">
        <v>-5.78</v>
      </c>
      <c r="M562" s="6">
        <v>10.3</v>
      </c>
      <c r="N562" s="6">
        <v>-1.6</v>
      </c>
    </row>
    <row r="563" hidden="1" spans="1:14">
      <c r="A563" s="4" t="s">
        <v>1949</v>
      </c>
      <c r="B563" s="5" t="s">
        <v>1889</v>
      </c>
      <c r="C563" s="6" t="s">
        <v>35</v>
      </c>
      <c r="D563" s="6">
        <v>12.933</v>
      </c>
      <c r="E563" s="8">
        <v>92286</v>
      </c>
      <c r="F563" s="8">
        <v>3580</v>
      </c>
      <c r="G563" s="6">
        <v>0</v>
      </c>
      <c r="H563" s="8">
        <v>0</v>
      </c>
      <c r="I563" s="6">
        <v>118.2</v>
      </c>
      <c r="J563" s="6">
        <v>4</v>
      </c>
      <c r="K563" s="6">
        <v>6.62</v>
      </c>
      <c r="L563" s="6">
        <v>-5.78</v>
      </c>
      <c r="M563" s="6">
        <v>10.3</v>
      </c>
      <c r="N563" s="6">
        <v>-1.6</v>
      </c>
    </row>
    <row r="564" hidden="1" spans="1:14">
      <c r="A564" s="4" t="s">
        <v>1950</v>
      </c>
      <c r="B564" s="5" t="s">
        <v>1889</v>
      </c>
      <c r="C564" s="6" t="s">
        <v>38</v>
      </c>
      <c r="D564" s="6">
        <v>11.728</v>
      </c>
      <c r="E564" s="8">
        <v>423333</v>
      </c>
      <c r="F564" s="8">
        <v>14720</v>
      </c>
      <c r="G564" s="6">
        <v>0</v>
      </c>
      <c r="H564" s="8">
        <v>0</v>
      </c>
      <c r="I564" s="6">
        <v>124.8</v>
      </c>
      <c r="J564" s="6">
        <v>4</v>
      </c>
      <c r="K564" s="6">
        <v>5.13</v>
      </c>
      <c r="L564" s="6">
        <v>9.69</v>
      </c>
      <c r="M564" s="6">
        <v>9.8</v>
      </c>
      <c r="N564" s="6">
        <v>8.7</v>
      </c>
    </row>
    <row r="565" hidden="1" spans="1:14">
      <c r="A565" s="4" t="s">
        <v>1951</v>
      </c>
      <c r="B565" s="5" t="s">
        <v>1889</v>
      </c>
      <c r="C565" s="6" t="s">
        <v>34</v>
      </c>
      <c r="D565" s="6">
        <v>11.915</v>
      </c>
      <c r="E565" s="8">
        <v>70644</v>
      </c>
      <c r="F565" s="8">
        <v>33964</v>
      </c>
      <c r="G565" s="6">
        <v>1</v>
      </c>
      <c r="H565" s="8">
        <v>606</v>
      </c>
      <c r="I565" s="6">
        <v>118.2</v>
      </c>
      <c r="J565" s="6">
        <v>4</v>
      </c>
      <c r="K565" s="6">
        <v>6.62</v>
      </c>
      <c r="L565" s="6">
        <v>-5.78</v>
      </c>
      <c r="M565" s="6">
        <v>13.2</v>
      </c>
      <c r="N565" s="6">
        <v>-8.6</v>
      </c>
    </row>
    <row r="566" hidden="1" spans="1:14">
      <c r="A566" s="4" t="s">
        <v>1952</v>
      </c>
      <c r="B566" s="5" t="s">
        <v>1889</v>
      </c>
      <c r="C566" s="6" t="s">
        <v>48</v>
      </c>
      <c r="D566" s="6">
        <v>13.431</v>
      </c>
      <c r="E566" s="8">
        <v>92805</v>
      </c>
      <c r="F566" s="8">
        <v>328</v>
      </c>
      <c r="G566" s="6">
        <v>0</v>
      </c>
      <c r="H566" s="8">
        <v>0</v>
      </c>
      <c r="I566" s="6">
        <v>134.7</v>
      </c>
      <c r="J566" s="6">
        <v>6.5</v>
      </c>
      <c r="K566" s="6">
        <v>5.65</v>
      </c>
      <c r="L566" s="6">
        <v>8.15</v>
      </c>
      <c r="M566" s="6">
        <v>6.7</v>
      </c>
      <c r="N566" s="6">
        <v>5</v>
      </c>
    </row>
    <row r="567" hidden="1" spans="1:14">
      <c r="A567" s="4" t="s">
        <v>1953</v>
      </c>
      <c r="B567" s="5" t="s">
        <v>1889</v>
      </c>
      <c r="C567" s="6" t="s">
        <v>72</v>
      </c>
      <c r="D567" s="6">
        <v>12.746</v>
      </c>
      <c r="E567" s="8">
        <v>107788</v>
      </c>
      <c r="F567" s="8">
        <v>1171</v>
      </c>
      <c r="G567" s="6">
        <v>0</v>
      </c>
      <c r="H567" s="8">
        <v>0</v>
      </c>
      <c r="I567" s="6">
        <v>120</v>
      </c>
      <c r="J567" s="6">
        <v>6.5</v>
      </c>
      <c r="K567" s="6">
        <v>4.87</v>
      </c>
      <c r="L567" s="6">
        <v>6.5</v>
      </c>
      <c r="M567" s="6">
        <v>6.5</v>
      </c>
      <c r="N567" s="6">
        <v>4</v>
      </c>
    </row>
    <row r="568" hidden="1" spans="1:14">
      <c r="A568" s="4" t="s">
        <v>1954</v>
      </c>
      <c r="B568" s="5" t="s">
        <v>1889</v>
      </c>
      <c r="C568" s="6" t="s">
        <v>48</v>
      </c>
      <c r="D568" s="6">
        <v>10.306</v>
      </c>
      <c r="E568" s="8">
        <v>380835</v>
      </c>
      <c r="F568" s="8">
        <v>1612</v>
      </c>
      <c r="G568" s="6">
        <v>0</v>
      </c>
      <c r="H568" s="8">
        <v>0</v>
      </c>
      <c r="I568" s="6">
        <v>134.7</v>
      </c>
      <c r="J568" s="6">
        <v>6.5</v>
      </c>
      <c r="K568" s="6">
        <v>5.65</v>
      </c>
      <c r="L568" s="6">
        <v>8.15</v>
      </c>
      <c r="M568" s="6">
        <v>6.7</v>
      </c>
      <c r="N568" s="6">
        <v>5</v>
      </c>
    </row>
    <row r="569" hidden="1" spans="1:14">
      <c r="A569" s="4" t="s">
        <v>1955</v>
      </c>
      <c r="B569" s="5" t="s">
        <v>1889</v>
      </c>
      <c r="C569" s="6" t="s">
        <v>29</v>
      </c>
      <c r="D569" s="6">
        <v>10.821</v>
      </c>
      <c r="E569" s="8">
        <v>90898</v>
      </c>
      <c r="F569" s="8">
        <v>2306</v>
      </c>
      <c r="G569" s="6">
        <v>0</v>
      </c>
      <c r="H569" s="8">
        <v>0</v>
      </c>
      <c r="I569" s="6">
        <v>121.5</v>
      </c>
      <c r="J569" s="6">
        <v>6</v>
      </c>
      <c r="K569" s="6">
        <v>3.73</v>
      </c>
      <c r="L569" s="6">
        <v>3.87</v>
      </c>
      <c r="M569" s="6">
        <v>7</v>
      </c>
      <c r="N569" s="6">
        <v>3.6</v>
      </c>
    </row>
    <row r="570" hidden="1" spans="1:14">
      <c r="A570" s="4" t="s">
        <v>1956</v>
      </c>
      <c r="B570" s="5" t="s">
        <v>1889</v>
      </c>
      <c r="C570" s="6" t="s">
        <v>32</v>
      </c>
      <c r="D570" s="6">
        <v>9.408</v>
      </c>
      <c r="E570" s="8">
        <v>272525</v>
      </c>
      <c r="F570" s="8">
        <v>2705</v>
      </c>
      <c r="G570" s="6">
        <v>0</v>
      </c>
      <c r="H570" s="8">
        <v>0</v>
      </c>
      <c r="I570" s="6">
        <v>121.5</v>
      </c>
      <c r="J570" s="6">
        <v>5.15</v>
      </c>
      <c r="K570" s="6">
        <v>3.73</v>
      </c>
      <c r="L570" s="6">
        <v>3.87</v>
      </c>
      <c r="M570" s="6">
        <v>9.1</v>
      </c>
      <c r="N570" s="6">
        <v>-16.7</v>
      </c>
    </row>
    <row r="571" hidden="1" spans="1:14">
      <c r="A571" s="4" t="s">
        <v>1957</v>
      </c>
      <c r="B571" s="5" t="s">
        <v>1889</v>
      </c>
      <c r="C571" s="6" t="s">
        <v>42</v>
      </c>
      <c r="D571" s="6">
        <v>15.092</v>
      </c>
      <c r="E571" s="8">
        <v>121579</v>
      </c>
      <c r="F571" s="8">
        <v>1260</v>
      </c>
      <c r="G571" s="6">
        <v>0</v>
      </c>
      <c r="H571" s="8">
        <v>0</v>
      </c>
      <c r="I571" s="6">
        <v>130.3</v>
      </c>
      <c r="J571" s="6">
        <v>4.9</v>
      </c>
      <c r="K571" s="6">
        <v>6.7</v>
      </c>
      <c r="L571" s="6">
        <v>6.99</v>
      </c>
      <c r="M571" s="6">
        <v>6.6</v>
      </c>
      <c r="N571" s="6">
        <v>5.6</v>
      </c>
    </row>
    <row r="572" hidden="1" spans="1:14">
      <c r="A572" s="4" t="s">
        <v>1958</v>
      </c>
      <c r="B572" s="5" t="s">
        <v>1889</v>
      </c>
      <c r="C572" s="6" t="s">
        <v>46</v>
      </c>
      <c r="D572" s="6">
        <v>11.723</v>
      </c>
      <c r="E572" s="8">
        <v>231970</v>
      </c>
      <c r="F572" s="8">
        <v>1393</v>
      </c>
      <c r="G572" s="6">
        <v>0</v>
      </c>
      <c r="H572" s="8">
        <v>0</v>
      </c>
      <c r="I572" s="6">
        <v>134.7</v>
      </c>
      <c r="J572" s="6">
        <v>6.5</v>
      </c>
      <c r="K572" s="6">
        <v>5.65</v>
      </c>
      <c r="L572" s="6">
        <v>8.15</v>
      </c>
      <c r="M572" s="6">
        <v>6.6</v>
      </c>
      <c r="N572" s="6">
        <v>9.7</v>
      </c>
    </row>
    <row r="573" hidden="1" spans="1:14">
      <c r="A573" s="4" t="s">
        <v>1959</v>
      </c>
      <c r="B573" s="5" t="s">
        <v>1889</v>
      </c>
      <c r="C573" s="6" t="s">
        <v>44</v>
      </c>
      <c r="D573" s="6">
        <v>10.998</v>
      </c>
      <c r="E573" s="8">
        <v>225982</v>
      </c>
      <c r="F573" s="8">
        <v>200</v>
      </c>
      <c r="G573" s="6">
        <v>0</v>
      </c>
      <c r="H573" s="8">
        <v>0</v>
      </c>
      <c r="I573" s="6">
        <v>130.3</v>
      </c>
      <c r="J573" s="6">
        <v>6.25</v>
      </c>
      <c r="K573" s="6">
        <v>6.7</v>
      </c>
      <c r="L573" s="6">
        <v>6.99</v>
      </c>
      <c r="M573" s="6">
        <v>6.7</v>
      </c>
      <c r="N573" s="6">
        <v>1.8</v>
      </c>
    </row>
    <row r="574" hidden="1" spans="1:14">
      <c r="A574" s="4" t="s">
        <v>1960</v>
      </c>
      <c r="B574" s="5" t="s">
        <v>1889</v>
      </c>
      <c r="C574" s="6" t="s">
        <v>40</v>
      </c>
      <c r="D574" s="6">
        <v>12.684</v>
      </c>
      <c r="E574" s="8">
        <v>10394</v>
      </c>
      <c r="F574" s="8">
        <v>499</v>
      </c>
      <c r="G574" s="6">
        <v>0</v>
      </c>
      <c r="H574" s="8">
        <v>0</v>
      </c>
      <c r="I574" s="6">
        <v>124.8</v>
      </c>
      <c r="J574" s="6">
        <v>4</v>
      </c>
      <c r="K574" s="6">
        <v>5.13</v>
      </c>
      <c r="L574" s="6">
        <v>9.69</v>
      </c>
      <c r="M574" s="6">
        <v>8.2</v>
      </c>
      <c r="N574" s="6">
        <v>1.65</v>
      </c>
    </row>
    <row r="575" hidden="1" spans="1:14">
      <c r="A575" s="4" t="s">
        <v>1961</v>
      </c>
      <c r="B575" s="5" t="s">
        <v>1889</v>
      </c>
      <c r="C575" s="6" t="s">
        <v>38</v>
      </c>
      <c r="D575" s="6">
        <v>11.244</v>
      </c>
      <c r="E575" s="8">
        <v>158637</v>
      </c>
      <c r="F575" s="8">
        <v>1344</v>
      </c>
      <c r="G575" s="6">
        <v>0</v>
      </c>
      <c r="H575" s="8">
        <v>0</v>
      </c>
      <c r="I575" s="6">
        <v>124.8</v>
      </c>
      <c r="J575" s="6">
        <v>4</v>
      </c>
      <c r="K575" s="6">
        <v>5.13</v>
      </c>
      <c r="L575" s="6">
        <v>9.69</v>
      </c>
      <c r="M575" s="6">
        <v>9.8</v>
      </c>
      <c r="N575" s="6">
        <v>8.7</v>
      </c>
    </row>
    <row r="576" hidden="1" spans="1:14">
      <c r="A576" s="4" t="s">
        <v>1962</v>
      </c>
      <c r="B576" s="5" t="s">
        <v>1889</v>
      </c>
      <c r="C576" s="6" t="s">
        <v>43</v>
      </c>
      <c r="D576" s="6">
        <v>10.92</v>
      </c>
      <c r="E576" s="8">
        <v>268563</v>
      </c>
      <c r="F576" s="8">
        <v>3050</v>
      </c>
      <c r="G576" s="6">
        <v>0</v>
      </c>
      <c r="H576" s="8">
        <v>0</v>
      </c>
      <c r="I576" s="6">
        <v>130.3</v>
      </c>
      <c r="J576" s="6">
        <v>5.9</v>
      </c>
      <c r="K576" s="6">
        <v>6.7</v>
      </c>
      <c r="L576" s="6">
        <v>6.99</v>
      </c>
      <c r="M576" s="6">
        <v>7.2</v>
      </c>
      <c r="N576" s="6">
        <v>4.5</v>
      </c>
    </row>
    <row r="577" hidden="1" spans="1:14">
      <c r="A577" s="4" t="s">
        <v>1963</v>
      </c>
      <c r="B577" s="5" t="s">
        <v>1889</v>
      </c>
      <c r="C577" s="6" t="s">
        <v>48</v>
      </c>
      <c r="D577" s="6">
        <v>10.916</v>
      </c>
      <c r="E577" s="8">
        <v>127601</v>
      </c>
      <c r="F577" s="8">
        <v>337</v>
      </c>
      <c r="G577" s="6">
        <v>0</v>
      </c>
      <c r="H577" s="8">
        <v>0</v>
      </c>
      <c r="I577" s="6">
        <v>134.7</v>
      </c>
      <c r="J577" s="6">
        <v>6.5</v>
      </c>
      <c r="K577" s="6">
        <v>5.65</v>
      </c>
      <c r="L577" s="6">
        <v>8.15</v>
      </c>
      <c r="M577" s="6">
        <v>6.7</v>
      </c>
      <c r="N577" s="6">
        <v>5</v>
      </c>
    </row>
    <row r="578" hidden="1" spans="1:14">
      <c r="A578" s="4" t="s">
        <v>1964</v>
      </c>
      <c r="B578" s="5" t="s">
        <v>1889</v>
      </c>
      <c r="C578" s="6" t="s">
        <v>30</v>
      </c>
      <c r="D578" s="6">
        <v>11.903</v>
      </c>
      <c r="E578" s="8">
        <v>403741</v>
      </c>
      <c r="F578" s="8">
        <v>214087</v>
      </c>
      <c r="G578" s="6">
        <v>1</v>
      </c>
      <c r="H578" s="8">
        <v>31184</v>
      </c>
      <c r="I578" s="6">
        <v>121.5</v>
      </c>
      <c r="J578" s="6">
        <v>5.75</v>
      </c>
      <c r="K578" s="6">
        <v>3.73</v>
      </c>
      <c r="L578" s="6">
        <v>3.87</v>
      </c>
      <c r="M578" s="6">
        <v>8.4</v>
      </c>
      <c r="N578" s="6">
        <v>0.6</v>
      </c>
    </row>
    <row r="579" hidden="1" spans="1:14">
      <c r="A579" s="4" t="s">
        <v>1965</v>
      </c>
      <c r="B579" s="5" t="s">
        <v>1889</v>
      </c>
      <c r="C579" s="6" t="s">
        <v>44</v>
      </c>
      <c r="D579" s="6">
        <v>10.122</v>
      </c>
      <c r="E579" s="8">
        <v>11317</v>
      </c>
      <c r="F579" s="8">
        <v>295</v>
      </c>
      <c r="G579" s="6">
        <v>0</v>
      </c>
      <c r="H579" s="8">
        <v>0</v>
      </c>
      <c r="I579" s="6">
        <v>130.3</v>
      </c>
      <c r="J579" s="6">
        <v>6.25</v>
      </c>
      <c r="K579" s="6">
        <v>6.7</v>
      </c>
      <c r="L579" s="6">
        <v>6.99</v>
      </c>
      <c r="M579" s="6">
        <v>6.7</v>
      </c>
      <c r="N579" s="6">
        <v>1.8</v>
      </c>
    </row>
    <row r="580" hidden="1" spans="1:14">
      <c r="A580" s="4" t="s">
        <v>1966</v>
      </c>
      <c r="B580" s="5" t="s">
        <v>1889</v>
      </c>
      <c r="C580" s="6" t="s">
        <v>31</v>
      </c>
      <c r="D580" s="6">
        <v>10.607</v>
      </c>
      <c r="E580" s="8">
        <v>286350</v>
      </c>
      <c r="F580" s="8">
        <v>8564</v>
      </c>
      <c r="G580" s="6">
        <v>0</v>
      </c>
      <c r="H580" s="8">
        <v>0</v>
      </c>
      <c r="I580" s="6">
        <v>121.5</v>
      </c>
      <c r="J580" s="6">
        <v>5.4</v>
      </c>
      <c r="K580" s="6">
        <v>3.73</v>
      </c>
      <c r="L580" s="6">
        <v>3.87</v>
      </c>
      <c r="M580" s="6">
        <v>7.8</v>
      </c>
      <c r="N580" s="6">
        <v>0.7</v>
      </c>
    </row>
    <row r="581" hidden="1" spans="1:14">
      <c r="A581" s="4" t="s">
        <v>1967</v>
      </c>
      <c r="B581" s="5" t="s">
        <v>1889</v>
      </c>
      <c r="C581" s="6" t="s">
        <v>48</v>
      </c>
      <c r="D581" s="6">
        <v>11.943</v>
      </c>
      <c r="E581" s="8">
        <v>347007</v>
      </c>
      <c r="F581" s="8">
        <v>5173</v>
      </c>
      <c r="G581" s="6">
        <v>0</v>
      </c>
      <c r="H581" s="8">
        <v>0</v>
      </c>
      <c r="I581" s="6">
        <v>134.7</v>
      </c>
      <c r="J581" s="6">
        <v>6.5</v>
      </c>
      <c r="K581" s="6">
        <v>5.65</v>
      </c>
      <c r="L581" s="6">
        <v>8.15</v>
      </c>
      <c r="M581" s="6">
        <v>6.7</v>
      </c>
      <c r="N581" s="6">
        <v>5</v>
      </c>
    </row>
    <row r="582" hidden="1" spans="1:14">
      <c r="A582" s="4" t="s">
        <v>1968</v>
      </c>
      <c r="B582" s="5" t="s">
        <v>1889</v>
      </c>
      <c r="C582" s="6" t="s">
        <v>33</v>
      </c>
      <c r="D582" s="6">
        <v>10.832</v>
      </c>
      <c r="E582" s="8">
        <v>114999</v>
      </c>
      <c r="F582" s="8">
        <v>3431</v>
      </c>
      <c r="G582" s="6">
        <v>0</v>
      </c>
      <c r="H582" s="8">
        <v>0</v>
      </c>
      <c r="I582" s="6">
        <v>118.2</v>
      </c>
      <c r="J582" s="6">
        <v>4.4</v>
      </c>
      <c r="K582" s="6">
        <v>6.62</v>
      </c>
      <c r="L582" s="6">
        <v>-5.78</v>
      </c>
      <c r="M582" s="6">
        <v>20.8</v>
      </c>
      <c r="N582" s="6">
        <v>-37</v>
      </c>
    </row>
    <row r="583" hidden="1" spans="1:14">
      <c r="A583" s="4" t="s">
        <v>1969</v>
      </c>
      <c r="B583" s="5" t="s">
        <v>1889</v>
      </c>
      <c r="C583" s="6" t="s">
        <v>34</v>
      </c>
      <c r="D583" s="6">
        <v>15.28</v>
      </c>
      <c r="E583" s="8">
        <v>45450</v>
      </c>
      <c r="F583" s="8">
        <v>1697</v>
      </c>
      <c r="G583" s="6">
        <v>0</v>
      </c>
      <c r="H583" s="8">
        <v>0</v>
      </c>
      <c r="I583" s="6">
        <v>118.2</v>
      </c>
      <c r="J583" s="6">
        <v>4</v>
      </c>
      <c r="K583" s="6">
        <v>6.62</v>
      </c>
      <c r="L583" s="6">
        <v>-5.78</v>
      </c>
      <c r="M583" s="6">
        <v>13.2</v>
      </c>
      <c r="N583" s="6">
        <v>-8.6</v>
      </c>
    </row>
    <row r="584" hidden="1" spans="1:14">
      <c r="A584" s="4" t="s">
        <v>1970</v>
      </c>
      <c r="B584" s="5" t="s">
        <v>1889</v>
      </c>
      <c r="C584" s="6" t="s">
        <v>43</v>
      </c>
      <c r="D584" s="6">
        <v>12.951</v>
      </c>
      <c r="E584" s="8">
        <v>111837</v>
      </c>
      <c r="F584" s="8">
        <v>4534</v>
      </c>
      <c r="G584" s="6">
        <v>0</v>
      </c>
      <c r="H584" s="8">
        <v>0</v>
      </c>
      <c r="I584" s="6">
        <v>130.3</v>
      </c>
      <c r="J584" s="6">
        <v>5.9</v>
      </c>
      <c r="K584" s="6">
        <v>6.7</v>
      </c>
      <c r="L584" s="6">
        <v>6.99</v>
      </c>
      <c r="M584" s="6">
        <v>7.2</v>
      </c>
      <c r="N584" s="6">
        <v>4.5</v>
      </c>
    </row>
    <row r="585" hidden="1" spans="1:14">
      <c r="A585" s="4" t="s">
        <v>1971</v>
      </c>
      <c r="B585" s="5" t="s">
        <v>1889</v>
      </c>
      <c r="C585" s="6" t="s">
        <v>32</v>
      </c>
      <c r="D585" s="6">
        <v>10.18</v>
      </c>
      <c r="E585" s="8">
        <v>115379</v>
      </c>
      <c r="F585" s="8">
        <v>2234</v>
      </c>
      <c r="G585" s="6">
        <v>0</v>
      </c>
      <c r="H585" s="8">
        <v>0</v>
      </c>
      <c r="I585" s="6">
        <v>121.5</v>
      </c>
      <c r="J585" s="6">
        <v>5.15</v>
      </c>
      <c r="K585" s="6">
        <v>3.73</v>
      </c>
      <c r="L585" s="6">
        <v>3.87</v>
      </c>
      <c r="M585" s="6">
        <v>9.1</v>
      </c>
      <c r="N585" s="6">
        <v>-16.7</v>
      </c>
    </row>
    <row r="586" hidden="1" spans="1:14">
      <c r="A586" s="4" t="s">
        <v>1972</v>
      </c>
      <c r="B586" s="5" t="s">
        <v>1889</v>
      </c>
      <c r="C586" s="6" t="s">
        <v>33</v>
      </c>
      <c r="D586" s="6">
        <v>9.531</v>
      </c>
      <c r="E586" s="8">
        <v>210518</v>
      </c>
      <c r="F586" s="8">
        <v>8967</v>
      </c>
      <c r="G586" s="6">
        <v>0</v>
      </c>
      <c r="H586" s="8">
        <v>0</v>
      </c>
      <c r="I586" s="6">
        <v>118.2</v>
      </c>
      <c r="J586" s="6">
        <v>4.4</v>
      </c>
      <c r="K586" s="6">
        <v>6.62</v>
      </c>
      <c r="L586" s="6">
        <v>-5.78</v>
      </c>
      <c r="M586" s="6">
        <v>20.8</v>
      </c>
      <c r="N586" s="6">
        <v>-37</v>
      </c>
    </row>
    <row r="587" hidden="1" spans="1:14">
      <c r="A587" s="4" t="s">
        <v>1973</v>
      </c>
      <c r="B587" s="5" t="s">
        <v>1889</v>
      </c>
      <c r="C587" s="6" t="s">
        <v>31</v>
      </c>
      <c r="D587" s="6">
        <v>11.802</v>
      </c>
      <c r="E587" s="8">
        <v>188997</v>
      </c>
      <c r="F587" s="8">
        <v>3008</v>
      </c>
      <c r="G587" s="6">
        <v>0</v>
      </c>
      <c r="H587" s="8">
        <v>0</v>
      </c>
      <c r="I587" s="6">
        <v>121.5</v>
      </c>
      <c r="J587" s="6">
        <v>5.4</v>
      </c>
      <c r="K587" s="6">
        <v>3.73</v>
      </c>
      <c r="L587" s="6">
        <v>3.87</v>
      </c>
      <c r="M587" s="6">
        <v>7.8</v>
      </c>
      <c r="N587" s="6">
        <v>0.7</v>
      </c>
    </row>
    <row r="588" hidden="1" spans="1:14">
      <c r="A588" s="4" t="s">
        <v>1974</v>
      </c>
      <c r="B588" s="5" t="s">
        <v>1889</v>
      </c>
      <c r="C588" s="6" t="s">
        <v>30</v>
      </c>
      <c r="D588" s="6">
        <v>10.274</v>
      </c>
      <c r="E588" s="8">
        <v>39950</v>
      </c>
      <c r="F588" s="8">
        <v>1995</v>
      </c>
      <c r="G588" s="6">
        <v>0</v>
      </c>
      <c r="H588" s="8">
        <v>0</v>
      </c>
      <c r="I588" s="6">
        <v>121.5</v>
      </c>
      <c r="J588" s="6">
        <v>5.75</v>
      </c>
      <c r="K588" s="6">
        <v>3.73</v>
      </c>
      <c r="L588" s="6">
        <v>3.87</v>
      </c>
      <c r="M588" s="6">
        <v>8.4</v>
      </c>
      <c r="N588" s="6">
        <v>0.6</v>
      </c>
    </row>
    <row r="589" hidden="1" spans="1:14">
      <c r="A589" s="4" t="s">
        <v>1975</v>
      </c>
      <c r="B589" s="5" t="s">
        <v>1889</v>
      </c>
      <c r="C589" s="6" t="s">
        <v>36</v>
      </c>
      <c r="D589" s="6">
        <v>10.896</v>
      </c>
      <c r="E589" s="8">
        <v>62426</v>
      </c>
      <c r="F589" s="8">
        <v>269</v>
      </c>
      <c r="G589" s="6">
        <v>0</v>
      </c>
      <c r="H589" s="8">
        <v>0</v>
      </c>
      <c r="I589" s="6">
        <v>118.2</v>
      </c>
      <c r="J589" s="6">
        <v>4</v>
      </c>
      <c r="K589" s="6">
        <v>6.62</v>
      </c>
      <c r="L589" s="6">
        <v>-5.78</v>
      </c>
      <c r="M589" s="6">
        <v>9.3</v>
      </c>
      <c r="N589" s="6">
        <v>6.4</v>
      </c>
    </row>
    <row r="590" hidden="1" spans="1:14">
      <c r="A590" s="4" t="s">
        <v>1976</v>
      </c>
      <c r="B590" s="5" t="s">
        <v>1889</v>
      </c>
      <c r="C590" s="6" t="s">
        <v>43</v>
      </c>
      <c r="D590" s="6">
        <v>12.255</v>
      </c>
      <c r="E590" s="8">
        <v>326788</v>
      </c>
      <c r="F590" s="8">
        <v>98159</v>
      </c>
      <c r="G590" s="6">
        <v>1</v>
      </c>
      <c r="H590" s="8">
        <v>14576</v>
      </c>
      <c r="I590" s="6">
        <v>130.3</v>
      </c>
      <c r="J590" s="6">
        <v>5.9</v>
      </c>
      <c r="K590" s="6">
        <v>6.7</v>
      </c>
      <c r="L590" s="6">
        <v>6.99</v>
      </c>
      <c r="M590" s="6">
        <v>7.2</v>
      </c>
      <c r="N590" s="6">
        <v>4.5</v>
      </c>
    </row>
    <row r="591" hidden="1" spans="1:14">
      <c r="A591" s="4" t="s">
        <v>1977</v>
      </c>
      <c r="B591" s="5" t="s">
        <v>1889</v>
      </c>
      <c r="C591" s="6" t="s">
        <v>29</v>
      </c>
      <c r="D591" s="6">
        <v>10.466</v>
      </c>
      <c r="E591" s="8">
        <v>294885</v>
      </c>
      <c r="F591" s="8">
        <v>7118</v>
      </c>
      <c r="G591" s="6">
        <v>0</v>
      </c>
      <c r="H591" s="8">
        <v>0</v>
      </c>
      <c r="I591" s="6">
        <v>121.5</v>
      </c>
      <c r="J591" s="6">
        <v>6</v>
      </c>
      <c r="K591" s="6">
        <v>3.73</v>
      </c>
      <c r="L591" s="6">
        <v>3.87</v>
      </c>
      <c r="M591" s="6">
        <v>7</v>
      </c>
      <c r="N591" s="6">
        <v>3.6</v>
      </c>
    </row>
    <row r="592" hidden="1" spans="1:14">
      <c r="A592" s="4" t="s">
        <v>1978</v>
      </c>
      <c r="B592" s="5" t="s">
        <v>1889</v>
      </c>
      <c r="C592" s="6" t="s">
        <v>29</v>
      </c>
      <c r="D592" s="6">
        <v>10.986</v>
      </c>
      <c r="E592" s="8">
        <v>98730</v>
      </c>
      <c r="F592" s="8">
        <v>2323</v>
      </c>
      <c r="G592" s="6">
        <v>0</v>
      </c>
      <c r="H592" s="8">
        <v>0</v>
      </c>
      <c r="I592" s="6">
        <v>121.5</v>
      </c>
      <c r="J592" s="6">
        <v>6</v>
      </c>
      <c r="K592" s="6">
        <v>3.73</v>
      </c>
      <c r="L592" s="6">
        <v>3.87</v>
      </c>
      <c r="M592" s="6">
        <v>7</v>
      </c>
      <c r="N592" s="6">
        <v>3.6</v>
      </c>
    </row>
    <row r="593" hidden="1" spans="1:14">
      <c r="A593" s="4" t="s">
        <v>1979</v>
      </c>
      <c r="B593" s="5" t="s">
        <v>1889</v>
      </c>
      <c r="C593" s="6" t="s">
        <v>35</v>
      </c>
      <c r="D593" s="6">
        <v>13.948</v>
      </c>
      <c r="E593" s="8">
        <v>406628</v>
      </c>
      <c r="F593" s="8">
        <v>204935</v>
      </c>
      <c r="G593" s="6">
        <v>1</v>
      </c>
      <c r="H593" s="8">
        <v>806</v>
      </c>
      <c r="I593" s="6">
        <v>118.2</v>
      </c>
      <c r="J593" s="6">
        <v>4</v>
      </c>
      <c r="K593" s="6">
        <v>6.62</v>
      </c>
      <c r="L593" s="6">
        <v>-5.78</v>
      </c>
      <c r="M593" s="6">
        <v>10.3</v>
      </c>
      <c r="N593" s="6">
        <v>-1.6</v>
      </c>
    </row>
    <row r="594" hidden="1" spans="1:14">
      <c r="A594" s="4" t="s">
        <v>1980</v>
      </c>
      <c r="B594" s="5" t="s">
        <v>1889</v>
      </c>
      <c r="C594" s="6" t="s">
        <v>37</v>
      </c>
      <c r="D594" s="6">
        <v>10.509</v>
      </c>
      <c r="E594" s="8">
        <v>95928</v>
      </c>
      <c r="F594" s="8">
        <v>40916</v>
      </c>
      <c r="G594" s="6">
        <v>1</v>
      </c>
      <c r="H594" s="8">
        <v>1340</v>
      </c>
      <c r="I594" s="6">
        <v>124.8</v>
      </c>
      <c r="J594" s="6">
        <v>4</v>
      </c>
      <c r="K594" s="6">
        <v>5.13</v>
      </c>
      <c r="L594" s="6">
        <v>9.69</v>
      </c>
      <c r="M594" s="6">
        <v>12.6</v>
      </c>
      <c r="N594" s="6">
        <v>45</v>
      </c>
    </row>
    <row r="595" hidden="1" spans="1:14">
      <c r="A595" s="4" t="s">
        <v>1981</v>
      </c>
      <c r="B595" s="5" t="s">
        <v>1889</v>
      </c>
      <c r="C595" s="6" t="s">
        <v>37</v>
      </c>
      <c r="D595" s="6">
        <v>11.959</v>
      </c>
      <c r="E595" s="8">
        <v>294912</v>
      </c>
      <c r="F595" s="8">
        <v>8249</v>
      </c>
      <c r="G595" s="6">
        <v>0</v>
      </c>
      <c r="H595" s="8">
        <v>0</v>
      </c>
      <c r="I595" s="6">
        <v>124.8</v>
      </c>
      <c r="J595" s="6">
        <v>4</v>
      </c>
      <c r="K595" s="6">
        <v>5.13</v>
      </c>
      <c r="L595" s="6">
        <v>9.69</v>
      </c>
      <c r="M595" s="6">
        <v>12.6</v>
      </c>
      <c r="N595" s="6">
        <v>45</v>
      </c>
    </row>
    <row r="596" hidden="1" spans="1:14">
      <c r="A596" s="4" t="s">
        <v>1982</v>
      </c>
      <c r="B596" s="5" t="s">
        <v>1889</v>
      </c>
      <c r="C596" s="6" t="s">
        <v>72</v>
      </c>
      <c r="D596" s="6">
        <v>12.801</v>
      </c>
      <c r="E596" s="8">
        <v>122522</v>
      </c>
      <c r="F596" s="8">
        <v>2216</v>
      </c>
      <c r="G596" s="6">
        <v>0</v>
      </c>
      <c r="H596" s="8">
        <v>0</v>
      </c>
      <c r="I596" s="6">
        <v>120</v>
      </c>
      <c r="J596" s="6">
        <v>6.5</v>
      </c>
      <c r="K596" s="6">
        <v>4.87</v>
      </c>
      <c r="L596" s="6">
        <v>6.5</v>
      </c>
      <c r="M596" s="6">
        <v>6.5</v>
      </c>
      <c r="N596" s="6">
        <v>4</v>
      </c>
    </row>
    <row r="597" hidden="1" spans="1:14">
      <c r="A597" s="4" t="s">
        <v>1983</v>
      </c>
      <c r="B597" s="5" t="s">
        <v>1889</v>
      </c>
      <c r="C597" s="6" t="s">
        <v>47</v>
      </c>
      <c r="D597" s="6">
        <v>10.999</v>
      </c>
      <c r="E597" s="8">
        <v>29351</v>
      </c>
      <c r="F597" s="8">
        <v>1234</v>
      </c>
      <c r="G597" s="6">
        <v>0</v>
      </c>
      <c r="H597" s="8">
        <v>0</v>
      </c>
      <c r="I597" s="6">
        <v>134.7</v>
      </c>
      <c r="J597" s="6">
        <v>6.5</v>
      </c>
      <c r="K597" s="6">
        <v>5.65</v>
      </c>
      <c r="L597" s="6">
        <v>8.15</v>
      </c>
      <c r="M597" s="6">
        <v>6.5</v>
      </c>
      <c r="N597" s="6">
        <v>3.6</v>
      </c>
    </row>
    <row r="598" hidden="1" spans="1:14">
      <c r="A598" s="4" t="s">
        <v>1984</v>
      </c>
      <c r="B598" s="5" t="s">
        <v>1889</v>
      </c>
      <c r="C598" s="6" t="s">
        <v>36</v>
      </c>
      <c r="D598" s="6">
        <v>9.475</v>
      </c>
      <c r="E598" s="8">
        <v>323912</v>
      </c>
      <c r="F598" s="8">
        <v>7505</v>
      </c>
      <c r="G598" s="6">
        <v>0</v>
      </c>
      <c r="H598" s="8">
        <v>0</v>
      </c>
      <c r="I598" s="6">
        <v>118.2</v>
      </c>
      <c r="J598" s="6">
        <v>4</v>
      </c>
      <c r="K598" s="6">
        <v>6.62</v>
      </c>
      <c r="L598" s="6">
        <v>-5.78</v>
      </c>
      <c r="M598" s="6">
        <v>9.3</v>
      </c>
      <c r="N598" s="6">
        <v>6.4</v>
      </c>
    </row>
    <row r="599" hidden="1" spans="1:14">
      <c r="A599" s="4" t="s">
        <v>1985</v>
      </c>
      <c r="B599" s="5" t="s">
        <v>1889</v>
      </c>
      <c r="C599" s="6" t="s">
        <v>31</v>
      </c>
      <c r="D599" s="6">
        <v>9.748</v>
      </c>
      <c r="E599" s="8">
        <v>264874</v>
      </c>
      <c r="F599" s="8">
        <v>10749</v>
      </c>
      <c r="G599" s="6">
        <v>0</v>
      </c>
      <c r="H599" s="8">
        <v>0</v>
      </c>
      <c r="I599" s="6">
        <v>121.5</v>
      </c>
      <c r="J599" s="6">
        <v>5.4</v>
      </c>
      <c r="K599" s="6">
        <v>3.73</v>
      </c>
      <c r="L599" s="6">
        <v>3.87</v>
      </c>
      <c r="M599" s="6">
        <v>7.8</v>
      </c>
      <c r="N599" s="6">
        <v>0.7</v>
      </c>
    </row>
    <row r="600" hidden="1" spans="1:14">
      <c r="A600" s="4" t="s">
        <v>1986</v>
      </c>
      <c r="B600" s="5" t="s">
        <v>1889</v>
      </c>
      <c r="C600" s="6" t="s">
        <v>72</v>
      </c>
      <c r="D600" s="6">
        <v>12.953</v>
      </c>
      <c r="E600" s="8">
        <v>270357</v>
      </c>
      <c r="F600" s="8">
        <v>12840</v>
      </c>
      <c r="G600" s="6">
        <v>0</v>
      </c>
      <c r="H600" s="8">
        <v>0</v>
      </c>
      <c r="I600" s="6">
        <v>120</v>
      </c>
      <c r="J600" s="6">
        <v>6.5</v>
      </c>
      <c r="K600" s="6">
        <v>4.87</v>
      </c>
      <c r="L600" s="6">
        <v>6.5</v>
      </c>
      <c r="M600" s="6">
        <v>6.5</v>
      </c>
      <c r="N600" s="6">
        <v>4</v>
      </c>
    </row>
    <row r="601" hidden="1" spans="1:14">
      <c r="A601" s="4" t="s">
        <v>1987</v>
      </c>
      <c r="B601" s="5" t="s">
        <v>1889</v>
      </c>
      <c r="C601" s="6" t="s">
        <v>38</v>
      </c>
      <c r="D601" s="6">
        <v>10.665</v>
      </c>
      <c r="E601" s="8">
        <v>273885</v>
      </c>
      <c r="F601" s="8">
        <v>9760</v>
      </c>
      <c r="G601" s="6">
        <v>0</v>
      </c>
      <c r="H601" s="8">
        <v>0</v>
      </c>
      <c r="I601" s="6">
        <v>124.8</v>
      </c>
      <c r="J601" s="6">
        <v>4</v>
      </c>
      <c r="K601" s="6">
        <v>5.13</v>
      </c>
      <c r="L601" s="6">
        <v>9.69</v>
      </c>
      <c r="M601" s="6">
        <v>9.8</v>
      </c>
      <c r="N601" s="6">
        <v>8.7</v>
      </c>
    </row>
    <row r="602" hidden="1" spans="1:14">
      <c r="A602" s="4" t="s">
        <v>1988</v>
      </c>
      <c r="B602" s="5" t="s">
        <v>1889</v>
      </c>
      <c r="C602" s="6" t="s">
        <v>72</v>
      </c>
      <c r="D602" s="6">
        <v>11.625</v>
      </c>
      <c r="E602" s="8">
        <v>119261</v>
      </c>
      <c r="F602" s="8">
        <v>3217</v>
      </c>
      <c r="G602" s="6">
        <v>0</v>
      </c>
      <c r="H602" s="8">
        <v>0</v>
      </c>
      <c r="I602" s="6">
        <v>120</v>
      </c>
      <c r="J602" s="6">
        <v>6.5</v>
      </c>
      <c r="K602" s="6">
        <v>4.87</v>
      </c>
      <c r="L602" s="6">
        <v>6.5</v>
      </c>
      <c r="M602" s="6">
        <v>6.5</v>
      </c>
      <c r="N602" s="6">
        <v>4</v>
      </c>
    </row>
    <row r="603" hidden="1" spans="1:14">
      <c r="A603" s="4" t="s">
        <v>1989</v>
      </c>
      <c r="B603" s="5" t="s">
        <v>1889</v>
      </c>
      <c r="C603" s="6" t="s">
        <v>33</v>
      </c>
      <c r="D603" s="6">
        <v>14.925</v>
      </c>
      <c r="E603" s="8">
        <v>87319</v>
      </c>
      <c r="F603" s="8">
        <v>693</v>
      </c>
      <c r="G603" s="6">
        <v>0</v>
      </c>
      <c r="H603" s="8">
        <v>0</v>
      </c>
      <c r="I603" s="6">
        <v>118.2</v>
      </c>
      <c r="J603" s="6">
        <v>4.4</v>
      </c>
      <c r="K603" s="6">
        <v>6.62</v>
      </c>
      <c r="L603" s="6">
        <v>-5.78</v>
      </c>
      <c r="M603" s="6">
        <v>20.8</v>
      </c>
      <c r="N603" s="6">
        <v>-37</v>
      </c>
    </row>
    <row r="604" hidden="1" spans="1:14">
      <c r="A604" s="4" t="s">
        <v>1990</v>
      </c>
      <c r="B604" s="5" t="s">
        <v>1889</v>
      </c>
      <c r="C604" s="6" t="s">
        <v>40</v>
      </c>
      <c r="D604" s="6">
        <v>10.236</v>
      </c>
      <c r="E604" s="8">
        <v>351052</v>
      </c>
      <c r="F604" s="8">
        <v>7058</v>
      </c>
      <c r="G604" s="6">
        <v>0</v>
      </c>
      <c r="H604" s="8">
        <v>0</v>
      </c>
      <c r="I604" s="6">
        <v>124.8</v>
      </c>
      <c r="J604" s="6">
        <v>4</v>
      </c>
      <c r="K604" s="6">
        <v>5.13</v>
      </c>
      <c r="L604" s="6">
        <v>9.69</v>
      </c>
      <c r="M604" s="6">
        <v>8.2</v>
      </c>
      <c r="N604" s="6">
        <v>1.65</v>
      </c>
    </row>
    <row r="605" hidden="1" spans="1:14">
      <c r="A605" s="4" t="s">
        <v>1991</v>
      </c>
      <c r="B605" s="5" t="s">
        <v>1889</v>
      </c>
      <c r="C605" s="6" t="s">
        <v>32</v>
      </c>
      <c r="D605" s="6">
        <v>10.403</v>
      </c>
      <c r="E605" s="8">
        <v>253441</v>
      </c>
      <c r="F605" s="8">
        <v>9313</v>
      </c>
      <c r="G605" s="6">
        <v>0</v>
      </c>
      <c r="H605" s="8">
        <v>0</v>
      </c>
      <c r="I605" s="6">
        <v>121.5</v>
      </c>
      <c r="J605" s="6">
        <v>5.15</v>
      </c>
      <c r="K605" s="6">
        <v>3.73</v>
      </c>
      <c r="L605" s="6">
        <v>3.87</v>
      </c>
      <c r="M605" s="6">
        <v>9.1</v>
      </c>
      <c r="N605" s="6">
        <v>-16.7</v>
      </c>
    </row>
    <row r="606" hidden="1" spans="1:14">
      <c r="A606" s="4" t="s">
        <v>1992</v>
      </c>
      <c r="B606" s="5" t="s">
        <v>1889</v>
      </c>
      <c r="C606" s="6" t="s">
        <v>43</v>
      </c>
      <c r="D606" s="6">
        <v>10.723</v>
      </c>
      <c r="E606" s="8">
        <v>270438</v>
      </c>
      <c r="F606" s="8">
        <v>1165</v>
      </c>
      <c r="G606" s="6">
        <v>0</v>
      </c>
      <c r="H606" s="8">
        <v>0</v>
      </c>
      <c r="I606" s="6">
        <v>130.3</v>
      </c>
      <c r="J606" s="6">
        <v>5.9</v>
      </c>
      <c r="K606" s="6">
        <v>6.7</v>
      </c>
      <c r="L606" s="6">
        <v>6.99</v>
      </c>
      <c r="M606" s="6">
        <v>7.2</v>
      </c>
      <c r="N606" s="6">
        <v>4.5</v>
      </c>
    </row>
    <row r="607" hidden="1" spans="1:14">
      <c r="A607" s="4" t="s">
        <v>1993</v>
      </c>
      <c r="B607" s="5" t="s">
        <v>1889</v>
      </c>
      <c r="C607" s="6" t="s">
        <v>36</v>
      </c>
      <c r="D607" s="6">
        <v>10.294</v>
      </c>
      <c r="E607" s="8">
        <v>26346</v>
      </c>
      <c r="F607" s="8">
        <v>573</v>
      </c>
      <c r="G607" s="6">
        <v>0</v>
      </c>
      <c r="H607" s="8">
        <v>0</v>
      </c>
      <c r="I607" s="6">
        <v>118.2</v>
      </c>
      <c r="J607" s="6">
        <v>4</v>
      </c>
      <c r="K607" s="6">
        <v>6.62</v>
      </c>
      <c r="L607" s="6">
        <v>-5.78</v>
      </c>
      <c r="M607" s="6">
        <v>9.3</v>
      </c>
      <c r="N607" s="6">
        <v>6.4</v>
      </c>
    </row>
    <row r="608" hidden="1" spans="1:14">
      <c r="A608" s="4" t="s">
        <v>1994</v>
      </c>
      <c r="B608" s="5" t="s">
        <v>1889</v>
      </c>
      <c r="C608" s="6" t="s">
        <v>45</v>
      </c>
      <c r="D608" s="6">
        <v>11.861</v>
      </c>
      <c r="E608" s="8">
        <v>44955</v>
      </c>
      <c r="F608" s="8">
        <v>306</v>
      </c>
      <c r="G608" s="6">
        <v>0</v>
      </c>
      <c r="H608" s="8">
        <v>0</v>
      </c>
      <c r="I608" s="6">
        <v>134.7</v>
      </c>
      <c r="J608" s="6">
        <v>6.5</v>
      </c>
      <c r="K608" s="6">
        <v>5.65</v>
      </c>
      <c r="L608" s="6">
        <v>8.15</v>
      </c>
      <c r="M608" s="6">
        <v>6.6</v>
      </c>
      <c r="N608" s="6">
        <v>4.1</v>
      </c>
    </row>
    <row r="609" hidden="1" spans="1:14">
      <c r="A609" s="4" t="s">
        <v>1995</v>
      </c>
      <c r="B609" s="5" t="s">
        <v>1889</v>
      </c>
      <c r="C609" s="6" t="s">
        <v>36</v>
      </c>
      <c r="D609" s="6">
        <v>10.797</v>
      </c>
      <c r="E609" s="8">
        <v>182577</v>
      </c>
      <c r="F609" s="8">
        <v>804</v>
      </c>
      <c r="G609" s="6">
        <v>0</v>
      </c>
      <c r="H609" s="8">
        <v>0</v>
      </c>
      <c r="I609" s="6">
        <v>118.2</v>
      </c>
      <c r="J609" s="6">
        <v>4</v>
      </c>
      <c r="K609" s="6">
        <v>6.62</v>
      </c>
      <c r="L609" s="6">
        <v>-5.78</v>
      </c>
      <c r="M609" s="6">
        <v>9.3</v>
      </c>
      <c r="N609" s="6">
        <v>6.4</v>
      </c>
    </row>
    <row r="610" hidden="1" spans="1:14">
      <c r="A610" s="4" t="s">
        <v>1996</v>
      </c>
      <c r="B610" s="5" t="s">
        <v>1889</v>
      </c>
      <c r="C610" s="6" t="s">
        <v>35</v>
      </c>
      <c r="D610" s="6">
        <v>11.032</v>
      </c>
      <c r="E610" s="8">
        <v>82990</v>
      </c>
      <c r="F610" s="8">
        <v>71511</v>
      </c>
      <c r="G610" s="6">
        <v>1</v>
      </c>
      <c r="H610" s="8">
        <v>8288</v>
      </c>
      <c r="I610" s="6">
        <v>118.2</v>
      </c>
      <c r="J610" s="6">
        <v>4</v>
      </c>
      <c r="K610" s="6">
        <v>6.62</v>
      </c>
      <c r="L610" s="6">
        <v>-5.78</v>
      </c>
      <c r="M610" s="6">
        <v>10.3</v>
      </c>
      <c r="N610" s="6">
        <v>-1.6</v>
      </c>
    </row>
    <row r="611" hidden="1" spans="1:14">
      <c r="A611" s="4" t="s">
        <v>1997</v>
      </c>
      <c r="B611" s="5" t="s">
        <v>1889</v>
      </c>
      <c r="C611" s="6" t="s">
        <v>42</v>
      </c>
      <c r="D611" s="6">
        <v>11.106</v>
      </c>
      <c r="E611" s="8">
        <v>174789</v>
      </c>
      <c r="F611" s="8">
        <v>1610</v>
      </c>
      <c r="G611" s="6">
        <v>0</v>
      </c>
      <c r="H611" s="8">
        <v>0</v>
      </c>
      <c r="I611" s="6">
        <v>130.3</v>
      </c>
      <c r="J611" s="6">
        <v>4.9</v>
      </c>
      <c r="K611" s="6">
        <v>6.7</v>
      </c>
      <c r="L611" s="6">
        <v>6.99</v>
      </c>
      <c r="M611" s="6">
        <v>6.6</v>
      </c>
      <c r="N611" s="6">
        <v>5.6</v>
      </c>
    </row>
    <row r="612" hidden="1" spans="1:14">
      <c r="A612" s="4" t="s">
        <v>1998</v>
      </c>
      <c r="B612" s="5" t="s">
        <v>1889</v>
      </c>
      <c r="C612" s="6" t="s">
        <v>36</v>
      </c>
      <c r="D612" s="6">
        <v>10.771</v>
      </c>
      <c r="E612" s="8">
        <v>21265</v>
      </c>
      <c r="F612" s="8">
        <v>665</v>
      </c>
      <c r="G612" s="6">
        <v>0</v>
      </c>
      <c r="H612" s="8">
        <v>0</v>
      </c>
      <c r="I612" s="6">
        <v>118.2</v>
      </c>
      <c r="J612" s="6">
        <v>4</v>
      </c>
      <c r="K612" s="6">
        <v>6.62</v>
      </c>
      <c r="L612" s="6">
        <v>-5.78</v>
      </c>
      <c r="M612" s="6">
        <v>9.3</v>
      </c>
      <c r="N612" s="6">
        <v>6.4</v>
      </c>
    </row>
    <row r="613" hidden="1" spans="1:14">
      <c r="A613" s="4" t="s">
        <v>1999</v>
      </c>
      <c r="B613" s="5" t="s">
        <v>1889</v>
      </c>
      <c r="C613" s="6" t="s">
        <v>47</v>
      </c>
      <c r="D613" s="6">
        <v>13.425</v>
      </c>
      <c r="E613" s="8">
        <v>65905</v>
      </c>
      <c r="F613" s="8">
        <v>2606</v>
      </c>
      <c r="G613" s="6">
        <v>0</v>
      </c>
      <c r="H613" s="8">
        <v>0</v>
      </c>
      <c r="I613" s="6">
        <v>134.7</v>
      </c>
      <c r="J613" s="6">
        <v>6.5</v>
      </c>
      <c r="K613" s="6">
        <v>5.65</v>
      </c>
      <c r="L613" s="6">
        <v>8.15</v>
      </c>
      <c r="M613" s="6">
        <v>6.5</v>
      </c>
      <c r="N613" s="6">
        <v>3.6</v>
      </c>
    </row>
    <row r="614" hidden="1" spans="1:14">
      <c r="A614" s="4" t="s">
        <v>2000</v>
      </c>
      <c r="B614" s="5" t="s">
        <v>1889</v>
      </c>
      <c r="C614" s="6" t="s">
        <v>46</v>
      </c>
      <c r="D614" s="6">
        <v>11.263</v>
      </c>
      <c r="E614" s="8">
        <v>89251</v>
      </c>
      <c r="F614" s="8">
        <v>2091</v>
      </c>
      <c r="G614" s="6">
        <v>0</v>
      </c>
      <c r="H614" s="8">
        <v>0</v>
      </c>
      <c r="I614" s="6">
        <v>134.7</v>
      </c>
      <c r="J614" s="6">
        <v>6.5</v>
      </c>
      <c r="K614" s="6">
        <v>5.65</v>
      </c>
      <c r="L614" s="6">
        <v>8.15</v>
      </c>
      <c r="M614" s="6">
        <v>6.6</v>
      </c>
      <c r="N614" s="6">
        <v>9.7</v>
      </c>
    </row>
    <row r="615" hidden="1" spans="1:14">
      <c r="A615" s="4" t="s">
        <v>2001</v>
      </c>
      <c r="B615" s="5" t="s">
        <v>1889</v>
      </c>
      <c r="C615" s="6" t="s">
        <v>47</v>
      </c>
      <c r="D615" s="6">
        <v>13.899</v>
      </c>
      <c r="E615" s="8">
        <v>170741</v>
      </c>
      <c r="F615" s="8">
        <v>843</v>
      </c>
      <c r="G615" s="6">
        <v>0</v>
      </c>
      <c r="H615" s="8">
        <v>0</v>
      </c>
      <c r="I615" s="6">
        <v>134.7</v>
      </c>
      <c r="J615" s="6">
        <v>6.5</v>
      </c>
      <c r="K615" s="6">
        <v>5.65</v>
      </c>
      <c r="L615" s="6">
        <v>8.15</v>
      </c>
      <c r="M615" s="6">
        <v>6.5</v>
      </c>
      <c r="N615" s="6">
        <v>3.6</v>
      </c>
    </row>
    <row r="616" hidden="1" spans="1:14">
      <c r="A616" s="4" t="s">
        <v>2002</v>
      </c>
      <c r="B616" s="5" t="s">
        <v>1889</v>
      </c>
      <c r="C616" s="6" t="s">
        <v>41</v>
      </c>
      <c r="D616" s="6">
        <v>10.44</v>
      </c>
      <c r="E616" s="8">
        <v>59859</v>
      </c>
      <c r="F616" s="8">
        <v>606</v>
      </c>
      <c r="G616" s="6">
        <v>0</v>
      </c>
      <c r="H616" s="8">
        <v>0</v>
      </c>
      <c r="I616" s="6">
        <v>130.3</v>
      </c>
      <c r="J616" s="6">
        <v>4</v>
      </c>
      <c r="K616" s="6">
        <v>6.7</v>
      </c>
      <c r="L616" s="6">
        <v>6.99</v>
      </c>
      <c r="M616" s="6">
        <v>6.6</v>
      </c>
      <c r="N616" s="6">
        <v>13.8</v>
      </c>
    </row>
    <row r="617" hidden="1" spans="1:14">
      <c r="A617" s="4" t="s">
        <v>2003</v>
      </c>
      <c r="B617" s="5" t="s">
        <v>1889</v>
      </c>
      <c r="C617" s="6" t="s">
        <v>41</v>
      </c>
      <c r="D617" s="6">
        <v>11.176</v>
      </c>
      <c r="E617" s="8">
        <v>190531</v>
      </c>
      <c r="F617" s="8">
        <v>1811</v>
      </c>
      <c r="G617" s="6">
        <v>0</v>
      </c>
      <c r="H617" s="8">
        <v>0</v>
      </c>
      <c r="I617" s="6">
        <v>130.3</v>
      </c>
      <c r="J617" s="6">
        <v>4</v>
      </c>
      <c r="K617" s="6">
        <v>6.7</v>
      </c>
      <c r="L617" s="6">
        <v>6.99</v>
      </c>
      <c r="M617" s="6">
        <v>6.6</v>
      </c>
      <c r="N617" s="6">
        <v>13.8</v>
      </c>
    </row>
    <row r="618" hidden="1" spans="1:14">
      <c r="A618" s="4" t="s">
        <v>2004</v>
      </c>
      <c r="B618" s="5" t="s">
        <v>1889</v>
      </c>
      <c r="C618" s="6" t="s">
        <v>34</v>
      </c>
      <c r="D618" s="6">
        <v>9.344</v>
      </c>
      <c r="E618" s="8">
        <v>353229</v>
      </c>
      <c r="F618" s="8">
        <v>7914</v>
      </c>
      <c r="G618" s="6">
        <v>0</v>
      </c>
      <c r="H618" s="8">
        <v>0</v>
      </c>
      <c r="I618" s="6">
        <v>118.2</v>
      </c>
      <c r="J618" s="6">
        <v>4</v>
      </c>
      <c r="K618" s="6">
        <v>6.62</v>
      </c>
      <c r="L618" s="6">
        <v>-5.78</v>
      </c>
      <c r="M618" s="6">
        <v>13.2</v>
      </c>
      <c r="N618" s="6">
        <v>-8.6</v>
      </c>
    </row>
    <row r="619" hidden="1" spans="1:14">
      <c r="A619" s="4" t="s">
        <v>2005</v>
      </c>
      <c r="B619" s="5" t="s">
        <v>1889</v>
      </c>
      <c r="C619" s="6" t="s">
        <v>39</v>
      </c>
      <c r="D619" s="6">
        <v>10.375</v>
      </c>
      <c r="E619" s="8">
        <v>57356</v>
      </c>
      <c r="F619" s="8">
        <v>1142</v>
      </c>
      <c r="G619" s="6">
        <v>0</v>
      </c>
      <c r="H619" s="8">
        <v>0</v>
      </c>
      <c r="I619" s="6">
        <v>124.8</v>
      </c>
      <c r="J619" s="6">
        <v>4</v>
      </c>
      <c r="K619" s="6">
        <v>5.13</v>
      </c>
      <c r="L619" s="6">
        <v>9.69</v>
      </c>
      <c r="M619" s="6">
        <v>8.7</v>
      </c>
      <c r="N619" s="6">
        <v>2.1</v>
      </c>
    </row>
    <row r="620" hidden="1" spans="1:14">
      <c r="A620" s="4" t="s">
        <v>2006</v>
      </c>
      <c r="B620" s="5" t="s">
        <v>1889</v>
      </c>
      <c r="C620" s="6" t="s">
        <v>39</v>
      </c>
      <c r="D620" s="6">
        <v>10.367</v>
      </c>
      <c r="E620" s="8">
        <v>133627</v>
      </c>
      <c r="F620" s="8">
        <v>2113</v>
      </c>
      <c r="G620" s="6">
        <v>0</v>
      </c>
      <c r="H620" s="8">
        <v>0</v>
      </c>
      <c r="I620" s="6">
        <v>124.8</v>
      </c>
      <c r="J620" s="6">
        <v>4</v>
      </c>
      <c r="K620" s="6">
        <v>5.13</v>
      </c>
      <c r="L620" s="6">
        <v>9.69</v>
      </c>
      <c r="M620" s="6">
        <v>8.7</v>
      </c>
      <c r="N620" s="6">
        <v>2.1</v>
      </c>
    </row>
    <row r="621" hidden="1" spans="1:14">
      <c r="A621" s="4" t="s">
        <v>2007</v>
      </c>
      <c r="B621" s="5" t="s">
        <v>1889</v>
      </c>
      <c r="C621" s="6" t="s">
        <v>41</v>
      </c>
      <c r="D621" s="6">
        <v>11.896</v>
      </c>
      <c r="E621" s="8">
        <v>386422</v>
      </c>
      <c r="F621" s="8">
        <v>16723</v>
      </c>
      <c r="G621" s="6">
        <v>0</v>
      </c>
      <c r="H621" s="8">
        <v>0</v>
      </c>
      <c r="I621" s="6">
        <v>130.3</v>
      </c>
      <c r="J621" s="6">
        <v>4</v>
      </c>
      <c r="K621" s="6">
        <v>6.7</v>
      </c>
      <c r="L621" s="6">
        <v>6.99</v>
      </c>
      <c r="M621" s="6">
        <v>6.6</v>
      </c>
      <c r="N621" s="6">
        <v>13.8</v>
      </c>
    </row>
    <row r="622" hidden="1" spans="1:14">
      <c r="A622" s="4" t="s">
        <v>2008</v>
      </c>
      <c r="B622" s="5" t="s">
        <v>1889</v>
      </c>
      <c r="C622" s="6" t="s">
        <v>36</v>
      </c>
      <c r="D622" s="6">
        <v>11.619</v>
      </c>
      <c r="E622" s="8">
        <v>261169</v>
      </c>
      <c r="F622" s="8">
        <v>9321</v>
      </c>
      <c r="G622" s="6">
        <v>0</v>
      </c>
      <c r="H622" s="8">
        <v>0</v>
      </c>
      <c r="I622" s="6">
        <v>118.2</v>
      </c>
      <c r="J622" s="6">
        <v>4</v>
      </c>
      <c r="K622" s="6">
        <v>6.62</v>
      </c>
      <c r="L622" s="6">
        <v>-5.78</v>
      </c>
      <c r="M622" s="6">
        <v>9.3</v>
      </c>
      <c r="N622" s="6">
        <v>6.4</v>
      </c>
    </row>
    <row r="623" hidden="1" spans="1:14">
      <c r="A623" s="4" t="s">
        <v>2009</v>
      </c>
      <c r="B623" s="5" t="s">
        <v>1889</v>
      </c>
      <c r="C623" s="6" t="s">
        <v>33</v>
      </c>
      <c r="D623" s="6">
        <v>10.631</v>
      </c>
      <c r="E623" s="8">
        <v>127631</v>
      </c>
      <c r="F623" s="8">
        <v>194</v>
      </c>
      <c r="G623" s="6">
        <v>0</v>
      </c>
      <c r="H623" s="8">
        <v>0</v>
      </c>
      <c r="I623" s="6">
        <v>118.2</v>
      </c>
      <c r="J623" s="6">
        <v>4.4</v>
      </c>
      <c r="K623" s="6">
        <v>6.62</v>
      </c>
      <c r="L623" s="6">
        <v>-5.78</v>
      </c>
      <c r="M623" s="6">
        <v>20.8</v>
      </c>
      <c r="N623" s="6">
        <v>-37</v>
      </c>
    </row>
    <row r="624" hidden="1" spans="1:14">
      <c r="A624" s="4" t="s">
        <v>2010</v>
      </c>
      <c r="B624" s="5" t="s">
        <v>1889</v>
      </c>
      <c r="C624" s="6" t="s">
        <v>34</v>
      </c>
      <c r="D624" s="6">
        <v>10.753</v>
      </c>
      <c r="E624" s="8">
        <v>24977</v>
      </c>
      <c r="F624" s="8">
        <v>117</v>
      </c>
      <c r="G624" s="6">
        <v>0</v>
      </c>
      <c r="H624" s="8">
        <v>0</v>
      </c>
      <c r="I624" s="6">
        <v>118.2</v>
      </c>
      <c r="J624" s="6">
        <v>4</v>
      </c>
      <c r="K624" s="6">
        <v>6.62</v>
      </c>
      <c r="L624" s="6">
        <v>-5.78</v>
      </c>
      <c r="M624" s="6">
        <v>13.2</v>
      </c>
      <c r="N624" s="6">
        <v>-8.6</v>
      </c>
    </row>
    <row r="625" hidden="1" spans="1:14">
      <c r="A625" s="4" t="s">
        <v>2011</v>
      </c>
      <c r="B625" s="5" t="s">
        <v>1889</v>
      </c>
      <c r="C625" s="6" t="s">
        <v>37</v>
      </c>
      <c r="D625" s="6">
        <v>9.642</v>
      </c>
      <c r="E625" s="8">
        <v>450794</v>
      </c>
      <c r="F625" s="8">
        <v>11321</v>
      </c>
      <c r="G625" s="6">
        <v>0</v>
      </c>
      <c r="H625" s="8">
        <v>0</v>
      </c>
      <c r="I625" s="6">
        <v>124.8</v>
      </c>
      <c r="J625" s="6">
        <v>4</v>
      </c>
      <c r="K625" s="6">
        <v>5.13</v>
      </c>
      <c r="L625" s="6">
        <v>9.69</v>
      </c>
      <c r="M625" s="6">
        <v>12.6</v>
      </c>
      <c r="N625" s="6">
        <v>45</v>
      </c>
    </row>
    <row r="626" hidden="1" spans="1:14">
      <c r="A626" s="4" t="s">
        <v>2012</v>
      </c>
      <c r="B626" s="5" t="s">
        <v>1889</v>
      </c>
      <c r="C626" s="6" t="s">
        <v>47</v>
      </c>
      <c r="D626" s="6">
        <v>11.316</v>
      </c>
      <c r="E626" s="8">
        <v>111800</v>
      </c>
      <c r="F626" s="8">
        <v>3912</v>
      </c>
      <c r="G626" s="6">
        <v>0</v>
      </c>
      <c r="H626" s="8">
        <v>0</v>
      </c>
      <c r="I626" s="6">
        <v>134.7</v>
      </c>
      <c r="J626" s="6">
        <v>6.5</v>
      </c>
      <c r="K626" s="6">
        <v>5.65</v>
      </c>
      <c r="L626" s="6">
        <v>8.15</v>
      </c>
      <c r="M626" s="6">
        <v>6.5</v>
      </c>
      <c r="N626" s="6">
        <v>3.6</v>
      </c>
    </row>
    <row r="627" hidden="1" spans="1:14">
      <c r="A627" s="4" t="s">
        <v>2013</v>
      </c>
      <c r="B627" s="5" t="s">
        <v>1889</v>
      </c>
      <c r="C627" s="6" t="s">
        <v>72</v>
      </c>
      <c r="D627" s="6">
        <v>9.949</v>
      </c>
      <c r="E627" s="8">
        <v>205370</v>
      </c>
      <c r="F627" s="8">
        <v>5245</v>
      </c>
      <c r="G627" s="6">
        <v>0</v>
      </c>
      <c r="H627" s="8">
        <v>0</v>
      </c>
      <c r="I627" s="6">
        <v>120</v>
      </c>
      <c r="J627" s="6">
        <v>6.5</v>
      </c>
      <c r="K627" s="6">
        <v>4.87</v>
      </c>
      <c r="L627" s="6">
        <v>6.5</v>
      </c>
      <c r="M627" s="6">
        <v>6.5</v>
      </c>
      <c r="N627" s="6">
        <v>4</v>
      </c>
    </row>
    <row r="628" hidden="1" spans="1:14">
      <c r="A628" s="4" t="s">
        <v>2014</v>
      </c>
      <c r="B628" s="5" t="s">
        <v>1889</v>
      </c>
      <c r="C628" s="6" t="s">
        <v>40</v>
      </c>
      <c r="D628" s="6">
        <v>10.904</v>
      </c>
      <c r="E628" s="8">
        <v>139033</v>
      </c>
      <c r="F628" s="8">
        <v>6512</v>
      </c>
      <c r="G628" s="6">
        <v>0</v>
      </c>
      <c r="H628" s="8">
        <v>0</v>
      </c>
      <c r="I628" s="6">
        <v>124.8</v>
      </c>
      <c r="J628" s="6">
        <v>4</v>
      </c>
      <c r="K628" s="6">
        <v>5.13</v>
      </c>
      <c r="L628" s="6">
        <v>9.69</v>
      </c>
      <c r="M628" s="6">
        <v>8.2</v>
      </c>
      <c r="N628" s="6">
        <v>1.65</v>
      </c>
    </row>
    <row r="629" hidden="1" spans="1:14">
      <c r="A629" s="4" t="s">
        <v>2015</v>
      </c>
      <c r="B629" s="5" t="s">
        <v>1889</v>
      </c>
      <c r="C629" s="6" t="s">
        <v>42</v>
      </c>
      <c r="D629" s="6">
        <v>12.195</v>
      </c>
      <c r="E629" s="8">
        <v>286941</v>
      </c>
      <c r="F629" s="8">
        <v>6576</v>
      </c>
      <c r="G629" s="6">
        <v>0</v>
      </c>
      <c r="H629" s="8">
        <v>0</v>
      </c>
      <c r="I629" s="6">
        <v>130.3</v>
      </c>
      <c r="J629" s="6">
        <v>4.9</v>
      </c>
      <c r="K629" s="6">
        <v>6.7</v>
      </c>
      <c r="L629" s="6">
        <v>6.99</v>
      </c>
      <c r="M629" s="6">
        <v>6.6</v>
      </c>
      <c r="N629" s="6">
        <v>5.6</v>
      </c>
    </row>
    <row r="630" hidden="1" spans="1:14">
      <c r="A630" s="4" t="s">
        <v>2016</v>
      </c>
      <c r="B630" s="5" t="s">
        <v>1889</v>
      </c>
      <c r="C630" s="6" t="s">
        <v>35</v>
      </c>
      <c r="D630" s="6">
        <v>11.072</v>
      </c>
      <c r="E630" s="8">
        <v>174593</v>
      </c>
      <c r="F630" s="8">
        <v>156600</v>
      </c>
      <c r="G630" s="6">
        <v>1</v>
      </c>
      <c r="H630" s="8">
        <v>2832</v>
      </c>
      <c r="I630" s="6">
        <v>118.2</v>
      </c>
      <c r="J630" s="6">
        <v>4</v>
      </c>
      <c r="K630" s="6">
        <v>6.62</v>
      </c>
      <c r="L630" s="6">
        <v>-5.78</v>
      </c>
      <c r="M630" s="6">
        <v>10.3</v>
      </c>
      <c r="N630" s="6">
        <v>-1.6</v>
      </c>
    </row>
    <row r="631" hidden="1" spans="1:14">
      <c r="A631" s="4" t="s">
        <v>2017</v>
      </c>
      <c r="B631" s="5" t="s">
        <v>1889</v>
      </c>
      <c r="C631" s="6" t="s">
        <v>48</v>
      </c>
      <c r="D631" s="6">
        <v>10.249</v>
      </c>
      <c r="E631" s="8">
        <v>344881</v>
      </c>
      <c r="F631" s="8">
        <v>5985</v>
      </c>
      <c r="G631" s="6">
        <v>0</v>
      </c>
      <c r="H631" s="8">
        <v>0</v>
      </c>
      <c r="I631" s="6">
        <v>134.7</v>
      </c>
      <c r="J631" s="6">
        <v>6.5</v>
      </c>
      <c r="K631" s="6">
        <v>5.65</v>
      </c>
      <c r="L631" s="6">
        <v>8.15</v>
      </c>
      <c r="M631" s="6">
        <v>6.7</v>
      </c>
      <c r="N631" s="6">
        <v>5</v>
      </c>
    </row>
    <row r="632" hidden="1" spans="1:14">
      <c r="A632" s="4" t="s">
        <v>2018</v>
      </c>
      <c r="B632" s="5" t="s">
        <v>1889</v>
      </c>
      <c r="C632" s="6" t="s">
        <v>41</v>
      </c>
      <c r="D632" s="6">
        <v>10.89</v>
      </c>
      <c r="E632" s="8">
        <v>25436</v>
      </c>
      <c r="F632" s="8">
        <v>648</v>
      </c>
      <c r="G632" s="6">
        <v>0</v>
      </c>
      <c r="H632" s="8">
        <v>0</v>
      </c>
      <c r="I632" s="6">
        <v>130.3</v>
      </c>
      <c r="J632" s="6">
        <v>4</v>
      </c>
      <c r="K632" s="6">
        <v>6.7</v>
      </c>
      <c r="L632" s="6">
        <v>6.99</v>
      </c>
      <c r="M632" s="6">
        <v>6.6</v>
      </c>
      <c r="N632" s="6">
        <v>13.8</v>
      </c>
    </row>
    <row r="633" hidden="1" spans="1:14">
      <c r="A633" s="4" t="s">
        <v>2019</v>
      </c>
      <c r="B633" s="5" t="s">
        <v>1889</v>
      </c>
      <c r="C633" s="6" t="s">
        <v>36</v>
      </c>
      <c r="D633" s="6">
        <v>10.227</v>
      </c>
      <c r="E633" s="8">
        <v>33777</v>
      </c>
      <c r="F633" s="8">
        <v>1228</v>
      </c>
      <c r="G633" s="6">
        <v>0</v>
      </c>
      <c r="H633" s="8">
        <v>0</v>
      </c>
      <c r="I633" s="6">
        <v>118.2</v>
      </c>
      <c r="J633" s="6">
        <v>4</v>
      </c>
      <c r="K633" s="6">
        <v>6.62</v>
      </c>
      <c r="L633" s="6">
        <v>-5.78</v>
      </c>
      <c r="M633" s="6">
        <v>9.3</v>
      </c>
      <c r="N633" s="6">
        <v>6.4</v>
      </c>
    </row>
    <row r="634" hidden="1" spans="1:14">
      <c r="A634" s="4" t="s">
        <v>2020</v>
      </c>
      <c r="B634" s="5" t="s">
        <v>1889</v>
      </c>
      <c r="C634" s="6" t="s">
        <v>48</v>
      </c>
      <c r="D634" s="6">
        <v>11.886</v>
      </c>
      <c r="E634" s="8">
        <v>229262</v>
      </c>
      <c r="F634" s="8">
        <v>108</v>
      </c>
      <c r="G634" s="6">
        <v>0</v>
      </c>
      <c r="H634" s="8">
        <v>0</v>
      </c>
      <c r="I634" s="6">
        <v>134.7</v>
      </c>
      <c r="J634" s="6">
        <v>6.5</v>
      </c>
      <c r="K634" s="6">
        <v>5.65</v>
      </c>
      <c r="L634" s="6">
        <v>8.15</v>
      </c>
      <c r="M634" s="6">
        <v>6.7</v>
      </c>
      <c r="N634" s="6">
        <v>5</v>
      </c>
    </row>
    <row r="635" hidden="1" spans="1:14">
      <c r="A635" s="4" t="s">
        <v>2021</v>
      </c>
      <c r="B635" s="5" t="s">
        <v>1889</v>
      </c>
      <c r="C635" s="6" t="s">
        <v>45</v>
      </c>
      <c r="D635" s="6">
        <v>11.888</v>
      </c>
      <c r="E635" s="8">
        <v>19362</v>
      </c>
      <c r="F635" s="8">
        <v>100</v>
      </c>
      <c r="G635" s="6">
        <v>0</v>
      </c>
      <c r="H635" s="8">
        <v>0</v>
      </c>
      <c r="I635" s="6">
        <v>134.7</v>
      </c>
      <c r="J635" s="6">
        <v>6.5</v>
      </c>
      <c r="K635" s="6">
        <v>5.65</v>
      </c>
      <c r="L635" s="6">
        <v>8.15</v>
      </c>
      <c r="M635" s="6">
        <v>6.6</v>
      </c>
      <c r="N635" s="6">
        <v>4.1</v>
      </c>
    </row>
    <row r="636" hidden="1" spans="1:14">
      <c r="A636" s="4" t="s">
        <v>2022</v>
      </c>
      <c r="B636" s="5" t="s">
        <v>1889</v>
      </c>
      <c r="C636" s="6" t="s">
        <v>47</v>
      </c>
      <c r="D636" s="6">
        <v>11.21</v>
      </c>
      <c r="E636" s="8">
        <v>251570</v>
      </c>
      <c r="F636" s="8">
        <v>1247</v>
      </c>
      <c r="G636" s="6">
        <v>0</v>
      </c>
      <c r="H636" s="8">
        <v>0</v>
      </c>
      <c r="I636" s="6">
        <v>134.7</v>
      </c>
      <c r="J636" s="6">
        <v>6.5</v>
      </c>
      <c r="K636" s="6">
        <v>5.65</v>
      </c>
      <c r="L636" s="6">
        <v>8.15</v>
      </c>
      <c r="M636" s="6">
        <v>6.5</v>
      </c>
      <c r="N636" s="6">
        <v>3.6</v>
      </c>
    </row>
    <row r="637" hidden="1" spans="1:14">
      <c r="A637" s="4" t="s">
        <v>2023</v>
      </c>
      <c r="B637" s="5" t="s">
        <v>1889</v>
      </c>
      <c r="C637" s="6" t="s">
        <v>36</v>
      </c>
      <c r="D637" s="6">
        <v>13.735</v>
      </c>
      <c r="E637" s="8">
        <v>193005</v>
      </c>
      <c r="F637" s="8">
        <v>72613</v>
      </c>
      <c r="G637" s="6">
        <v>1</v>
      </c>
      <c r="H637" s="8">
        <v>12062</v>
      </c>
      <c r="I637" s="6">
        <v>118.2</v>
      </c>
      <c r="J637" s="6">
        <v>4</v>
      </c>
      <c r="K637" s="6">
        <v>6.62</v>
      </c>
      <c r="L637" s="6">
        <v>-5.78</v>
      </c>
      <c r="M637" s="6">
        <v>9.3</v>
      </c>
      <c r="N637" s="6">
        <v>6.4</v>
      </c>
    </row>
    <row r="638" hidden="1" spans="1:14">
      <c r="A638" s="4" t="s">
        <v>2024</v>
      </c>
      <c r="B638" s="5" t="s">
        <v>1889</v>
      </c>
      <c r="C638" s="6" t="s">
        <v>35</v>
      </c>
      <c r="D638" s="6">
        <v>9.433</v>
      </c>
      <c r="E638" s="8">
        <v>176593</v>
      </c>
      <c r="F638" s="8">
        <v>8021</v>
      </c>
      <c r="G638" s="6">
        <v>0</v>
      </c>
      <c r="H638" s="8">
        <v>0</v>
      </c>
      <c r="I638" s="6">
        <v>118.2</v>
      </c>
      <c r="J638" s="6">
        <v>4</v>
      </c>
      <c r="K638" s="6">
        <v>6.62</v>
      </c>
      <c r="L638" s="6">
        <v>-5.78</v>
      </c>
      <c r="M638" s="6">
        <v>10.3</v>
      </c>
      <c r="N638" s="6">
        <v>-1.6</v>
      </c>
    </row>
    <row r="639" hidden="1" spans="1:14">
      <c r="A639" s="4" t="s">
        <v>2025</v>
      </c>
      <c r="B639" s="5" t="s">
        <v>1889</v>
      </c>
      <c r="C639" s="6" t="s">
        <v>72</v>
      </c>
      <c r="D639" s="6">
        <v>11.974</v>
      </c>
      <c r="E639" s="8">
        <v>293764</v>
      </c>
      <c r="F639" s="8">
        <v>3172</v>
      </c>
      <c r="G639" s="6">
        <v>0</v>
      </c>
      <c r="H639" s="8">
        <v>0</v>
      </c>
      <c r="I639" s="6">
        <v>120</v>
      </c>
      <c r="J639" s="6">
        <v>6.5</v>
      </c>
      <c r="K639" s="6">
        <v>4.87</v>
      </c>
      <c r="L639" s="6">
        <v>6.5</v>
      </c>
      <c r="M639" s="6">
        <v>6.5</v>
      </c>
      <c r="N639" s="6">
        <v>4</v>
      </c>
    </row>
    <row r="640" hidden="1" spans="1:14">
      <c r="A640" s="4" t="s">
        <v>2026</v>
      </c>
      <c r="B640" s="5" t="s">
        <v>1889</v>
      </c>
      <c r="C640" s="6" t="s">
        <v>35</v>
      </c>
      <c r="D640" s="6">
        <v>14.553</v>
      </c>
      <c r="E640" s="8">
        <v>305202</v>
      </c>
      <c r="F640" s="8">
        <v>12131</v>
      </c>
      <c r="G640" s="6">
        <v>0</v>
      </c>
      <c r="H640" s="8">
        <v>0</v>
      </c>
      <c r="I640" s="6">
        <v>118.2</v>
      </c>
      <c r="J640" s="6">
        <v>4</v>
      </c>
      <c r="K640" s="6">
        <v>6.62</v>
      </c>
      <c r="L640" s="6">
        <v>-5.78</v>
      </c>
      <c r="M640" s="6">
        <v>10.3</v>
      </c>
      <c r="N640" s="6">
        <v>-1.6</v>
      </c>
    </row>
    <row r="641" hidden="1" spans="1:14">
      <c r="A641" s="4" t="s">
        <v>2027</v>
      </c>
      <c r="B641" s="5" t="s">
        <v>1889</v>
      </c>
      <c r="C641" s="6" t="s">
        <v>32</v>
      </c>
      <c r="D641" s="6">
        <v>10.965</v>
      </c>
      <c r="E641" s="8">
        <v>128001</v>
      </c>
      <c r="F641" s="8">
        <v>84549</v>
      </c>
      <c r="G641" s="6">
        <v>1</v>
      </c>
      <c r="H641" s="8">
        <v>15830</v>
      </c>
      <c r="I641" s="6">
        <v>121.5</v>
      </c>
      <c r="J641" s="6">
        <v>5.15</v>
      </c>
      <c r="K641" s="6">
        <v>3.73</v>
      </c>
      <c r="L641" s="6">
        <v>3.87</v>
      </c>
      <c r="M641" s="6">
        <v>9.1</v>
      </c>
      <c r="N641" s="6">
        <v>-16.7</v>
      </c>
    </row>
    <row r="642" hidden="1" spans="1:14">
      <c r="A642" s="4" t="s">
        <v>2028</v>
      </c>
      <c r="B642" s="5" t="s">
        <v>1889</v>
      </c>
      <c r="C642" s="6" t="s">
        <v>38</v>
      </c>
      <c r="D642" s="6">
        <v>12.322</v>
      </c>
      <c r="E642" s="8">
        <v>315002</v>
      </c>
      <c r="F642" s="8">
        <v>148</v>
      </c>
      <c r="G642" s="6">
        <v>0</v>
      </c>
      <c r="H642" s="8">
        <v>0</v>
      </c>
      <c r="I642" s="6">
        <v>124.8</v>
      </c>
      <c r="J642" s="6">
        <v>4</v>
      </c>
      <c r="K642" s="6">
        <v>5.13</v>
      </c>
      <c r="L642" s="6">
        <v>9.69</v>
      </c>
      <c r="M642" s="6">
        <v>9.8</v>
      </c>
      <c r="N642" s="6">
        <v>8.7</v>
      </c>
    </row>
    <row r="643" hidden="1" spans="1:14">
      <c r="A643" s="4" t="s">
        <v>2029</v>
      </c>
      <c r="B643" s="5" t="s">
        <v>1889</v>
      </c>
      <c r="C643" s="6" t="s">
        <v>72</v>
      </c>
      <c r="D643" s="6">
        <v>12.965</v>
      </c>
      <c r="E643" s="8">
        <v>164324</v>
      </c>
      <c r="F643" s="8">
        <v>7657</v>
      </c>
      <c r="G643" s="6">
        <v>0</v>
      </c>
      <c r="H643" s="8">
        <v>0</v>
      </c>
      <c r="I643" s="6">
        <v>120</v>
      </c>
      <c r="J643" s="6">
        <v>6.5</v>
      </c>
      <c r="K643" s="6">
        <v>4.87</v>
      </c>
      <c r="L643" s="6">
        <v>6.5</v>
      </c>
      <c r="M643" s="6">
        <v>6.5</v>
      </c>
      <c r="N643" s="6">
        <v>4</v>
      </c>
    </row>
    <row r="644" hidden="1" spans="1:14">
      <c r="A644" s="4" t="s">
        <v>2030</v>
      </c>
      <c r="B644" s="5" t="s">
        <v>1889</v>
      </c>
      <c r="C644" s="6" t="s">
        <v>45</v>
      </c>
      <c r="D644" s="6">
        <v>12.495</v>
      </c>
      <c r="E644" s="8">
        <v>134223</v>
      </c>
      <c r="F644" s="8">
        <v>3087</v>
      </c>
      <c r="G644" s="6">
        <v>0</v>
      </c>
      <c r="H644" s="8">
        <v>0</v>
      </c>
      <c r="I644" s="6">
        <v>134.7</v>
      </c>
      <c r="J644" s="6">
        <v>6.5</v>
      </c>
      <c r="K644" s="6">
        <v>5.65</v>
      </c>
      <c r="L644" s="6">
        <v>8.15</v>
      </c>
      <c r="M644" s="6">
        <v>6.6</v>
      </c>
      <c r="N644" s="6">
        <v>4.1</v>
      </c>
    </row>
    <row r="645" hidden="1" spans="1:14">
      <c r="A645" s="4" t="s">
        <v>2031</v>
      </c>
      <c r="B645" s="5" t="s">
        <v>1889</v>
      </c>
      <c r="C645" s="6" t="s">
        <v>41</v>
      </c>
      <c r="D645" s="6">
        <v>9.654</v>
      </c>
      <c r="E645" s="8">
        <v>109287</v>
      </c>
      <c r="F645" s="8">
        <v>29</v>
      </c>
      <c r="G645" s="6">
        <v>0</v>
      </c>
      <c r="H645" s="8">
        <v>0</v>
      </c>
      <c r="I645" s="6">
        <v>130.3</v>
      </c>
      <c r="J645" s="6">
        <v>4</v>
      </c>
      <c r="K645" s="6">
        <v>6.7</v>
      </c>
      <c r="L645" s="6">
        <v>6.99</v>
      </c>
      <c r="M645" s="6">
        <v>6.6</v>
      </c>
      <c r="N645" s="6">
        <v>13.8</v>
      </c>
    </row>
    <row r="646" hidden="1" spans="1:14">
      <c r="A646" s="4" t="s">
        <v>2032</v>
      </c>
      <c r="B646" s="5" t="s">
        <v>1889</v>
      </c>
      <c r="C646" s="6" t="s">
        <v>47</v>
      </c>
      <c r="D646" s="6">
        <v>10.122</v>
      </c>
      <c r="E646" s="8">
        <v>157383</v>
      </c>
      <c r="F646" s="8">
        <v>6839</v>
      </c>
      <c r="G646" s="6">
        <v>0</v>
      </c>
      <c r="H646" s="8">
        <v>0</v>
      </c>
      <c r="I646" s="6">
        <v>134.7</v>
      </c>
      <c r="J646" s="6">
        <v>6.5</v>
      </c>
      <c r="K646" s="6">
        <v>5.65</v>
      </c>
      <c r="L646" s="6">
        <v>8.15</v>
      </c>
      <c r="M646" s="6">
        <v>6.5</v>
      </c>
      <c r="N646" s="6">
        <v>3.6</v>
      </c>
    </row>
    <row r="647" hidden="1" spans="1:14">
      <c r="A647" s="4" t="s">
        <v>2033</v>
      </c>
      <c r="B647" s="5" t="s">
        <v>1889</v>
      </c>
      <c r="C647" s="6" t="s">
        <v>36</v>
      </c>
      <c r="D647" s="6">
        <v>9.692</v>
      </c>
      <c r="E647" s="8">
        <v>378546</v>
      </c>
      <c r="F647" s="8">
        <v>5357</v>
      </c>
      <c r="G647" s="6">
        <v>0</v>
      </c>
      <c r="H647" s="8">
        <v>0</v>
      </c>
      <c r="I647" s="6">
        <v>118.2</v>
      </c>
      <c r="J647" s="6">
        <v>4</v>
      </c>
      <c r="K647" s="6">
        <v>6.62</v>
      </c>
      <c r="L647" s="6">
        <v>-5.78</v>
      </c>
      <c r="M647" s="6">
        <v>9.3</v>
      </c>
      <c r="N647" s="6">
        <v>6.4</v>
      </c>
    </row>
    <row r="648" hidden="1" spans="1:14">
      <c r="A648" s="4" t="s">
        <v>2034</v>
      </c>
      <c r="B648" s="5" t="s">
        <v>1889</v>
      </c>
      <c r="C648" s="6" t="s">
        <v>30</v>
      </c>
      <c r="D648" s="6">
        <v>10.463</v>
      </c>
      <c r="E648" s="8">
        <v>54006</v>
      </c>
      <c r="F648" s="8">
        <v>48671</v>
      </c>
      <c r="G648" s="6">
        <v>1</v>
      </c>
      <c r="H648" s="8">
        <v>3603</v>
      </c>
      <c r="I648" s="6">
        <v>121.5</v>
      </c>
      <c r="J648" s="6">
        <v>5.75</v>
      </c>
      <c r="K648" s="6">
        <v>3.73</v>
      </c>
      <c r="L648" s="6">
        <v>3.87</v>
      </c>
      <c r="M648" s="6">
        <v>8.4</v>
      </c>
      <c r="N648" s="6">
        <v>0.6</v>
      </c>
    </row>
    <row r="649" hidden="1" spans="1:14">
      <c r="A649" s="4" t="s">
        <v>2035</v>
      </c>
      <c r="B649" s="5" t="s">
        <v>1889</v>
      </c>
      <c r="C649" s="6" t="s">
        <v>33</v>
      </c>
      <c r="D649" s="6">
        <v>9.45</v>
      </c>
      <c r="E649" s="8">
        <v>179459</v>
      </c>
      <c r="F649" s="8">
        <v>166560</v>
      </c>
      <c r="G649" s="6">
        <v>1</v>
      </c>
      <c r="H649" s="8">
        <v>40671</v>
      </c>
      <c r="I649" s="6">
        <v>118.2</v>
      </c>
      <c r="J649" s="6">
        <v>4.4</v>
      </c>
      <c r="K649" s="6">
        <v>6.62</v>
      </c>
      <c r="L649" s="6">
        <v>-5.78</v>
      </c>
      <c r="M649" s="6">
        <v>20.8</v>
      </c>
      <c r="N649" s="6">
        <v>-37</v>
      </c>
    </row>
    <row r="650" hidden="1" spans="1:14">
      <c r="A650" s="4" t="s">
        <v>2036</v>
      </c>
      <c r="B650" s="5" t="s">
        <v>1889</v>
      </c>
      <c r="C650" s="6" t="s">
        <v>29</v>
      </c>
      <c r="D650" s="6">
        <v>10.296</v>
      </c>
      <c r="E650" s="8">
        <v>114495</v>
      </c>
      <c r="F650" s="8">
        <v>4264</v>
      </c>
      <c r="G650" s="6">
        <v>0</v>
      </c>
      <c r="H650" s="8">
        <v>0</v>
      </c>
      <c r="I650" s="6">
        <v>121.5</v>
      </c>
      <c r="J650" s="6">
        <v>6</v>
      </c>
      <c r="K650" s="6">
        <v>3.73</v>
      </c>
      <c r="L650" s="6">
        <v>3.87</v>
      </c>
      <c r="M650" s="6">
        <v>7</v>
      </c>
      <c r="N650" s="6">
        <v>3.6</v>
      </c>
    </row>
    <row r="651" hidden="1" spans="1:14">
      <c r="A651" s="4" t="s">
        <v>2037</v>
      </c>
      <c r="B651" s="5" t="s">
        <v>1889</v>
      </c>
      <c r="C651" s="6" t="s">
        <v>31</v>
      </c>
      <c r="D651" s="6">
        <v>9.908</v>
      </c>
      <c r="E651" s="8">
        <v>326412</v>
      </c>
      <c r="F651" s="8">
        <v>9646</v>
      </c>
      <c r="G651" s="6">
        <v>0</v>
      </c>
      <c r="H651" s="8">
        <v>0</v>
      </c>
      <c r="I651" s="6">
        <v>121.5</v>
      </c>
      <c r="J651" s="6">
        <v>5.4</v>
      </c>
      <c r="K651" s="6">
        <v>3.73</v>
      </c>
      <c r="L651" s="6">
        <v>3.87</v>
      </c>
      <c r="M651" s="6">
        <v>7.8</v>
      </c>
      <c r="N651" s="6">
        <v>0.7</v>
      </c>
    </row>
    <row r="652" hidden="1" spans="1:14">
      <c r="A652" s="4" t="s">
        <v>2038</v>
      </c>
      <c r="B652" s="5" t="s">
        <v>1889</v>
      </c>
      <c r="C652" s="6" t="s">
        <v>72</v>
      </c>
      <c r="D652" s="6">
        <v>9.867</v>
      </c>
      <c r="E652" s="8">
        <v>45087</v>
      </c>
      <c r="F652" s="8">
        <v>21574</v>
      </c>
      <c r="G652" s="6">
        <v>1</v>
      </c>
      <c r="H652" s="8">
        <v>5322</v>
      </c>
      <c r="I652" s="6">
        <v>120</v>
      </c>
      <c r="J652" s="6">
        <v>6.5</v>
      </c>
      <c r="K652" s="6">
        <v>4.87</v>
      </c>
      <c r="L652" s="6">
        <v>6.5</v>
      </c>
      <c r="M652" s="6">
        <v>6.5</v>
      </c>
      <c r="N652" s="6">
        <v>4</v>
      </c>
    </row>
    <row r="653" hidden="1" spans="1:14">
      <c r="A653" s="4" t="s">
        <v>2039</v>
      </c>
      <c r="B653" s="5" t="s">
        <v>1889</v>
      </c>
      <c r="C653" s="6" t="s">
        <v>47</v>
      </c>
      <c r="D653" s="6">
        <v>10.817</v>
      </c>
      <c r="E653" s="8">
        <v>203725</v>
      </c>
      <c r="F653" s="8">
        <v>6013</v>
      </c>
      <c r="G653" s="6">
        <v>0</v>
      </c>
      <c r="H653" s="8">
        <v>0</v>
      </c>
      <c r="I653" s="6">
        <v>134.7</v>
      </c>
      <c r="J653" s="6">
        <v>6.5</v>
      </c>
      <c r="K653" s="6">
        <v>5.65</v>
      </c>
      <c r="L653" s="6">
        <v>8.15</v>
      </c>
      <c r="M653" s="6">
        <v>6.5</v>
      </c>
      <c r="N653" s="6">
        <v>3.6</v>
      </c>
    </row>
    <row r="654" hidden="1" spans="1:14">
      <c r="A654" s="4" t="s">
        <v>2040</v>
      </c>
      <c r="B654" s="5" t="s">
        <v>1889</v>
      </c>
      <c r="C654" s="6" t="s">
        <v>34</v>
      </c>
      <c r="D654" s="6">
        <v>10.905</v>
      </c>
      <c r="E654" s="8">
        <v>191674</v>
      </c>
      <c r="F654" s="8">
        <v>100433</v>
      </c>
      <c r="G654" s="6">
        <v>1</v>
      </c>
      <c r="H654" s="8">
        <v>20916</v>
      </c>
      <c r="I654" s="6">
        <v>118.2</v>
      </c>
      <c r="J654" s="6">
        <v>4</v>
      </c>
      <c r="K654" s="6">
        <v>6.62</v>
      </c>
      <c r="L654" s="6">
        <v>-5.78</v>
      </c>
      <c r="M654" s="6">
        <v>13.2</v>
      </c>
      <c r="N654" s="6">
        <v>-8.6</v>
      </c>
    </row>
    <row r="655" hidden="1" spans="1:14">
      <c r="A655" s="4" t="s">
        <v>2041</v>
      </c>
      <c r="B655" s="5" t="s">
        <v>1889</v>
      </c>
      <c r="C655" s="6" t="s">
        <v>48</v>
      </c>
      <c r="D655" s="6">
        <v>10.511</v>
      </c>
      <c r="E655" s="8">
        <v>52363</v>
      </c>
      <c r="F655" s="8">
        <v>1492</v>
      </c>
      <c r="G655" s="6">
        <v>0</v>
      </c>
      <c r="H655" s="8">
        <v>0</v>
      </c>
      <c r="I655" s="6">
        <v>134.7</v>
      </c>
      <c r="J655" s="6">
        <v>6.5</v>
      </c>
      <c r="K655" s="6">
        <v>5.65</v>
      </c>
      <c r="L655" s="6">
        <v>8.15</v>
      </c>
      <c r="M655" s="6">
        <v>6.7</v>
      </c>
      <c r="N655" s="6">
        <v>5</v>
      </c>
    </row>
    <row r="656" hidden="1" spans="1:14">
      <c r="A656" s="4" t="s">
        <v>2042</v>
      </c>
      <c r="B656" s="5" t="s">
        <v>1889</v>
      </c>
      <c r="C656" s="6" t="s">
        <v>48</v>
      </c>
      <c r="D656" s="6">
        <v>12.045</v>
      </c>
      <c r="E656" s="8">
        <v>227180</v>
      </c>
      <c r="F656" s="8">
        <v>1067</v>
      </c>
      <c r="G656" s="6">
        <v>0</v>
      </c>
      <c r="H656" s="8">
        <v>0</v>
      </c>
      <c r="I656" s="6">
        <v>134.7</v>
      </c>
      <c r="J656" s="6">
        <v>6.5</v>
      </c>
      <c r="K656" s="6">
        <v>5.65</v>
      </c>
      <c r="L656" s="6">
        <v>8.15</v>
      </c>
      <c r="M656" s="6">
        <v>6.7</v>
      </c>
      <c r="N656" s="6">
        <v>5</v>
      </c>
    </row>
    <row r="657" hidden="1" spans="1:14">
      <c r="A657" s="4" t="s">
        <v>2043</v>
      </c>
      <c r="B657" s="5" t="s">
        <v>1889</v>
      </c>
      <c r="C657" s="6" t="s">
        <v>29</v>
      </c>
      <c r="D657" s="6">
        <v>10.259</v>
      </c>
      <c r="E657" s="8">
        <v>225637</v>
      </c>
      <c r="F657" s="8">
        <v>7851</v>
      </c>
      <c r="G657" s="6">
        <v>0</v>
      </c>
      <c r="H657" s="8">
        <v>0</v>
      </c>
      <c r="I657" s="6">
        <v>121.5</v>
      </c>
      <c r="J657" s="6">
        <v>6</v>
      </c>
      <c r="K657" s="6">
        <v>3.73</v>
      </c>
      <c r="L657" s="6">
        <v>3.87</v>
      </c>
      <c r="M657" s="6">
        <v>7</v>
      </c>
      <c r="N657" s="6">
        <v>3.6</v>
      </c>
    </row>
    <row r="658" hidden="1" spans="1:14">
      <c r="A658" s="4" t="s">
        <v>2044</v>
      </c>
      <c r="B658" s="5" t="s">
        <v>1889</v>
      </c>
      <c r="C658" s="6" t="s">
        <v>37</v>
      </c>
      <c r="D658" s="6">
        <v>12.7</v>
      </c>
      <c r="E658" s="8">
        <v>302615</v>
      </c>
      <c r="F658" s="8">
        <v>2417</v>
      </c>
      <c r="G658" s="6">
        <v>0</v>
      </c>
      <c r="H658" s="8">
        <v>0</v>
      </c>
      <c r="I658" s="6">
        <v>124.8</v>
      </c>
      <c r="J658" s="6">
        <v>4</v>
      </c>
      <c r="K658" s="6">
        <v>5.13</v>
      </c>
      <c r="L658" s="6">
        <v>9.69</v>
      </c>
      <c r="M658" s="6">
        <v>12.6</v>
      </c>
      <c r="N658" s="6">
        <v>45</v>
      </c>
    </row>
    <row r="659" hidden="1" spans="1:14">
      <c r="A659" s="4" t="s">
        <v>2045</v>
      </c>
      <c r="B659" s="5" t="s">
        <v>1889</v>
      </c>
      <c r="C659" s="6" t="s">
        <v>42</v>
      </c>
      <c r="D659" s="6">
        <v>13.414</v>
      </c>
      <c r="E659" s="8">
        <v>244124</v>
      </c>
      <c r="F659" s="8">
        <v>10430</v>
      </c>
      <c r="G659" s="6">
        <v>0</v>
      </c>
      <c r="H659" s="8">
        <v>0</v>
      </c>
      <c r="I659" s="6">
        <v>130.3</v>
      </c>
      <c r="J659" s="6">
        <v>4.9</v>
      </c>
      <c r="K659" s="6">
        <v>6.7</v>
      </c>
      <c r="L659" s="6">
        <v>6.99</v>
      </c>
      <c r="M659" s="6">
        <v>6.6</v>
      </c>
      <c r="N659" s="6">
        <v>5.6</v>
      </c>
    </row>
    <row r="660" hidden="1" spans="1:14">
      <c r="A660" s="4" t="s">
        <v>2046</v>
      </c>
      <c r="B660" s="5" t="s">
        <v>1889</v>
      </c>
      <c r="C660" s="6" t="s">
        <v>45</v>
      </c>
      <c r="D660" s="6">
        <v>11.891</v>
      </c>
      <c r="E660" s="8">
        <v>245362</v>
      </c>
      <c r="F660" s="8">
        <v>3971</v>
      </c>
      <c r="G660" s="6">
        <v>0</v>
      </c>
      <c r="H660" s="8">
        <v>0</v>
      </c>
      <c r="I660" s="6">
        <v>134.7</v>
      </c>
      <c r="J660" s="6">
        <v>6.5</v>
      </c>
      <c r="K660" s="6">
        <v>5.65</v>
      </c>
      <c r="L660" s="6">
        <v>8.15</v>
      </c>
      <c r="M660" s="6">
        <v>6.6</v>
      </c>
      <c r="N660" s="6">
        <v>4.1</v>
      </c>
    </row>
    <row r="661" hidden="1" spans="1:14">
      <c r="A661" s="4" t="s">
        <v>2047</v>
      </c>
      <c r="B661" s="5" t="s">
        <v>1889</v>
      </c>
      <c r="C661" s="6" t="s">
        <v>34</v>
      </c>
      <c r="D661" s="6">
        <v>11.151</v>
      </c>
      <c r="E661" s="8">
        <v>77027</v>
      </c>
      <c r="F661" s="8">
        <v>1440</v>
      </c>
      <c r="G661" s="6">
        <v>0</v>
      </c>
      <c r="H661" s="8">
        <v>0</v>
      </c>
      <c r="I661" s="6">
        <v>118.2</v>
      </c>
      <c r="J661" s="6">
        <v>4</v>
      </c>
      <c r="K661" s="6">
        <v>6.62</v>
      </c>
      <c r="L661" s="6">
        <v>-5.78</v>
      </c>
      <c r="M661" s="6">
        <v>13.2</v>
      </c>
      <c r="N661" s="6">
        <v>-8.6</v>
      </c>
    </row>
    <row r="662" hidden="1" spans="1:14">
      <c r="A662" s="4" t="s">
        <v>2048</v>
      </c>
      <c r="B662" s="5" t="s">
        <v>1889</v>
      </c>
      <c r="C662" s="6" t="s">
        <v>35</v>
      </c>
      <c r="D662" s="6">
        <v>10.469</v>
      </c>
      <c r="E662" s="8">
        <v>95612</v>
      </c>
      <c r="F662" s="8">
        <v>4756</v>
      </c>
      <c r="G662" s="6">
        <v>0</v>
      </c>
      <c r="H662" s="8">
        <v>0</v>
      </c>
      <c r="I662" s="6">
        <v>118.2</v>
      </c>
      <c r="J662" s="6">
        <v>4</v>
      </c>
      <c r="K662" s="6">
        <v>6.62</v>
      </c>
      <c r="L662" s="6">
        <v>-5.78</v>
      </c>
      <c r="M662" s="6">
        <v>10.3</v>
      </c>
      <c r="N662" s="6">
        <v>-1.6</v>
      </c>
    </row>
    <row r="663" hidden="1" spans="1:14">
      <c r="A663" s="4" t="s">
        <v>2049</v>
      </c>
      <c r="B663" s="5" t="s">
        <v>1889</v>
      </c>
      <c r="C663" s="6" t="s">
        <v>32</v>
      </c>
      <c r="D663" s="6">
        <v>10.716</v>
      </c>
      <c r="E663" s="8">
        <v>197501</v>
      </c>
      <c r="F663" s="8">
        <v>9124</v>
      </c>
      <c r="G663" s="6">
        <v>0</v>
      </c>
      <c r="H663" s="8">
        <v>0</v>
      </c>
      <c r="I663" s="6">
        <v>121.5</v>
      </c>
      <c r="J663" s="6">
        <v>5.15</v>
      </c>
      <c r="K663" s="6">
        <v>3.73</v>
      </c>
      <c r="L663" s="6">
        <v>3.87</v>
      </c>
      <c r="M663" s="6">
        <v>9.1</v>
      </c>
      <c r="N663" s="6">
        <v>-16.7</v>
      </c>
    </row>
    <row r="664" hidden="1" spans="1:14">
      <c r="A664" s="4" t="s">
        <v>2050</v>
      </c>
      <c r="B664" s="5" t="s">
        <v>1889</v>
      </c>
      <c r="C664" s="6" t="s">
        <v>32</v>
      </c>
      <c r="D664" s="6">
        <v>9.833</v>
      </c>
      <c r="E664" s="8">
        <v>68677</v>
      </c>
      <c r="F664" s="8">
        <v>3411</v>
      </c>
      <c r="G664" s="6">
        <v>0</v>
      </c>
      <c r="H664" s="8">
        <v>0</v>
      </c>
      <c r="I664" s="6">
        <v>121.5</v>
      </c>
      <c r="J664" s="6">
        <v>5.15</v>
      </c>
      <c r="K664" s="6">
        <v>3.73</v>
      </c>
      <c r="L664" s="6">
        <v>3.87</v>
      </c>
      <c r="M664" s="6">
        <v>9.1</v>
      </c>
      <c r="N664" s="6">
        <v>-16.7</v>
      </c>
    </row>
    <row r="665" hidden="1" spans="1:14">
      <c r="A665" s="4" t="s">
        <v>2051</v>
      </c>
      <c r="B665" s="5" t="s">
        <v>1889</v>
      </c>
      <c r="C665" s="6" t="s">
        <v>45</v>
      </c>
      <c r="D665" s="6">
        <v>12.751</v>
      </c>
      <c r="E665" s="8">
        <v>198915</v>
      </c>
      <c r="F665" s="8">
        <v>9782</v>
      </c>
      <c r="G665" s="6">
        <v>0</v>
      </c>
      <c r="H665" s="8">
        <v>0</v>
      </c>
      <c r="I665" s="6">
        <v>134.7</v>
      </c>
      <c r="J665" s="6">
        <v>6.5</v>
      </c>
      <c r="K665" s="6">
        <v>5.65</v>
      </c>
      <c r="L665" s="6">
        <v>8.15</v>
      </c>
      <c r="M665" s="6">
        <v>6.6</v>
      </c>
      <c r="N665" s="6">
        <v>4.1</v>
      </c>
    </row>
    <row r="666" hidden="1" spans="1:14">
      <c r="A666" s="4" t="s">
        <v>2052</v>
      </c>
      <c r="B666" s="5" t="s">
        <v>1889</v>
      </c>
      <c r="C666" s="6" t="s">
        <v>32</v>
      </c>
      <c r="D666" s="6">
        <v>9.609</v>
      </c>
      <c r="E666" s="8">
        <v>311067</v>
      </c>
      <c r="F666" s="8">
        <v>5840</v>
      </c>
      <c r="G666" s="6">
        <v>0</v>
      </c>
      <c r="H666" s="8">
        <v>0</v>
      </c>
      <c r="I666" s="6">
        <v>121.5</v>
      </c>
      <c r="J666" s="6">
        <v>5.15</v>
      </c>
      <c r="K666" s="6">
        <v>3.73</v>
      </c>
      <c r="L666" s="6">
        <v>3.87</v>
      </c>
      <c r="M666" s="6">
        <v>9.1</v>
      </c>
      <c r="N666" s="6">
        <v>-16.7</v>
      </c>
    </row>
    <row r="667" hidden="1" spans="1:14">
      <c r="A667" s="4" t="s">
        <v>2053</v>
      </c>
      <c r="B667" s="5" t="s">
        <v>1889</v>
      </c>
      <c r="C667" s="6" t="s">
        <v>37</v>
      </c>
      <c r="D667" s="6">
        <v>12.645</v>
      </c>
      <c r="E667" s="8">
        <v>40137</v>
      </c>
      <c r="F667" s="8">
        <v>1140</v>
      </c>
      <c r="G667" s="6">
        <v>0</v>
      </c>
      <c r="H667" s="8">
        <v>0</v>
      </c>
      <c r="I667" s="6">
        <v>124.8</v>
      </c>
      <c r="J667" s="6">
        <v>4</v>
      </c>
      <c r="K667" s="6">
        <v>5.13</v>
      </c>
      <c r="L667" s="6">
        <v>9.69</v>
      </c>
      <c r="M667" s="6">
        <v>12.6</v>
      </c>
      <c r="N667" s="6">
        <v>45</v>
      </c>
    </row>
    <row r="668" hidden="1" spans="1:14">
      <c r="A668" s="4" t="s">
        <v>2054</v>
      </c>
      <c r="B668" s="5" t="s">
        <v>1889</v>
      </c>
      <c r="C668" s="6" t="s">
        <v>46</v>
      </c>
      <c r="D668" s="6">
        <v>14.268</v>
      </c>
      <c r="E668" s="8">
        <v>107660</v>
      </c>
      <c r="F668" s="8">
        <v>214</v>
      </c>
      <c r="G668" s="6">
        <v>0</v>
      </c>
      <c r="H668" s="8">
        <v>0</v>
      </c>
      <c r="I668" s="6">
        <v>134.7</v>
      </c>
      <c r="J668" s="6">
        <v>6.5</v>
      </c>
      <c r="K668" s="6">
        <v>5.65</v>
      </c>
      <c r="L668" s="6">
        <v>8.15</v>
      </c>
      <c r="M668" s="6">
        <v>6.6</v>
      </c>
      <c r="N668" s="6">
        <v>9.7</v>
      </c>
    </row>
    <row r="669" hidden="1" spans="1:14">
      <c r="A669" s="4" t="s">
        <v>2055</v>
      </c>
      <c r="B669" s="5" t="s">
        <v>1889</v>
      </c>
      <c r="C669" s="6" t="s">
        <v>45</v>
      </c>
      <c r="D669" s="6">
        <v>10.342</v>
      </c>
      <c r="E669" s="8">
        <v>229380</v>
      </c>
      <c r="F669" s="8">
        <v>4805</v>
      </c>
      <c r="G669" s="6">
        <v>0</v>
      </c>
      <c r="H669" s="8">
        <v>0</v>
      </c>
      <c r="I669" s="6">
        <v>134.7</v>
      </c>
      <c r="J669" s="6">
        <v>6.5</v>
      </c>
      <c r="K669" s="6">
        <v>5.65</v>
      </c>
      <c r="L669" s="6">
        <v>8.15</v>
      </c>
      <c r="M669" s="6">
        <v>6.6</v>
      </c>
      <c r="N669" s="6">
        <v>4.1</v>
      </c>
    </row>
    <row r="670" hidden="1" spans="1:14">
      <c r="A670" s="4" t="s">
        <v>2056</v>
      </c>
      <c r="B670" s="5" t="s">
        <v>10</v>
      </c>
      <c r="C670" s="6" t="s">
        <v>33</v>
      </c>
      <c r="D670" s="6">
        <v>10.891</v>
      </c>
      <c r="E670" s="8">
        <v>5320286</v>
      </c>
      <c r="F670" s="8">
        <v>249131</v>
      </c>
      <c r="G670" s="6">
        <v>0</v>
      </c>
      <c r="H670" s="8">
        <v>0</v>
      </c>
      <c r="I670" s="6">
        <v>118.2</v>
      </c>
      <c r="J670" s="6">
        <v>4.4</v>
      </c>
      <c r="K670" s="6">
        <v>6.62</v>
      </c>
      <c r="L670" s="6">
        <v>-5.78</v>
      </c>
      <c r="M670" s="6">
        <v>20.8</v>
      </c>
      <c r="N670" s="6">
        <v>-37</v>
      </c>
    </row>
    <row r="671" hidden="1" spans="1:14">
      <c r="A671" s="4" t="s">
        <v>2057</v>
      </c>
      <c r="B671" s="5" t="s">
        <v>10</v>
      </c>
      <c r="C671" s="6" t="s">
        <v>46</v>
      </c>
      <c r="D671" s="6">
        <v>10.807</v>
      </c>
      <c r="E671" s="8">
        <v>775914</v>
      </c>
      <c r="F671" s="8">
        <v>31942</v>
      </c>
      <c r="G671" s="6">
        <v>0</v>
      </c>
      <c r="H671" s="8">
        <v>0</v>
      </c>
      <c r="I671" s="6">
        <v>134.7</v>
      </c>
      <c r="J671" s="6">
        <v>6.5</v>
      </c>
      <c r="K671" s="6">
        <v>5.65</v>
      </c>
      <c r="L671" s="6">
        <v>8.15</v>
      </c>
      <c r="M671" s="6">
        <v>6.6</v>
      </c>
      <c r="N671" s="6">
        <v>9.7</v>
      </c>
    </row>
    <row r="672" hidden="1" spans="1:14">
      <c r="A672" s="4" t="s">
        <v>2058</v>
      </c>
      <c r="B672" s="5" t="s">
        <v>10</v>
      </c>
      <c r="C672" s="6" t="s">
        <v>42</v>
      </c>
      <c r="D672" s="6">
        <v>10.939</v>
      </c>
      <c r="E672" s="8">
        <v>1467027</v>
      </c>
      <c r="F672" s="8">
        <v>66299</v>
      </c>
      <c r="G672" s="6">
        <v>0</v>
      </c>
      <c r="H672" s="8">
        <v>0</v>
      </c>
      <c r="I672" s="6">
        <v>130.3</v>
      </c>
      <c r="J672" s="6">
        <v>4.9</v>
      </c>
      <c r="K672" s="6">
        <v>6.7</v>
      </c>
      <c r="L672" s="6">
        <v>6.99</v>
      </c>
      <c r="M672" s="6">
        <v>6.6</v>
      </c>
      <c r="N672" s="6">
        <v>5.6</v>
      </c>
    </row>
    <row r="673" hidden="1" spans="1:14">
      <c r="A673" s="4" t="s">
        <v>2059</v>
      </c>
      <c r="B673" s="5" t="s">
        <v>10</v>
      </c>
      <c r="C673" s="6" t="s">
        <v>35</v>
      </c>
      <c r="D673" s="6">
        <v>10.397</v>
      </c>
      <c r="E673" s="8">
        <v>463673</v>
      </c>
      <c r="F673" s="8">
        <v>3966</v>
      </c>
      <c r="G673" s="6">
        <v>0</v>
      </c>
      <c r="H673" s="8">
        <v>0</v>
      </c>
      <c r="I673" s="6">
        <v>118.2</v>
      </c>
      <c r="J673" s="6">
        <v>4</v>
      </c>
      <c r="K673" s="6">
        <v>6.62</v>
      </c>
      <c r="L673" s="6">
        <v>-5.78</v>
      </c>
      <c r="M673" s="6">
        <v>10.3</v>
      </c>
      <c r="N673" s="6">
        <v>-1.6</v>
      </c>
    </row>
    <row r="674" hidden="1" spans="1:14">
      <c r="A674" s="4" t="s">
        <v>2060</v>
      </c>
      <c r="B674" s="5" t="s">
        <v>10</v>
      </c>
      <c r="C674" s="6" t="s">
        <v>44</v>
      </c>
      <c r="D674" s="6">
        <v>11.015</v>
      </c>
      <c r="E674" s="8">
        <v>5548261</v>
      </c>
      <c r="F674" s="8">
        <v>200868</v>
      </c>
      <c r="G674" s="6">
        <v>0</v>
      </c>
      <c r="H674" s="8">
        <v>0</v>
      </c>
      <c r="I674" s="6">
        <v>130.3</v>
      </c>
      <c r="J674" s="6">
        <v>6.25</v>
      </c>
      <c r="K674" s="6">
        <v>6.7</v>
      </c>
      <c r="L674" s="6">
        <v>6.99</v>
      </c>
      <c r="M674" s="6">
        <v>6.7</v>
      </c>
      <c r="N674" s="6">
        <v>1.8</v>
      </c>
    </row>
    <row r="675" hidden="1" spans="1:14">
      <c r="A675" s="4" t="s">
        <v>2061</v>
      </c>
      <c r="B675" s="5" t="s">
        <v>10</v>
      </c>
      <c r="C675" s="6" t="s">
        <v>45</v>
      </c>
      <c r="D675" s="6">
        <v>11.397</v>
      </c>
      <c r="E675" s="8">
        <v>1142185</v>
      </c>
      <c r="F675" s="8">
        <v>14485</v>
      </c>
      <c r="G675" s="6">
        <v>0</v>
      </c>
      <c r="H675" s="8">
        <v>0</v>
      </c>
      <c r="I675" s="6">
        <v>134.7</v>
      </c>
      <c r="J675" s="6">
        <v>6.5</v>
      </c>
      <c r="K675" s="6">
        <v>5.65</v>
      </c>
      <c r="L675" s="6">
        <v>8.15</v>
      </c>
      <c r="M675" s="6">
        <v>6.6</v>
      </c>
      <c r="N675" s="6">
        <v>4.1</v>
      </c>
    </row>
    <row r="676" hidden="1" spans="1:14">
      <c r="A676" s="4" t="s">
        <v>2062</v>
      </c>
      <c r="B676" s="5" t="s">
        <v>10</v>
      </c>
      <c r="C676" s="6" t="s">
        <v>36</v>
      </c>
      <c r="D676" s="6">
        <v>10.452</v>
      </c>
      <c r="E676" s="8">
        <v>4205326</v>
      </c>
      <c r="F676" s="8">
        <v>207114</v>
      </c>
      <c r="G676" s="6">
        <v>0</v>
      </c>
      <c r="H676" s="8">
        <v>0</v>
      </c>
      <c r="I676" s="6">
        <v>118.2</v>
      </c>
      <c r="J676" s="6">
        <v>4</v>
      </c>
      <c r="K676" s="6">
        <v>6.62</v>
      </c>
      <c r="L676" s="6">
        <v>-5.78</v>
      </c>
      <c r="M676" s="6">
        <v>9.3</v>
      </c>
      <c r="N676" s="6">
        <v>6.4</v>
      </c>
    </row>
    <row r="677" hidden="1" spans="1:14">
      <c r="A677" s="4" t="s">
        <v>2063</v>
      </c>
      <c r="B677" s="5" t="s">
        <v>10</v>
      </c>
      <c r="C677" s="6" t="s">
        <v>37</v>
      </c>
      <c r="D677" s="6">
        <v>11.337</v>
      </c>
      <c r="E677" s="8">
        <v>3520964</v>
      </c>
      <c r="F677" s="8">
        <v>114119</v>
      </c>
      <c r="G677" s="6">
        <v>0</v>
      </c>
      <c r="H677" s="8">
        <v>0</v>
      </c>
      <c r="I677" s="6">
        <v>124.8</v>
      </c>
      <c r="J677" s="6">
        <v>4</v>
      </c>
      <c r="K677" s="6">
        <v>5.13</v>
      </c>
      <c r="L677" s="6">
        <v>9.69</v>
      </c>
      <c r="M677" s="6">
        <v>12.6</v>
      </c>
      <c r="N677" s="6">
        <v>45</v>
      </c>
    </row>
    <row r="678" hidden="1" spans="1:14">
      <c r="A678" s="4" t="s">
        <v>2064</v>
      </c>
      <c r="B678" s="5" t="s">
        <v>10</v>
      </c>
      <c r="C678" s="6" t="s">
        <v>39</v>
      </c>
      <c r="D678" s="6">
        <v>8.923</v>
      </c>
      <c r="E678" s="8">
        <v>390738</v>
      </c>
      <c r="F678" s="8">
        <v>17795</v>
      </c>
      <c r="G678" s="6">
        <v>0</v>
      </c>
      <c r="H678" s="8">
        <v>0</v>
      </c>
      <c r="I678" s="6">
        <v>124.8</v>
      </c>
      <c r="J678" s="6">
        <v>4</v>
      </c>
      <c r="K678" s="6">
        <v>5.13</v>
      </c>
      <c r="L678" s="6">
        <v>9.69</v>
      </c>
      <c r="M678" s="6">
        <v>8.7</v>
      </c>
      <c r="N678" s="6">
        <v>2.1</v>
      </c>
    </row>
    <row r="679" hidden="1" spans="1:14">
      <c r="A679" s="4" t="s">
        <v>2065</v>
      </c>
      <c r="B679" s="5" t="s">
        <v>10</v>
      </c>
      <c r="C679" s="6" t="s">
        <v>31</v>
      </c>
      <c r="D679" s="6">
        <v>11.402</v>
      </c>
      <c r="E679" s="8">
        <v>308090</v>
      </c>
      <c r="F679" s="8">
        <v>11119</v>
      </c>
      <c r="G679" s="6">
        <v>0</v>
      </c>
      <c r="H679" s="8">
        <v>0</v>
      </c>
      <c r="I679" s="6">
        <v>121.5</v>
      </c>
      <c r="J679" s="6">
        <v>5.4</v>
      </c>
      <c r="K679" s="6">
        <v>3.73</v>
      </c>
      <c r="L679" s="6">
        <v>3.87</v>
      </c>
      <c r="M679" s="6">
        <v>7.8</v>
      </c>
      <c r="N679" s="6">
        <v>0.7</v>
      </c>
    </row>
    <row r="680" hidden="1" spans="1:14">
      <c r="A680" s="4" t="s">
        <v>2066</v>
      </c>
      <c r="B680" s="5" t="s">
        <v>10</v>
      </c>
      <c r="C680" s="6" t="s">
        <v>47</v>
      </c>
      <c r="D680" s="6">
        <v>11.17</v>
      </c>
      <c r="E680" s="8">
        <v>998874</v>
      </c>
      <c r="F680" s="8">
        <v>39984</v>
      </c>
      <c r="G680" s="6">
        <v>0</v>
      </c>
      <c r="H680" s="8">
        <v>0</v>
      </c>
      <c r="I680" s="6">
        <v>134.7</v>
      </c>
      <c r="J680" s="6">
        <v>6.5</v>
      </c>
      <c r="K680" s="6">
        <v>5.65</v>
      </c>
      <c r="L680" s="6">
        <v>8.15</v>
      </c>
      <c r="M680" s="6">
        <v>6.5</v>
      </c>
      <c r="N680" s="6">
        <v>3.6</v>
      </c>
    </row>
    <row r="681" hidden="1" spans="1:14">
      <c r="A681" s="4" t="s">
        <v>2067</v>
      </c>
      <c r="B681" s="5" t="s">
        <v>10</v>
      </c>
      <c r="C681" s="6" t="s">
        <v>34</v>
      </c>
      <c r="D681" s="6">
        <v>11.695</v>
      </c>
      <c r="E681" s="8">
        <v>3330446</v>
      </c>
      <c r="F681" s="8">
        <v>91580</v>
      </c>
      <c r="G681" s="6">
        <v>0</v>
      </c>
      <c r="H681" s="8">
        <v>0</v>
      </c>
      <c r="I681" s="6">
        <v>118.2</v>
      </c>
      <c r="J681" s="6">
        <v>4</v>
      </c>
      <c r="K681" s="6">
        <v>6.62</v>
      </c>
      <c r="L681" s="6">
        <v>-5.78</v>
      </c>
      <c r="M681" s="6">
        <v>13.2</v>
      </c>
      <c r="N681" s="6">
        <v>-8.6</v>
      </c>
    </row>
    <row r="682" hidden="1" spans="1:14">
      <c r="A682" s="4" t="s">
        <v>2068</v>
      </c>
      <c r="B682" s="5" t="s">
        <v>10</v>
      </c>
      <c r="C682" s="6" t="s">
        <v>34</v>
      </c>
      <c r="D682" s="6">
        <v>10.661</v>
      </c>
      <c r="E682" s="8">
        <v>3824096</v>
      </c>
      <c r="F682" s="8">
        <v>94354</v>
      </c>
      <c r="G682" s="6">
        <v>0</v>
      </c>
      <c r="H682" s="8">
        <v>0</v>
      </c>
      <c r="I682" s="6">
        <v>118.2</v>
      </c>
      <c r="J682" s="6">
        <v>4</v>
      </c>
      <c r="K682" s="6">
        <v>6.62</v>
      </c>
      <c r="L682" s="6">
        <v>-5.78</v>
      </c>
      <c r="M682" s="6">
        <v>13.2</v>
      </c>
      <c r="N682" s="6">
        <v>-8.6</v>
      </c>
    </row>
    <row r="683" hidden="1" spans="1:14">
      <c r="A683" s="4" t="s">
        <v>2069</v>
      </c>
      <c r="B683" s="5" t="s">
        <v>10</v>
      </c>
      <c r="C683" s="6" t="s">
        <v>46</v>
      </c>
      <c r="D683" s="6">
        <v>10.671</v>
      </c>
      <c r="E683" s="8">
        <v>2614535</v>
      </c>
      <c r="F683" s="8">
        <v>72366</v>
      </c>
      <c r="G683" s="6">
        <v>0</v>
      </c>
      <c r="H683" s="8">
        <v>0</v>
      </c>
      <c r="I683" s="6">
        <v>134.7</v>
      </c>
      <c r="J683" s="6">
        <v>6.5</v>
      </c>
      <c r="K683" s="6">
        <v>5.65</v>
      </c>
      <c r="L683" s="6">
        <v>8.15</v>
      </c>
      <c r="M683" s="6">
        <v>6.6</v>
      </c>
      <c r="N683" s="6">
        <v>9.7</v>
      </c>
    </row>
    <row r="684" hidden="1" spans="1:14">
      <c r="A684" s="4" t="s">
        <v>2070</v>
      </c>
      <c r="B684" s="5" t="s">
        <v>10</v>
      </c>
      <c r="C684" s="6" t="s">
        <v>45</v>
      </c>
      <c r="D684" s="6">
        <v>11.096</v>
      </c>
      <c r="E684" s="8">
        <v>3473850</v>
      </c>
      <c r="F684" s="8">
        <v>133461</v>
      </c>
      <c r="G684" s="6">
        <v>0</v>
      </c>
      <c r="H684" s="8">
        <v>0</v>
      </c>
      <c r="I684" s="6">
        <v>134.7</v>
      </c>
      <c r="J684" s="6">
        <v>6.5</v>
      </c>
      <c r="K684" s="6">
        <v>5.65</v>
      </c>
      <c r="L684" s="6">
        <v>8.15</v>
      </c>
      <c r="M684" s="6">
        <v>6.6</v>
      </c>
      <c r="N684" s="6">
        <v>4.1</v>
      </c>
    </row>
    <row r="685" hidden="1" spans="1:14">
      <c r="A685" s="4" t="s">
        <v>2071</v>
      </c>
      <c r="B685" s="5" t="s">
        <v>10</v>
      </c>
      <c r="C685" s="6" t="s">
        <v>35</v>
      </c>
      <c r="D685" s="6">
        <v>10.333</v>
      </c>
      <c r="E685" s="8">
        <v>559162</v>
      </c>
      <c r="F685" s="8">
        <v>12864</v>
      </c>
      <c r="G685" s="6">
        <v>0</v>
      </c>
      <c r="H685" s="8">
        <v>0</v>
      </c>
      <c r="I685" s="6">
        <v>118.2</v>
      </c>
      <c r="J685" s="6">
        <v>4</v>
      </c>
      <c r="K685" s="6">
        <v>6.62</v>
      </c>
      <c r="L685" s="6">
        <v>-5.78</v>
      </c>
      <c r="M685" s="6">
        <v>10.3</v>
      </c>
      <c r="N685" s="6">
        <v>-1.6</v>
      </c>
    </row>
    <row r="686" hidden="1" spans="1:14">
      <c r="A686" s="4" t="s">
        <v>2072</v>
      </c>
      <c r="B686" s="5" t="s">
        <v>10</v>
      </c>
      <c r="C686" s="6" t="s">
        <v>43</v>
      </c>
      <c r="D686" s="6">
        <v>10.66</v>
      </c>
      <c r="E686" s="8">
        <v>2246064</v>
      </c>
      <c r="F686" s="8">
        <v>37862</v>
      </c>
      <c r="G686" s="6">
        <v>0</v>
      </c>
      <c r="H686" s="8">
        <v>0</v>
      </c>
      <c r="I686" s="6">
        <v>130.3</v>
      </c>
      <c r="J686" s="6">
        <v>5.9</v>
      </c>
      <c r="K686" s="6">
        <v>6.7</v>
      </c>
      <c r="L686" s="6">
        <v>6.99</v>
      </c>
      <c r="M686" s="6">
        <v>7.2</v>
      </c>
      <c r="N686" s="6">
        <v>4.5</v>
      </c>
    </row>
    <row r="687" hidden="1" spans="1:14">
      <c r="A687" s="4" t="s">
        <v>2073</v>
      </c>
      <c r="B687" s="5" t="s">
        <v>10</v>
      </c>
      <c r="C687" s="6" t="s">
        <v>45</v>
      </c>
      <c r="D687" s="6">
        <v>10.554</v>
      </c>
      <c r="E687" s="8">
        <v>664493</v>
      </c>
      <c r="F687" s="8">
        <v>21698</v>
      </c>
      <c r="G687" s="6">
        <v>0</v>
      </c>
      <c r="H687" s="8">
        <v>0</v>
      </c>
      <c r="I687" s="6">
        <v>134.7</v>
      </c>
      <c r="J687" s="6">
        <v>6.5</v>
      </c>
      <c r="K687" s="6">
        <v>5.65</v>
      </c>
      <c r="L687" s="6">
        <v>8.15</v>
      </c>
      <c r="M687" s="6">
        <v>6.6</v>
      </c>
      <c r="N687" s="6">
        <v>4.1</v>
      </c>
    </row>
    <row r="688" hidden="1" spans="1:14">
      <c r="A688" s="4" t="s">
        <v>2074</v>
      </c>
      <c r="B688" s="5" t="s">
        <v>10</v>
      </c>
      <c r="C688" s="6" t="s">
        <v>44</v>
      </c>
      <c r="D688" s="6">
        <v>10.92</v>
      </c>
      <c r="E688" s="8">
        <v>2774089</v>
      </c>
      <c r="F688" s="8">
        <v>58137</v>
      </c>
      <c r="G688" s="6">
        <v>0</v>
      </c>
      <c r="H688" s="8">
        <v>0</v>
      </c>
      <c r="I688" s="6">
        <v>130.3</v>
      </c>
      <c r="J688" s="6">
        <v>6.25</v>
      </c>
      <c r="K688" s="6">
        <v>6.7</v>
      </c>
      <c r="L688" s="6">
        <v>6.99</v>
      </c>
      <c r="M688" s="6">
        <v>6.7</v>
      </c>
      <c r="N688" s="6">
        <v>1.8</v>
      </c>
    </row>
    <row r="689" hidden="1" spans="1:14">
      <c r="A689" s="4" t="s">
        <v>2075</v>
      </c>
      <c r="B689" s="5" t="s">
        <v>10</v>
      </c>
      <c r="C689" s="6" t="s">
        <v>31</v>
      </c>
      <c r="D689" s="6">
        <v>10.021</v>
      </c>
      <c r="E689" s="8">
        <v>5878295</v>
      </c>
      <c r="F689" s="8">
        <v>195015</v>
      </c>
      <c r="G689" s="6">
        <v>0</v>
      </c>
      <c r="H689" s="8">
        <v>0</v>
      </c>
      <c r="I689" s="6">
        <v>121.5</v>
      </c>
      <c r="J689" s="6">
        <v>5.4</v>
      </c>
      <c r="K689" s="6">
        <v>3.73</v>
      </c>
      <c r="L689" s="6">
        <v>3.87</v>
      </c>
      <c r="M689" s="6">
        <v>7.8</v>
      </c>
      <c r="N689" s="6">
        <v>0.7</v>
      </c>
    </row>
    <row r="690" hidden="1" spans="1:14">
      <c r="A690" s="4" t="s">
        <v>2076</v>
      </c>
      <c r="B690" s="5" t="s">
        <v>10</v>
      </c>
      <c r="C690" s="6" t="s">
        <v>33</v>
      </c>
      <c r="D690" s="6">
        <v>10.778</v>
      </c>
      <c r="E690" s="8">
        <v>141044</v>
      </c>
      <c r="F690" s="8">
        <v>48629</v>
      </c>
      <c r="G690" s="6">
        <v>1</v>
      </c>
      <c r="H690" s="8">
        <v>17641</v>
      </c>
      <c r="I690" s="6">
        <v>118.2</v>
      </c>
      <c r="J690" s="6">
        <v>4.4</v>
      </c>
      <c r="K690" s="6">
        <v>6.62</v>
      </c>
      <c r="L690" s="6">
        <v>-5.78</v>
      </c>
      <c r="M690" s="6">
        <v>20.8</v>
      </c>
      <c r="N690" s="6">
        <v>-37</v>
      </c>
    </row>
    <row r="691" hidden="1" spans="1:14">
      <c r="A691" s="4" t="s">
        <v>2077</v>
      </c>
      <c r="B691" s="5" t="s">
        <v>10</v>
      </c>
      <c r="C691" s="6" t="s">
        <v>47</v>
      </c>
      <c r="D691" s="6">
        <v>11.076</v>
      </c>
      <c r="E691" s="8">
        <v>2283395</v>
      </c>
      <c r="F691" s="8">
        <v>112713</v>
      </c>
      <c r="G691" s="6">
        <v>0</v>
      </c>
      <c r="H691" s="8">
        <v>0</v>
      </c>
      <c r="I691" s="6">
        <v>134.7</v>
      </c>
      <c r="J691" s="6">
        <v>6.5</v>
      </c>
      <c r="K691" s="6">
        <v>5.65</v>
      </c>
      <c r="L691" s="6">
        <v>8.15</v>
      </c>
      <c r="M691" s="6">
        <v>6.5</v>
      </c>
      <c r="N691" s="6">
        <v>3.6</v>
      </c>
    </row>
    <row r="692" hidden="1" spans="1:14">
      <c r="A692" s="4" t="s">
        <v>2078</v>
      </c>
      <c r="B692" s="5" t="s">
        <v>10</v>
      </c>
      <c r="C692" s="6" t="s">
        <v>31</v>
      </c>
      <c r="D692" s="6">
        <v>10.364</v>
      </c>
      <c r="E692" s="8">
        <v>646203</v>
      </c>
      <c r="F692" s="8">
        <v>9552</v>
      </c>
      <c r="G692" s="6">
        <v>0</v>
      </c>
      <c r="H692" s="8">
        <v>0</v>
      </c>
      <c r="I692" s="6">
        <v>121.5</v>
      </c>
      <c r="J692" s="6">
        <v>5.4</v>
      </c>
      <c r="K692" s="6">
        <v>3.73</v>
      </c>
      <c r="L692" s="6">
        <v>3.87</v>
      </c>
      <c r="M692" s="6">
        <v>7.8</v>
      </c>
      <c r="N692" s="6">
        <v>0.7</v>
      </c>
    </row>
    <row r="693" hidden="1" spans="1:14">
      <c r="A693" s="4" t="s">
        <v>2079</v>
      </c>
      <c r="B693" s="5" t="s">
        <v>10</v>
      </c>
      <c r="C693" s="6" t="s">
        <v>39</v>
      </c>
      <c r="D693" s="6">
        <v>9.916</v>
      </c>
      <c r="E693" s="8">
        <v>4851107</v>
      </c>
      <c r="F693" s="8">
        <v>139547</v>
      </c>
      <c r="G693" s="6">
        <v>0</v>
      </c>
      <c r="H693" s="8">
        <v>0</v>
      </c>
      <c r="I693" s="6">
        <v>124.8</v>
      </c>
      <c r="J693" s="6">
        <v>4</v>
      </c>
      <c r="K693" s="6">
        <v>5.13</v>
      </c>
      <c r="L693" s="6">
        <v>9.69</v>
      </c>
      <c r="M693" s="6">
        <v>8.7</v>
      </c>
      <c r="N693" s="6">
        <v>2.1</v>
      </c>
    </row>
    <row r="694" hidden="1" spans="1:14">
      <c r="A694" s="4" t="s">
        <v>2080</v>
      </c>
      <c r="B694" s="5" t="s">
        <v>10</v>
      </c>
      <c r="C694" s="6" t="s">
        <v>41</v>
      </c>
      <c r="D694" s="6">
        <v>9.948</v>
      </c>
      <c r="E694" s="8">
        <v>2550391</v>
      </c>
      <c r="F694" s="8">
        <v>37371</v>
      </c>
      <c r="G694" s="6">
        <v>0</v>
      </c>
      <c r="H694" s="8">
        <v>0</v>
      </c>
      <c r="I694" s="6">
        <v>130.3</v>
      </c>
      <c r="J694" s="6">
        <v>4</v>
      </c>
      <c r="K694" s="6">
        <v>6.7</v>
      </c>
      <c r="L694" s="6">
        <v>6.99</v>
      </c>
      <c r="M694" s="6">
        <v>6.6</v>
      </c>
      <c r="N694" s="6">
        <v>13.8</v>
      </c>
    </row>
    <row r="695" hidden="1" spans="1:14">
      <c r="A695" s="4" t="s">
        <v>2081</v>
      </c>
      <c r="B695" s="5" t="s">
        <v>10</v>
      </c>
      <c r="C695" s="6" t="s">
        <v>36</v>
      </c>
      <c r="D695" s="6">
        <v>10.121</v>
      </c>
      <c r="E695" s="8">
        <v>4425850</v>
      </c>
      <c r="F695" s="8">
        <v>128549</v>
      </c>
      <c r="G695" s="6">
        <v>0</v>
      </c>
      <c r="H695" s="8">
        <v>0</v>
      </c>
      <c r="I695" s="6">
        <v>118.2</v>
      </c>
      <c r="J695" s="6">
        <v>4</v>
      </c>
      <c r="K695" s="6">
        <v>6.62</v>
      </c>
      <c r="L695" s="6">
        <v>-5.78</v>
      </c>
      <c r="M695" s="6">
        <v>9.3</v>
      </c>
      <c r="N695" s="6">
        <v>6.4</v>
      </c>
    </row>
    <row r="696" hidden="1" spans="1:14">
      <c r="A696" s="4" t="s">
        <v>2082</v>
      </c>
      <c r="B696" s="5" t="s">
        <v>10</v>
      </c>
      <c r="C696" s="6" t="s">
        <v>39</v>
      </c>
      <c r="D696" s="6">
        <v>9.38</v>
      </c>
      <c r="E696" s="8">
        <v>5236814</v>
      </c>
      <c r="F696" s="8">
        <v>177156</v>
      </c>
      <c r="G696" s="6">
        <v>0</v>
      </c>
      <c r="H696" s="8">
        <v>0</v>
      </c>
      <c r="I696" s="6">
        <v>124.8</v>
      </c>
      <c r="J696" s="6">
        <v>4</v>
      </c>
      <c r="K696" s="6">
        <v>5.13</v>
      </c>
      <c r="L696" s="6">
        <v>9.69</v>
      </c>
      <c r="M696" s="6">
        <v>8.7</v>
      </c>
      <c r="N696" s="6">
        <v>2.1</v>
      </c>
    </row>
    <row r="697" hidden="1" spans="1:14">
      <c r="A697" s="4" t="s">
        <v>2083</v>
      </c>
      <c r="B697" s="5" t="s">
        <v>10</v>
      </c>
      <c r="C697" s="6" t="s">
        <v>34</v>
      </c>
      <c r="D697" s="6">
        <v>11.572</v>
      </c>
      <c r="E697" s="8">
        <v>111222</v>
      </c>
      <c r="F697" s="8">
        <v>4608</v>
      </c>
      <c r="G697" s="6">
        <v>0</v>
      </c>
      <c r="H697" s="8">
        <v>0</v>
      </c>
      <c r="I697" s="6">
        <v>118.2</v>
      </c>
      <c r="J697" s="6">
        <v>4</v>
      </c>
      <c r="K697" s="6">
        <v>6.62</v>
      </c>
      <c r="L697" s="6">
        <v>-5.78</v>
      </c>
      <c r="M697" s="6">
        <v>13.2</v>
      </c>
      <c r="N697" s="6">
        <v>-8.6</v>
      </c>
    </row>
    <row r="698" hidden="1" spans="1:14">
      <c r="A698" s="4" t="s">
        <v>2084</v>
      </c>
      <c r="B698" s="5" t="s">
        <v>10</v>
      </c>
      <c r="C698" s="6" t="s">
        <v>44</v>
      </c>
      <c r="D698" s="6">
        <v>11.281</v>
      </c>
      <c r="E698" s="8">
        <v>3643346</v>
      </c>
      <c r="F698" s="8">
        <v>2733479</v>
      </c>
      <c r="G698" s="6">
        <v>1</v>
      </c>
      <c r="H698" s="8">
        <v>1641278</v>
      </c>
      <c r="I698" s="6">
        <v>130.3</v>
      </c>
      <c r="J698" s="6">
        <v>6.25</v>
      </c>
      <c r="K698" s="6">
        <v>6.7</v>
      </c>
      <c r="L698" s="6">
        <v>6.99</v>
      </c>
      <c r="M698" s="6">
        <v>6.7</v>
      </c>
      <c r="N698" s="6">
        <v>1.8</v>
      </c>
    </row>
    <row r="699" hidden="1" spans="1:14">
      <c r="A699" s="4" t="s">
        <v>2085</v>
      </c>
      <c r="B699" s="5" t="s">
        <v>10</v>
      </c>
      <c r="C699" s="6" t="s">
        <v>41</v>
      </c>
      <c r="D699" s="6">
        <v>10.687</v>
      </c>
      <c r="E699" s="8">
        <v>707886</v>
      </c>
      <c r="F699" s="8">
        <v>3341</v>
      </c>
      <c r="G699" s="6">
        <v>0</v>
      </c>
      <c r="H699" s="8">
        <v>0</v>
      </c>
      <c r="I699" s="6">
        <v>130.3</v>
      </c>
      <c r="J699" s="6">
        <v>4</v>
      </c>
      <c r="K699" s="6">
        <v>6.7</v>
      </c>
      <c r="L699" s="6">
        <v>6.99</v>
      </c>
      <c r="M699" s="6">
        <v>6.6</v>
      </c>
      <c r="N699" s="6">
        <v>13.8</v>
      </c>
    </row>
    <row r="700" hidden="1" spans="1:14">
      <c r="A700" s="4" t="s">
        <v>2086</v>
      </c>
      <c r="B700" s="5" t="s">
        <v>10</v>
      </c>
      <c r="C700" s="6" t="s">
        <v>38</v>
      </c>
      <c r="D700" s="6">
        <v>9.543</v>
      </c>
      <c r="E700" s="8">
        <v>2399485</v>
      </c>
      <c r="F700" s="8">
        <v>767</v>
      </c>
      <c r="G700" s="6">
        <v>0</v>
      </c>
      <c r="H700" s="8">
        <v>0</v>
      </c>
      <c r="I700" s="6">
        <v>124.8</v>
      </c>
      <c r="J700" s="6">
        <v>4</v>
      </c>
      <c r="K700" s="6">
        <v>5.13</v>
      </c>
      <c r="L700" s="6">
        <v>9.69</v>
      </c>
      <c r="M700" s="6">
        <v>9.8</v>
      </c>
      <c r="N700" s="6">
        <v>8.7</v>
      </c>
    </row>
    <row r="701" hidden="1" spans="1:14">
      <c r="A701" s="4" t="s">
        <v>2087</v>
      </c>
      <c r="B701" s="5" t="s">
        <v>10</v>
      </c>
      <c r="C701" s="6" t="s">
        <v>44</v>
      </c>
      <c r="D701" s="6">
        <v>11.478</v>
      </c>
      <c r="E701" s="8">
        <v>3329020</v>
      </c>
      <c r="F701" s="8">
        <v>7536</v>
      </c>
      <c r="G701" s="6">
        <v>0</v>
      </c>
      <c r="H701" s="8">
        <v>0</v>
      </c>
      <c r="I701" s="6">
        <v>130.3</v>
      </c>
      <c r="J701" s="6">
        <v>6.25</v>
      </c>
      <c r="K701" s="6">
        <v>6.7</v>
      </c>
      <c r="L701" s="6">
        <v>6.99</v>
      </c>
      <c r="M701" s="6">
        <v>6.7</v>
      </c>
      <c r="N701" s="6">
        <v>1.8</v>
      </c>
    </row>
    <row r="702" hidden="1" spans="1:14">
      <c r="A702" s="4" t="s">
        <v>2088</v>
      </c>
      <c r="B702" s="5" t="s">
        <v>10</v>
      </c>
      <c r="C702" s="6" t="s">
        <v>39</v>
      </c>
      <c r="D702" s="6">
        <v>9.624</v>
      </c>
      <c r="E702" s="8">
        <v>8174217</v>
      </c>
      <c r="F702" s="8">
        <v>376281</v>
      </c>
      <c r="G702" s="6">
        <v>0</v>
      </c>
      <c r="H702" s="8">
        <v>0</v>
      </c>
      <c r="I702" s="6">
        <v>124.8</v>
      </c>
      <c r="J702" s="6">
        <v>4</v>
      </c>
      <c r="K702" s="6">
        <v>5.13</v>
      </c>
      <c r="L702" s="6">
        <v>9.69</v>
      </c>
      <c r="M702" s="6">
        <v>8.7</v>
      </c>
      <c r="N702" s="6">
        <v>2.1</v>
      </c>
    </row>
    <row r="703" hidden="1" spans="1:14">
      <c r="A703" s="4" t="s">
        <v>2089</v>
      </c>
      <c r="B703" s="5" t="s">
        <v>10</v>
      </c>
      <c r="C703" s="6" t="s">
        <v>33</v>
      </c>
      <c r="D703" s="6">
        <v>10.793</v>
      </c>
      <c r="E703" s="8">
        <v>3682644</v>
      </c>
      <c r="F703" s="8">
        <v>1135116</v>
      </c>
      <c r="G703" s="6">
        <v>1</v>
      </c>
      <c r="H703" s="8">
        <v>491810</v>
      </c>
      <c r="I703" s="6">
        <v>118.2</v>
      </c>
      <c r="J703" s="6">
        <v>4.4</v>
      </c>
      <c r="K703" s="6">
        <v>6.62</v>
      </c>
      <c r="L703" s="6">
        <v>-5.78</v>
      </c>
      <c r="M703" s="6">
        <v>20.8</v>
      </c>
      <c r="N703" s="6">
        <v>-37</v>
      </c>
    </row>
    <row r="704" hidden="1" spans="1:14">
      <c r="A704" s="4" t="s">
        <v>2090</v>
      </c>
      <c r="B704" s="5" t="s">
        <v>10</v>
      </c>
      <c r="C704" s="6" t="s">
        <v>32</v>
      </c>
      <c r="D704" s="6">
        <v>9.549</v>
      </c>
      <c r="E704" s="8">
        <v>183368</v>
      </c>
      <c r="F704" s="8">
        <v>81705</v>
      </c>
      <c r="G704" s="6">
        <v>1</v>
      </c>
      <c r="H704" s="8">
        <v>25808</v>
      </c>
      <c r="I704" s="6">
        <v>121.5</v>
      </c>
      <c r="J704" s="6">
        <v>5.15</v>
      </c>
      <c r="K704" s="6">
        <v>3.73</v>
      </c>
      <c r="L704" s="6">
        <v>3.87</v>
      </c>
      <c r="M704" s="6">
        <v>9.1</v>
      </c>
      <c r="N704" s="6">
        <v>-16.7</v>
      </c>
    </row>
    <row r="705" hidden="1" spans="1:14">
      <c r="A705" s="4" t="s">
        <v>2091</v>
      </c>
      <c r="B705" s="5" t="s">
        <v>10</v>
      </c>
      <c r="C705" s="6" t="s">
        <v>35</v>
      </c>
      <c r="D705" s="6">
        <v>10.615</v>
      </c>
      <c r="E705" s="8">
        <v>1446045</v>
      </c>
      <c r="F705" s="8">
        <v>70686</v>
      </c>
      <c r="G705" s="6">
        <v>0</v>
      </c>
      <c r="H705" s="8">
        <v>0</v>
      </c>
      <c r="I705" s="6">
        <v>118.2</v>
      </c>
      <c r="J705" s="6">
        <v>4</v>
      </c>
      <c r="K705" s="6">
        <v>6.62</v>
      </c>
      <c r="L705" s="6">
        <v>-5.78</v>
      </c>
      <c r="M705" s="6">
        <v>10.3</v>
      </c>
      <c r="N705" s="6">
        <v>-1.6</v>
      </c>
    </row>
    <row r="706" hidden="1" spans="1:14">
      <c r="A706" s="4" t="s">
        <v>2092</v>
      </c>
      <c r="B706" s="5" t="s">
        <v>10</v>
      </c>
      <c r="C706" s="6" t="s">
        <v>33</v>
      </c>
      <c r="D706" s="6">
        <v>10.343</v>
      </c>
      <c r="E706" s="8">
        <v>2131901</v>
      </c>
      <c r="F706" s="8">
        <v>1146564</v>
      </c>
      <c r="G706" s="6">
        <v>1</v>
      </c>
      <c r="H706" s="8">
        <v>427999</v>
      </c>
      <c r="I706" s="6">
        <v>118.2</v>
      </c>
      <c r="J706" s="6">
        <v>4.4</v>
      </c>
      <c r="K706" s="6">
        <v>6.62</v>
      </c>
      <c r="L706" s="6">
        <v>-5.78</v>
      </c>
      <c r="M706" s="6">
        <v>20.8</v>
      </c>
      <c r="N706" s="6">
        <v>-37</v>
      </c>
    </row>
    <row r="707" hidden="1" spans="1:14">
      <c r="A707" s="4" t="s">
        <v>2093</v>
      </c>
      <c r="B707" s="5" t="s">
        <v>10</v>
      </c>
      <c r="C707" s="6" t="s">
        <v>42</v>
      </c>
      <c r="D707" s="6">
        <v>11.089</v>
      </c>
      <c r="E707" s="8">
        <v>4446372</v>
      </c>
      <c r="F707" s="8">
        <v>84258</v>
      </c>
      <c r="G707" s="6">
        <v>0</v>
      </c>
      <c r="H707" s="8">
        <v>0</v>
      </c>
      <c r="I707" s="6">
        <v>130.3</v>
      </c>
      <c r="J707" s="6">
        <v>4.9</v>
      </c>
      <c r="K707" s="6">
        <v>6.7</v>
      </c>
      <c r="L707" s="6">
        <v>6.99</v>
      </c>
      <c r="M707" s="6">
        <v>6.6</v>
      </c>
      <c r="N707" s="6">
        <v>5.6</v>
      </c>
    </row>
    <row r="708" hidden="1" spans="1:14">
      <c r="A708" s="4" t="s">
        <v>2094</v>
      </c>
      <c r="B708" s="5" t="s">
        <v>10</v>
      </c>
      <c r="C708" s="6" t="s">
        <v>41</v>
      </c>
      <c r="D708" s="6">
        <v>9.67</v>
      </c>
      <c r="E708" s="8">
        <v>3111120</v>
      </c>
      <c r="F708" s="8">
        <v>73130</v>
      </c>
      <c r="G708" s="6">
        <v>0</v>
      </c>
      <c r="H708" s="8">
        <v>0</v>
      </c>
      <c r="I708" s="6">
        <v>130.3</v>
      </c>
      <c r="J708" s="6">
        <v>4</v>
      </c>
      <c r="K708" s="6">
        <v>6.7</v>
      </c>
      <c r="L708" s="6">
        <v>6.99</v>
      </c>
      <c r="M708" s="6">
        <v>6.6</v>
      </c>
      <c r="N708" s="6">
        <v>13.8</v>
      </c>
    </row>
    <row r="709" hidden="1" spans="1:14">
      <c r="A709" s="4" t="s">
        <v>2095</v>
      </c>
      <c r="B709" s="5" t="s">
        <v>10</v>
      </c>
      <c r="C709" s="6" t="s">
        <v>41</v>
      </c>
      <c r="D709" s="6">
        <v>10.393</v>
      </c>
      <c r="E709" s="8">
        <v>2287786</v>
      </c>
      <c r="F709" s="8">
        <v>72902</v>
      </c>
      <c r="G709" s="6">
        <v>0</v>
      </c>
      <c r="H709" s="8">
        <v>0</v>
      </c>
      <c r="I709" s="6">
        <v>130.3</v>
      </c>
      <c r="J709" s="6">
        <v>4</v>
      </c>
      <c r="K709" s="6">
        <v>6.7</v>
      </c>
      <c r="L709" s="6">
        <v>6.99</v>
      </c>
      <c r="M709" s="6">
        <v>6.6</v>
      </c>
      <c r="N709" s="6">
        <v>13.8</v>
      </c>
    </row>
    <row r="710" hidden="1" spans="1:14">
      <c r="A710" s="4" t="s">
        <v>2096</v>
      </c>
      <c r="B710" s="5" t="s">
        <v>10</v>
      </c>
      <c r="C710" s="6" t="s">
        <v>33</v>
      </c>
      <c r="D710" s="6">
        <v>9.7</v>
      </c>
      <c r="E710" s="8">
        <v>4168820</v>
      </c>
      <c r="F710" s="8">
        <v>168192</v>
      </c>
      <c r="G710" s="6">
        <v>0</v>
      </c>
      <c r="H710" s="8">
        <v>0</v>
      </c>
      <c r="I710" s="6">
        <v>118.2</v>
      </c>
      <c r="J710" s="6">
        <v>4.4</v>
      </c>
      <c r="K710" s="6">
        <v>6.62</v>
      </c>
      <c r="L710" s="6">
        <v>-5.78</v>
      </c>
      <c r="M710" s="6">
        <v>20.8</v>
      </c>
      <c r="N710" s="6">
        <v>-37</v>
      </c>
    </row>
    <row r="711" hidden="1" spans="1:14">
      <c r="A711" s="4" t="s">
        <v>2097</v>
      </c>
      <c r="B711" s="5" t="s">
        <v>10</v>
      </c>
      <c r="C711" s="6" t="s">
        <v>46</v>
      </c>
      <c r="D711" s="6">
        <v>10.537</v>
      </c>
      <c r="E711" s="8">
        <v>738872</v>
      </c>
      <c r="F711" s="8">
        <v>15829</v>
      </c>
      <c r="G711" s="6">
        <v>0</v>
      </c>
      <c r="H711" s="8">
        <v>0</v>
      </c>
      <c r="I711" s="6">
        <v>134.7</v>
      </c>
      <c r="J711" s="6">
        <v>6.5</v>
      </c>
      <c r="K711" s="6">
        <v>5.65</v>
      </c>
      <c r="L711" s="6">
        <v>8.15</v>
      </c>
      <c r="M711" s="6">
        <v>6.6</v>
      </c>
      <c r="N711" s="6">
        <v>9.7</v>
      </c>
    </row>
    <row r="712" hidden="1" spans="1:14">
      <c r="A712" s="4" t="s">
        <v>2098</v>
      </c>
      <c r="B712" s="5" t="s">
        <v>10</v>
      </c>
      <c r="C712" s="6" t="s">
        <v>39</v>
      </c>
      <c r="D712" s="6">
        <v>9.822</v>
      </c>
      <c r="E712" s="8">
        <v>7236603</v>
      </c>
      <c r="F712" s="8">
        <v>270605</v>
      </c>
      <c r="G712" s="6">
        <v>0</v>
      </c>
      <c r="H712" s="8">
        <v>0</v>
      </c>
      <c r="I712" s="6">
        <v>124.8</v>
      </c>
      <c r="J712" s="6">
        <v>4</v>
      </c>
      <c r="K712" s="6">
        <v>5.13</v>
      </c>
      <c r="L712" s="6">
        <v>9.69</v>
      </c>
      <c r="M712" s="6">
        <v>8.7</v>
      </c>
      <c r="N712" s="6">
        <v>2.1</v>
      </c>
    </row>
    <row r="713" hidden="1" spans="1:14">
      <c r="A713" s="4" t="s">
        <v>2099</v>
      </c>
      <c r="B713" s="5" t="s">
        <v>10</v>
      </c>
      <c r="C713" s="6" t="s">
        <v>33</v>
      </c>
      <c r="D713" s="6">
        <v>10.118</v>
      </c>
      <c r="E713" s="8">
        <v>7245103</v>
      </c>
      <c r="F713" s="8">
        <v>3086877</v>
      </c>
      <c r="G713" s="6">
        <v>1</v>
      </c>
      <c r="H713" s="8">
        <v>1738060</v>
      </c>
      <c r="I713" s="6">
        <v>118.2</v>
      </c>
      <c r="J713" s="6">
        <v>4.4</v>
      </c>
      <c r="K713" s="6">
        <v>6.62</v>
      </c>
      <c r="L713" s="6">
        <v>-5.78</v>
      </c>
      <c r="M713" s="6">
        <v>20.8</v>
      </c>
      <c r="N713" s="6">
        <v>-37</v>
      </c>
    </row>
    <row r="714" hidden="1" spans="1:14">
      <c r="A714" s="4" t="s">
        <v>2100</v>
      </c>
      <c r="B714" s="5" t="s">
        <v>10</v>
      </c>
      <c r="C714" s="6" t="s">
        <v>43</v>
      </c>
      <c r="D714" s="6">
        <v>11.303</v>
      </c>
      <c r="E714" s="8">
        <v>3156745</v>
      </c>
      <c r="F714" s="8">
        <v>142667</v>
      </c>
      <c r="G714" s="6">
        <v>0</v>
      </c>
      <c r="H714" s="8">
        <v>0</v>
      </c>
      <c r="I714" s="6">
        <v>130.3</v>
      </c>
      <c r="J714" s="6">
        <v>5.9</v>
      </c>
      <c r="K714" s="6">
        <v>6.7</v>
      </c>
      <c r="L714" s="6">
        <v>6.99</v>
      </c>
      <c r="M714" s="6">
        <v>7.2</v>
      </c>
      <c r="N714" s="6">
        <v>4.5</v>
      </c>
    </row>
    <row r="715" hidden="1" spans="1:14">
      <c r="A715" s="4" t="s">
        <v>2101</v>
      </c>
      <c r="B715" s="5" t="s">
        <v>10</v>
      </c>
      <c r="C715" s="6" t="s">
        <v>36</v>
      </c>
      <c r="D715" s="6">
        <v>10.036</v>
      </c>
      <c r="E715" s="8">
        <v>5342224</v>
      </c>
      <c r="F715" s="8">
        <v>111368</v>
      </c>
      <c r="G715" s="6">
        <v>0</v>
      </c>
      <c r="H715" s="8">
        <v>0</v>
      </c>
      <c r="I715" s="6">
        <v>118.2</v>
      </c>
      <c r="J715" s="6">
        <v>4</v>
      </c>
      <c r="K715" s="6">
        <v>6.62</v>
      </c>
      <c r="L715" s="6">
        <v>-5.78</v>
      </c>
      <c r="M715" s="6">
        <v>9.3</v>
      </c>
      <c r="N715" s="6">
        <v>6.4</v>
      </c>
    </row>
    <row r="716" hidden="1" spans="1:14">
      <c r="A716" s="4" t="s">
        <v>2102</v>
      </c>
      <c r="B716" s="5" t="s">
        <v>10</v>
      </c>
      <c r="C716" s="6" t="s">
        <v>41</v>
      </c>
      <c r="D716" s="6">
        <v>10.416</v>
      </c>
      <c r="E716" s="8">
        <v>4364686</v>
      </c>
      <c r="F716" s="8">
        <v>191017</v>
      </c>
      <c r="G716" s="6">
        <v>0</v>
      </c>
      <c r="H716" s="8">
        <v>0</v>
      </c>
      <c r="I716" s="6">
        <v>130.3</v>
      </c>
      <c r="J716" s="6">
        <v>4</v>
      </c>
      <c r="K716" s="6">
        <v>6.7</v>
      </c>
      <c r="L716" s="6">
        <v>6.99</v>
      </c>
      <c r="M716" s="6">
        <v>6.6</v>
      </c>
      <c r="N716" s="6">
        <v>13.8</v>
      </c>
    </row>
    <row r="717" hidden="1" spans="1:14">
      <c r="A717" s="4" t="s">
        <v>2103</v>
      </c>
      <c r="B717" s="5" t="s">
        <v>10</v>
      </c>
      <c r="C717" s="6" t="s">
        <v>42</v>
      </c>
      <c r="D717" s="6">
        <v>10.423</v>
      </c>
      <c r="E717" s="8">
        <v>4074231</v>
      </c>
      <c r="F717" s="8">
        <v>157289</v>
      </c>
      <c r="G717" s="6">
        <v>0</v>
      </c>
      <c r="H717" s="8">
        <v>0</v>
      </c>
      <c r="I717" s="6">
        <v>130.3</v>
      </c>
      <c r="J717" s="6">
        <v>4.9</v>
      </c>
      <c r="K717" s="6">
        <v>6.7</v>
      </c>
      <c r="L717" s="6">
        <v>6.99</v>
      </c>
      <c r="M717" s="6">
        <v>6.6</v>
      </c>
      <c r="N717" s="6">
        <v>5.6</v>
      </c>
    </row>
    <row r="718" hidden="1" spans="1:14">
      <c r="A718" s="4" t="s">
        <v>2104</v>
      </c>
      <c r="B718" s="5" t="s">
        <v>10</v>
      </c>
      <c r="C718" s="6" t="s">
        <v>45</v>
      </c>
      <c r="D718" s="6">
        <v>11.018</v>
      </c>
      <c r="E718" s="8">
        <v>566105</v>
      </c>
      <c r="F718" s="8">
        <v>16663</v>
      </c>
      <c r="G718" s="6">
        <v>0</v>
      </c>
      <c r="H718" s="8">
        <v>0</v>
      </c>
      <c r="I718" s="6">
        <v>134.7</v>
      </c>
      <c r="J718" s="6">
        <v>6.5</v>
      </c>
      <c r="K718" s="6">
        <v>5.65</v>
      </c>
      <c r="L718" s="6">
        <v>8.15</v>
      </c>
      <c r="M718" s="6">
        <v>6.6</v>
      </c>
      <c r="N718" s="6">
        <v>4.1</v>
      </c>
    </row>
    <row r="719" hidden="1" spans="1:14">
      <c r="A719" s="4" t="s">
        <v>2105</v>
      </c>
      <c r="B719" s="5" t="s">
        <v>10</v>
      </c>
      <c r="C719" s="6" t="s">
        <v>36</v>
      </c>
      <c r="D719" s="6">
        <v>10.053</v>
      </c>
      <c r="E719" s="8">
        <v>190096</v>
      </c>
      <c r="F719" s="8">
        <v>7892</v>
      </c>
      <c r="G719" s="6">
        <v>0</v>
      </c>
      <c r="H719" s="8">
        <v>0</v>
      </c>
      <c r="I719" s="6">
        <v>118.2</v>
      </c>
      <c r="J719" s="6">
        <v>4</v>
      </c>
      <c r="K719" s="6">
        <v>6.62</v>
      </c>
      <c r="L719" s="6">
        <v>-5.78</v>
      </c>
      <c r="M719" s="6">
        <v>9.3</v>
      </c>
      <c r="N719" s="6">
        <v>6.4</v>
      </c>
    </row>
    <row r="720" hidden="1" spans="1:14">
      <c r="A720" s="4" t="s">
        <v>2106</v>
      </c>
      <c r="B720" s="5" t="s">
        <v>10</v>
      </c>
      <c r="C720" s="6" t="s">
        <v>41</v>
      </c>
      <c r="D720" s="6">
        <v>10.348</v>
      </c>
      <c r="E720" s="8">
        <v>7995614</v>
      </c>
      <c r="F720" s="8">
        <v>250630</v>
      </c>
      <c r="G720" s="6">
        <v>0</v>
      </c>
      <c r="H720" s="8">
        <v>0</v>
      </c>
      <c r="I720" s="6">
        <v>130.3</v>
      </c>
      <c r="J720" s="6">
        <v>4</v>
      </c>
      <c r="K720" s="6">
        <v>6.7</v>
      </c>
      <c r="L720" s="6">
        <v>6.99</v>
      </c>
      <c r="M720" s="6">
        <v>6.6</v>
      </c>
      <c r="N720" s="6">
        <v>13.8</v>
      </c>
    </row>
    <row r="721" hidden="1" spans="1:14">
      <c r="A721" s="4" t="s">
        <v>2107</v>
      </c>
      <c r="B721" s="5" t="s">
        <v>10</v>
      </c>
      <c r="C721" s="6" t="s">
        <v>35</v>
      </c>
      <c r="D721" s="6">
        <v>9.576</v>
      </c>
      <c r="E721" s="8">
        <v>4264901</v>
      </c>
      <c r="F721" s="8">
        <v>460</v>
      </c>
      <c r="G721" s="6">
        <v>0</v>
      </c>
      <c r="H721" s="8">
        <v>0</v>
      </c>
      <c r="I721" s="6">
        <v>118.2</v>
      </c>
      <c r="J721" s="6">
        <v>4</v>
      </c>
      <c r="K721" s="6">
        <v>6.62</v>
      </c>
      <c r="L721" s="6">
        <v>-5.78</v>
      </c>
      <c r="M721" s="6">
        <v>10.3</v>
      </c>
      <c r="N721" s="6">
        <v>-1.6</v>
      </c>
    </row>
    <row r="722" hidden="1" spans="1:14">
      <c r="A722" s="4" t="s">
        <v>2108</v>
      </c>
      <c r="B722" s="5" t="s">
        <v>10</v>
      </c>
      <c r="C722" s="6" t="s">
        <v>72</v>
      </c>
      <c r="D722" s="6">
        <v>11.035</v>
      </c>
      <c r="E722" s="8">
        <v>1041270</v>
      </c>
      <c r="F722" s="8">
        <v>44133</v>
      </c>
      <c r="G722" s="6">
        <v>0</v>
      </c>
      <c r="H722" s="8">
        <v>0</v>
      </c>
      <c r="I722" s="6">
        <v>120</v>
      </c>
      <c r="J722" s="6">
        <v>6.5</v>
      </c>
      <c r="K722" s="6">
        <v>4.87</v>
      </c>
      <c r="L722" s="6">
        <v>6.5</v>
      </c>
      <c r="M722" s="6">
        <v>6.5</v>
      </c>
      <c r="N722" s="6">
        <v>4</v>
      </c>
    </row>
    <row r="723" hidden="1" spans="1:14">
      <c r="A723" s="4" t="s">
        <v>2109</v>
      </c>
      <c r="B723" s="5" t="s">
        <v>10</v>
      </c>
      <c r="C723" s="6" t="s">
        <v>29</v>
      </c>
      <c r="D723" s="6">
        <v>11.771</v>
      </c>
      <c r="E723" s="8">
        <v>540431</v>
      </c>
      <c r="F723" s="8">
        <v>13430</v>
      </c>
      <c r="G723" s="6">
        <v>0</v>
      </c>
      <c r="H723" s="8">
        <v>0</v>
      </c>
      <c r="I723" s="6">
        <v>121.5</v>
      </c>
      <c r="J723" s="6">
        <v>6</v>
      </c>
      <c r="K723" s="6">
        <v>3.73</v>
      </c>
      <c r="L723" s="6">
        <v>3.87</v>
      </c>
      <c r="M723" s="6">
        <v>7</v>
      </c>
      <c r="N723" s="6">
        <v>3.6</v>
      </c>
    </row>
    <row r="724" hidden="1" spans="1:14">
      <c r="A724" s="4" t="s">
        <v>2110</v>
      </c>
      <c r="B724" s="5" t="s">
        <v>10</v>
      </c>
      <c r="C724" s="6" t="s">
        <v>29</v>
      </c>
      <c r="D724" s="6">
        <v>11.506</v>
      </c>
      <c r="E724" s="8">
        <v>2511213</v>
      </c>
      <c r="F724" s="8">
        <v>80527</v>
      </c>
      <c r="G724" s="6">
        <v>0</v>
      </c>
      <c r="H724" s="8">
        <v>0</v>
      </c>
      <c r="I724" s="6">
        <v>121.5</v>
      </c>
      <c r="J724" s="6">
        <v>6</v>
      </c>
      <c r="K724" s="6">
        <v>3.73</v>
      </c>
      <c r="L724" s="6">
        <v>3.87</v>
      </c>
      <c r="M724" s="6">
        <v>7</v>
      </c>
      <c r="N724" s="6">
        <v>3.6</v>
      </c>
    </row>
    <row r="725" hidden="1" spans="1:14">
      <c r="A725" s="4" t="s">
        <v>2111</v>
      </c>
      <c r="B725" s="5" t="s">
        <v>10</v>
      </c>
      <c r="C725" s="6" t="s">
        <v>72</v>
      </c>
      <c r="D725" s="6">
        <v>11.47</v>
      </c>
      <c r="E725" s="8">
        <v>1567324</v>
      </c>
      <c r="F725" s="8">
        <v>51047</v>
      </c>
      <c r="G725" s="6">
        <v>0</v>
      </c>
      <c r="H725" s="8">
        <v>0</v>
      </c>
      <c r="I725" s="6">
        <v>120</v>
      </c>
      <c r="J725" s="6">
        <v>6.5</v>
      </c>
      <c r="K725" s="6">
        <v>4.87</v>
      </c>
      <c r="L725" s="6">
        <v>6.5</v>
      </c>
      <c r="M725" s="6">
        <v>6.5</v>
      </c>
      <c r="N725" s="6">
        <v>4</v>
      </c>
    </row>
    <row r="726" hidden="1" spans="1:14">
      <c r="A726" s="4" t="s">
        <v>2112</v>
      </c>
      <c r="B726" s="5" t="s">
        <v>10</v>
      </c>
      <c r="C726" s="6" t="s">
        <v>31</v>
      </c>
      <c r="D726" s="6">
        <v>10.55</v>
      </c>
      <c r="E726" s="8">
        <v>473539</v>
      </c>
      <c r="F726" s="8">
        <v>14731</v>
      </c>
      <c r="G726" s="6">
        <v>0</v>
      </c>
      <c r="H726" s="8">
        <v>0</v>
      </c>
      <c r="I726" s="6">
        <v>121.5</v>
      </c>
      <c r="J726" s="6">
        <v>5.4</v>
      </c>
      <c r="K726" s="6">
        <v>3.73</v>
      </c>
      <c r="L726" s="6">
        <v>3.87</v>
      </c>
      <c r="M726" s="6">
        <v>7.8</v>
      </c>
      <c r="N726" s="6">
        <v>0.7</v>
      </c>
    </row>
    <row r="727" hidden="1" spans="1:14">
      <c r="A727" s="4" t="s">
        <v>2113</v>
      </c>
      <c r="B727" s="5" t="s">
        <v>10</v>
      </c>
      <c r="C727" s="6" t="s">
        <v>43</v>
      </c>
      <c r="D727" s="6">
        <v>11.277</v>
      </c>
      <c r="E727" s="8">
        <v>1640009</v>
      </c>
      <c r="F727" s="8">
        <v>26684</v>
      </c>
      <c r="G727" s="6">
        <v>0</v>
      </c>
      <c r="H727" s="8">
        <v>0</v>
      </c>
      <c r="I727" s="6">
        <v>130.3</v>
      </c>
      <c r="J727" s="6">
        <v>5.9</v>
      </c>
      <c r="K727" s="6">
        <v>6.7</v>
      </c>
      <c r="L727" s="6">
        <v>6.99</v>
      </c>
      <c r="M727" s="6">
        <v>7.2</v>
      </c>
      <c r="N727" s="6">
        <v>4.5</v>
      </c>
    </row>
    <row r="728" hidden="1" spans="1:14">
      <c r="A728" s="4" t="s">
        <v>2114</v>
      </c>
      <c r="B728" s="5" t="s">
        <v>10</v>
      </c>
      <c r="C728" s="6" t="s">
        <v>44</v>
      </c>
      <c r="D728" s="6">
        <v>10.715</v>
      </c>
      <c r="E728" s="8">
        <v>5186338</v>
      </c>
      <c r="F728" s="8">
        <v>75777</v>
      </c>
      <c r="G728" s="6">
        <v>0</v>
      </c>
      <c r="H728" s="8">
        <v>0</v>
      </c>
      <c r="I728" s="6">
        <v>130.3</v>
      </c>
      <c r="J728" s="6">
        <v>6.25</v>
      </c>
      <c r="K728" s="6">
        <v>6.7</v>
      </c>
      <c r="L728" s="6">
        <v>6.99</v>
      </c>
      <c r="M728" s="6">
        <v>6.7</v>
      </c>
      <c r="N728" s="6">
        <v>1.8</v>
      </c>
    </row>
    <row r="729" hidden="1" spans="1:14">
      <c r="A729" s="4" t="s">
        <v>2115</v>
      </c>
      <c r="B729" s="5" t="s">
        <v>10</v>
      </c>
      <c r="C729" s="6" t="s">
        <v>30</v>
      </c>
      <c r="D729" s="6">
        <v>10.451</v>
      </c>
      <c r="E729" s="8">
        <v>1928241</v>
      </c>
      <c r="F729" s="8">
        <v>33314</v>
      </c>
      <c r="G729" s="6">
        <v>0</v>
      </c>
      <c r="H729" s="8">
        <v>0</v>
      </c>
      <c r="I729" s="6">
        <v>121.5</v>
      </c>
      <c r="J729" s="6">
        <v>5.75</v>
      </c>
      <c r="K729" s="6">
        <v>3.73</v>
      </c>
      <c r="L729" s="6">
        <v>3.87</v>
      </c>
      <c r="M729" s="6">
        <v>8.4</v>
      </c>
      <c r="N729" s="6">
        <v>0.6</v>
      </c>
    </row>
    <row r="730" hidden="1" spans="1:14">
      <c r="A730" s="4" t="s">
        <v>2116</v>
      </c>
      <c r="B730" s="5" t="s">
        <v>10</v>
      </c>
      <c r="C730" s="6" t="s">
        <v>31</v>
      </c>
      <c r="D730" s="6">
        <v>10.196</v>
      </c>
      <c r="E730" s="8">
        <v>655446</v>
      </c>
      <c r="F730" s="8">
        <v>9331</v>
      </c>
      <c r="G730" s="6">
        <v>0</v>
      </c>
      <c r="H730" s="8">
        <v>0</v>
      </c>
      <c r="I730" s="6">
        <v>121.5</v>
      </c>
      <c r="J730" s="6">
        <v>5.4</v>
      </c>
      <c r="K730" s="6">
        <v>3.73</v>
      </c>
      <c r="L730" s="6">
        <v>3.87</v>
      </c>
      <c r="M730" s="6">
        <v>7.8</v>
      </c>
      <c r="N730" s="6">
        <v>0.7</v>
      </c>
    </row>
    <row r="731" hidden="1" spans="1:14">
      <c r="A731" s="4" t="s">
        <v>2117</v>
      </c>
      <c r="B731" s="5" t="s">
        <v>10</v>
      </c>
      <c r="C731" s="6" t="s">
        <v>43</v>
      </c>
      <c r="D731" s="6">
        <v>11.456</v>
      </c>
      <c r="E731" s="8">
        <v>3713384</v>
      </c>
      <c r="F731" s="8">
        <v>92605</v>
      </c>
      <c r="G731" s="6">
        <v>0</v>
      </c>
      <c r="H731" s="8">
        <v>0</v>
      </c>
      <c r="I731" s="6">
        <v>130.3</v>
      </c>
      <c r="J731" s="6">
        <v>5.9</v>
      </c>
      <c r="K731" s="6">
        <v>6.7</v>
      </c>
      <c r="L731" s="6">
        <v>6.99</v>
      </c>
      <c r="M731" s="6">
        <v>7.2</v>
      </c>
      <c r="N731" s="6">
        <v>4.5</v>
      </c>
    </row>
    <row r="732" hidden="1" spans="1:14">
      <c r="A732" s="4" t="s">
        <v>2118</v>
      </c>
      <c r="B732" s="5" t="s">
        <v>10</v>
      </c>
      <c r="C732" s="6" t="s">
        <v>45</v>
      </c>
      <c r="D732" s="6">
        <v>12.151</v>
      </c>
      <c r="E732" s="8">
        <v>2675960</v>
      </c>
      <c r="F732" s="8">
        <v>35359</v>
      </c>
      <c r="G732" s="6">
        <v>0</v>
      </c>
      <c r="H732" s="8">
        <v>0</v>
      </c>
      <c r="I732" s="6">
        <v>134.7</v>
      </c>
      <c r="J732" s="6">
        <v>6.5</v>
      </c>
      <c r="K732" s="6">
        <v>5.65</v>
      </c>
      <c r="L732" s="6">
        <v>8.15</v>
      </c>
      <c r="M732" s="6">
        <v>6.6</v>
      </c>
      <c r="N732" s="6">
        <v>4.1</v>
      </c>
    </row>
    <row r="733" hidden="1" spans="1:14">
      <c r="A733" s="4" t="s">
        <v>2119</v>
      </c>
      <c r="B733" s="5" t="s">
        <v>10</v>
      </c>
      <c r="C733" s="6" t="s">
        <v>43</v>
      </c>
      <c r="D733" s="6">
        <v>11.456</v>
      </c>
      <c r="E733" s="8">
        <v>3974425</v>
      </c>
      <c r="F733" s="8">
        <v>121378</v>
      </c>
      <c r="G733" s="6">
        <v>0</v>
      </c>
      <c r="H733" s="8">
        <v>0</v>
      </c>
      <c r="I733" s="6">
        <v>130.3</v>
      </c>
      <c r="J733" s="6">
        <v>5.9</v>
      </c>
      <c r="K733" s="6">
        <v>6.7</v>
      </c>
      <c r="L733" s="6">
        <v>6.99</v>
      </c>
      <c r="M733" s="6">
        <v>7.2</v>
      </c>
      <c r="N733" s="6">
        <v>4.5</v>
      </c>
    </row>
    <row r="734" hidden="1" spans="1:14">
      <c r="A734" s="4" t="s">
        <v>2120</v>
      </c>
      <c r="B734" s="5" t="s">
        <v>10</v>
      </c>
      <c r="C734" s="6" t="s">
        <v>33</v>
      </c>
      <c r="D734" s="6">
        <v>10.578</v>
      </c>
      <c r="E734" s="8">
        <v>1155580</v>
      </c>
      <c r="F734" s="8">
        <v>562946</v>
      </c>
      <c r="G734" s="6">
        <v>1</v>
      </c>
      <c r="H734" s="8">
        <v>209393</v>
      </c>
      <c r="I734" s="6">
        <v>118.2</v>
      </c>
      <c r="J734" s="6">
        <v>4.4</v>
      </c>
      <c r="K734" s="6">
        <v>6.62</v>
      </c>
      <c r="L734" s="6">
        <v>-5.78</v>
      </c>
      <c r="M734" s="6">
        <v>20.8</v>
      </c>
      <c r="N734" s="6">
        <v>-37</v>
      </c>
    </row>
    <row r="735" hidden="1" spans="1:14">
      <c r="A735" s="4" t="s">
        <v>2121</v>
      </c>
      <c r="B735" s="5" t="s">
        <v>10</v>
      </c>
      <c r="C735" s="6" t="s">
        <v>30</v>
      </c>
      <c r="D735" s="6">
        <v>10.927</v>
      </c>
      <c r="E735" s="8">
        <v>4377725</v>
      </c>
      <c r="F735" s="8">
        <v>165893</v>
      </c>
      <c r="G735" s="6">
        <v>0</v>
      </c>
      <c r="H735" s="8">
        <v>0</v>
      </c>
      <c r="I735" s="6">
        <v>121.5</v>
      </c>
      <c r="J735" s="6">
        <v>5.75</v>
      </c>
      <c r="K735" s="6">
        <v>3.73</v>
      </c>
      <c r="L735" s="6">
        <v>3.87</v>
      </c>
      <c r="M735" s="6">
        <v>8.4</v>
      </c>
      <c r="N735" s="6">
        <v>0.6</v>
      </c>
    </row>
    <row r="736" hidden="1" spans="1:14">
      <c r="A736" s="4" t="s">
        <v>2122</v>
      </c>
      <c r="B736" s="5" t="s">
        <v>10</v>
      </c>
      <c r="C736" s="6" t="s">
        <v>48</v>
      </c>
      <c r="D736" s="6">
        <v>12.028</v>
      </c>
      <c r="E736" s="8">
        <v>1200356</v>
      </c>
      <c r="F736" s="8">
        <v>23273</v>
      </c>
      <c r="G736" s="6">
        <v>0</v>
      </c>
      <c r="H736" s="8">
        <v>0</v>
      </c>
      <c r="I736" s="6">
        <v>134.7</v>
      </c>
      <c r="J736" s="6">
        <v>6.5</v>
      </c>
      <c r="K736" s="6">
        <v>5.65</v>
      </c>
      <c r="L736" s="6">
        <v>8.15</v>
      </c>
      <c r="M736" s="6">
        <v>6.7</v>
      </c>
      <c r="N736" s="6">
        <v>5</v>
      </c>
    </row>
    <row r="737" hidden="1" spans="1:14">
      <c r="A737" s="4" t="s">
        <v>2123</v>
      </c>
      <c r="B737" s="5" t="s">
        <v>10</v>
      </c>
      <c r="C737" s="6" t="s">
        <v>46</v>
      </c>
      <c r="D737" s="6">
        <v>10.991</v>
      </c>
      <c r="E737" s="8">
        <v>3425701</v>
      </c>
      <c r="F737" s="8">
        <v>167967</v>
      </c>
      <c r="G737" s="6">
        <v>0</v>
      </c>
      <c r="H737" s="8">
        <v>0</v>
      </c>
      <c r="I737" s="6">
        <v>134.7</v>
      </c>
      <c r="J737" s="6">
        <v>6.5</v>
      </c>
      <c r="K737" s="6">
        <v>5.65</v>
      </c>
      <c r="L737" s="6">
        <v>8.15</v>
      </c>
      <c r="M737" s="6">
        <v>6.6</v>
      </c>
      <c r="N737" s="6">
        <v>9.7</v>
      </c>
    </row>
    <row r="738" hidden="1" spans="1:14">
      <c r="A738" s="4" t="s">
        <v>2124</v>
      </c>
      <c r="B738" s="5" t="s">
        <v>10</v>
      </c>
      <c r="C738" s="6" t="s">
        <v>45</v>
      </c>
      <c r="D738" s="6">
        <v>10.97</v>
      </c>
      <c r="E738" s="8">
        <v>4078866</v>
      </c>
      <c r="F738" s="8">
        <v>188938</v>
      </c>
      <c r="G738" s="6">
        <v>0</v>
      </c>
      <c r="H738" s="8">
        <v>0</v>
      </c>
      <c r="I738" s="6">
        <v>134.7</v>
      </c>
      <c r="J738" s="6">
        <v>6.5</v>
      </c>
      <c r="K738" s="6">
        <v>5.65</v>
      </c>
      <c r="L738" s="6">
        <v>8.15</v>
      </c>
      <c r="M738" s="6">
        <v>6.6</v>
      </c>
      <c r="N738" s="6">
        <v>4.1</v>
      </c>
    </row>
    <row r="739" hidden="1" spans="1:14">
      <c r="A739" s="4" t="s">
        <v>2125</v>
      </c>
      <c r="B739" s="5" t="s">
        <v>10</v>
      </c>
      <c r="C739" s="6" t="s">
        <v>40</v>
      </c>
      <c r="D739" s="6">
        <v>9.992</v>
      </c>
      <c r="E739" s="8">
        <v>6678360</v>
      </c>
      <c r="F739" s="8">
        <v>128066</v>
      </c>
      <c r="G739" s="6">
        <v>0</v>
      </c>
      <c r="H739" s="8">
        <v>0</v>
      </c>
      <c r="I739" s="6">
        <v>124.8</v>
      </c>
      <c r="J739" s="6">
        <v>4</v>
      </c>
      <c r="K739" s="6">
        <v>5.13</v>
      </c>
      <c r="L739" s="6">
        <v>9.69</v>
      </c>
      <c r="M739" s="6">
        <v>8.2</v>
      </c>
      <c r="N739" s="6">
        <v>1.65</v>
      </c>
    </row>
    <row r="740" hidden="1" spans="1:14">
      <c r="A740" s="4" t="s">
        <v>2126</v>
      </c>
      <c r="B740" s="5" t="s">
        <v>10</v>
      </c>
      <c r="C740" s="6" t="s">
        <v>44</v>
      </c>
      <c r="D740" s="6">
        <v>10.823</v>
      </c>
      <c r="E740" s="8">
        <v>3522439</v>
      </c>
      <c r="F740" s="8">
        <v>97397</v>
      </c>
      <c r="G740" s="6">
        <v>0</v>
      </c>
      <c r="H740" s="8">
        <v>0</v>
      </c>
      <c r="I740" s="6">
        <v>130.3</v>
      </c>
      <c r="J740" s="6">
        <v>6.25</v>
      </c>
      <c r="K740" s="6">
        <v>6.7</v>
      </c>
      <c r="L740" s="6">
        <v>6.99</v>
      </c>
      <c r="M740" s="6">
        <v>6.7</v>
      </c>
      <c r="N740" s="6">
        <v>1.8</v>
      </c>
    </row>
    <row r="741" hidden="1" spans="1:14">
      <c r="A741" s="4" t="s">
        <v>2127</v>
      </c>
      <c r="B741" s="5" t="s">
        <v>10</v>
      </c>
      <c r="C741" s="6" t="s">
        <v>44</v>
      </c>
      <c r="D741" s="6">
        <v>11.374</v>
      </c>
      <c r="E741" s="8">
        <v>2916659</v>
      </c>
      <c r="F741" s="8">
        <v>2042</v>
      </c>
      <c r="G741" s="6">
        <v>0</v>
      </c>
      <c r="H741" s="8">
        <v>0</v>
      </c>
      <c r="I741" s="6">
        <v>130.3</v>
      </c>
      <c r="J741" s="6">
        <v>6.25</v>
      </c>
      <c r="K741" s="6">
        <v>6.7</v>
      </c>
      <c r="L741" s="6">
        <v>6.99</v>
      </c>
      <c r="M741" s="6">
        <v>6.7</v>
      </c>
      <c r="N741" s="6">
        <v>1.8</v>
      </c>
    </row>
    <row r="742" hidden="1" spans="1:14">
      <c r="A742" s="4" t="s">
        <v>2128</v>
      </c>
      <c r="B742" s="5" t="s">
        <v>10</v>
      </c>
      <c r="C742" s="6" t="s">
        <v>36</v>
      </c>
      <c r="D742" s="6">
        <v>10.34</v>
      </c>
      <c r="E742" s="8">
        <v>5099547</v>
      </c>
      <c r="F742" s="8">
        <v>208702</v>
      </c>
      <c r="G742" s="6">
        <v>0</v>
      </c>
      <c r="H742" s="8">
        <v>0</v>
      </c>
      <c r="I742" s="6">
        <v>118.2</v>
      </c>
      <c r="J742" s="6">
        <v>4</v>
      </c>
      <c r="K742" s="6">
        <v>6.62</v>
      </c>
      <c r="L742" s="6">
        <v>-5.78</v>
      </c>
      <c r="M742" s="6">
        <v>9.3</v>
      </c>
      <c r="N742" s="6">
        <v>6.4</v>
      </c>
    </row>
    <row r="743" hidden="1" spans="1:14">
      <c r="A743" s="4" t="s">
        <v>2129</v>
      </c>
      <c r="B743" s="5" t="s">
        <v>10</v>
      </c>
      <c r="C743" s="6" t="s">
        <v>39</v>
      </c>
      <c r="D743" s="6">
        <v>10.191</v>
      </c>
      <c r="E743" s="8">
        <v>6827445</v>
      </c>
      <c r="F743" s="8">
        <v>319604</v>
      </c>
      <c r="G743" s="6">
        <v>0</v>
      </c>
      <c r="H743" s="8">
        <v>0</v>
      </c>
      <c r="I743" s="6">
        <v>124.8</v>
      </c>
      <c r="J743" s="6">
        <v>4</v>
      </c>
      <c r="K743" s="6">
        <v>5.13</v>
      </c>
      <c r="L743" s="6">
        <v>9.69</v>
      </c>
      <c r="M743" s="6">
        <v>8.7</v>
      </c>
      <c r="N743" s="6">
        <v>2.1</v>
      </c>
    </row>
    <row r="744" hidden="1" spans="1:14">
      <c r="A744" s="4" t="s">
        <v>2130</v>
      </c>
      <c r="B744" s="5" t="s">
        <v>10</v>
      </c>
      <c r="C744" s="6" t="s">
        <v>36</v>
      </c>
      <c r="D744" s="6">
        <v>9.849</v>
      </c>
      <c r="E744" s="8">
        <v>4050305</v>
      </c>
      <c r="F744" s="8">
        <v>44943</v>
      </c>
      <c r="G744" s="6">
        <v>0</v>
      </c>
      <c r="H744" s="8">
        <v>0</v>
      </c>
      <c r="I744" s="6">
        <v>118.2</v>
      </c>
      <c r="J744" s="6">
        <v>4</v>
      </c>
      <c r="K744" s="6">
        <v>6.62</v>
      </c>
      <c r="L744" s="6">
        <v>-5.78</v>
      </c>
      <c r="M744" s="6">
        <v>9.3</v>
      </c>
      <c r="N744" s="6">
        <v>6.4</v>
      </c>
    </row>
    <row r="745" hidden="1" spans="1:14">
      <c r="A745" s="4" t="s">
        <v>2131</v>
      </c>
      <c r="B745" s="5" t="s">
        <v>10</v>
      </c>
      <c r="C745" s="6" t="s">
        <v>40</v>
      </c>
      <c r="D745" s="6">
        <v>9.888</v>
      </c>
      <c r="E745" s="8">
        <v>5751001</v>
      </c>
      <c r="F745" s="8">
        <v>147024</v>
      </c>
      <c r="G745" s="6">
        <v>0</v>
      </c>
      <c r="H745" s="8">
        <v>0</v>
      </c>
      <c r="I745" s="6">
        <v>124.8</v>
      </c>
      <c r="J745" s="6">
        <v>4</v>
      </c>
      <c r="K745" s="6">
        <v>5.13</v>
      </c>
      <c r="L745" s="6">
        <v>9.69</v>
      </c>
      <c r="M745" s="6">
        <v>8.2</v>
      </c>
      <c r="N745" s="6">
        <v>1.65</v>
      </c>
    </row>
    <row r="746" hidden="1" spans="1:14">
      <c r="A746" s="4" t="s">
        <v>2132</v>
      </c>
      <c r="B746" s="5" t="s">
        <v>10</v>
      </c>
      <c r="C746" s="6" t="s">
        <v>38</v>
      </c>
      <c r="D746" s="6">
        <v>9.756</v>
      </c>
      <c r="E746" s="8">
        <v>7491658</v>
      </c>
      <c r="F746" s="8">
        <v>101006</v>
      </c>
      <c r="G746" s="6">
        <v>0</v>
      </c>
      <c r="H746" s="8">
        <v>0</v>
      </c>
      <c r="I746" s="6">
        <v>124.8</v>
      </c>
      <c r="J746" s="6">
        <v>4</v>
      </c>
      <c r="K746" s="6">
        <v>5.13</v>
      </c>
      <c r="L746" s="6">
        <v>9.69</v>
      </c>
      <c r="M746" s="6">
        <v>9.8</v>
      </c>
      <c r="N746" s="6">
        <v>8.7</v>
      </c>
    </row>
    <row r="747" hidden="1" spans="1:14">
      <c r="A747" s="4" t="s">
        <v>2133</v>
      </c>
      <c r="B747" s="5" t="s">
        <v>10</v>
      </c>
      <c r="C747" s="6" t="s">
        <v>38</v>
      </c>
      <c r="D747" s="6">
        <v>10.209</v>
      </c>
      <c r="E747" s="8">
        <v>4377842</v>
      </c>
      <c r="F747" s="8">
        <v>46159</v>
      </c>
      <c r="G747" s="6">
        <v>0</v>
      </c>
      <c r="H747" s="8">
        <v>0</v>
      </c>
      <c r="I747" s="6">
        <v>124.8</v>
      </c>
      <c r="J747" s="6">
        <v>4</v>
      </c>
      <c r="K747" s="6">
        <v>5.13</v>
      </c>
      <c r="L747" s="6">
        <v>9.69</v>
      </c>
      <c r="M747" s="6">
        <v>9.8</v>
      </c>
      <c r="N747" s="6">
        <v>8.7</v>
      </c>
    </row>
    <row r="748" hidden="1" spans="1:14">
      <c r="A748" s="4" t="s">
        <v>2134</v>
      </c>
      <c r="B748" s="5" t="s">
        <v>10</v>
      </c>
      <c r="C748" s="6" t="s">
        <v>39</v>
      </c>
      <c r="D748" s="6">
        <v>10.165</v>
      </c>
      <c r="E748" s="8">
        <v>5904164</v>
      </c>
      <c r="F748" s="8">
        <v>73971</v>
      </c>
      <c r="G748" s="6">
        <v>0</v>
      </c>
      <c r="H748" s="8">
        <v>0</v>
      </c>
      <c r="I748" s="6">
        <v>124.8</v>
      </c>
      <c r="J748" s="6">
        <v>4</v>
      </c>
      <c r="K748" s="6">
        <v>5.13</v>
      </c>
      <c r="L748" s="6">
        <v>9.69</v>
      </c>
      <c r="M748" s="6">
        <v>8.7</v>
      </c>
      <c r="N748" s="6">
        <v>2.1</v>
      </c>
    </row>
    <row r="749" hidden="1" spans="1:14">
      <c r="A749" s="4" t="s">
        <v>2135</v>
      </c>
      <c r="B749" s="5" t="s">
        <v>10</v>
      </c>
      <c r="C749" s="6" t="s">
        <v>43</v>
      </c>
      <c r="D749" s="6">
        <v>10.879</v>
      </c>
      <c r="E749" s="8">
        <v>3486906</v>
      </c>
      <c r="F749" s="8">
        <v>125043</v>
      </c>
      <c r="G749" s="6">
        <v>0</v>
      </c>
      <c r="H749" s="8">
        <v>0</v>
      </c>
      <c r="I749" s="6">
        <v>130.3</v>
      </c>
      <c r="J749" s="6">
        <v>5.9</v>
      </c>
      <c r="K749" s="6">
        <v>6.7</v>
      </c>
      <c r="L749" s="6">
        <v>6.99</v>
      </c>
      <c r="M749" s="6">
        <v>7.2</v>
      </c>
      <c r="N749" s="6">
        <v>4.5</v>
      </c>
    </row>
    <row r="750" hidden="1" spans="1:14">
      <c r="A750" s="4" t="s">
        <v>2136</v>
      </c>
      <c r="B750" s="5" t="s">
        <v>10</v>
      </c>
      <c r="C750" s="6" t="s">
        <v>44</v>
      </c>
      <c r="D750" s="6">
        <v>11.362</v>
      </c>
      <c r="E750" s="8">
        <v>4967925</v>
      </c>
      <c r="F750" s="8">
        <v>113180</v>
      </c>
      <c r="G750" s="6">
        <v>0</v>
      </c>
      <c r="H750" s="8">
        <v>0</v>
      </c>
      <c r="I750" s="6">
        <v>130.3</v>
      </c>
      <c r="J750" s="6">
        <v>6.25</v>
      </c>
      <c r="K750" s="6">
        <v>6.7</v>
      </c>
      <c r="L750" s="6">
        <v>6.99</v>
      </c>
      <c r="M750" s="6">
        <v>6.7</v>
      </c>
      <c r="N750" s="6">
        <v>1.8</v>
      </c>
    </row>
    <row r="751" hidden="1" spans="1:14">
      <c r="A751" s="4" t="s">
        <v>2137</v>
      </c>
      <c r="B751" s="5" t="s">
        <v>10</v>
      </c>
      <c r="C751" s="6" t="s">
        <v>37</v>
      </c>
      <c r="D751" s="6">
        <v>10.297</v>
      </c>
      <c r="E751" s="8">
        <v>2104036</v>
      </c>
      <c r="F751" s="8">
        <v>20781</v>
      </c>
      <c r="G751" s="6">
        <v>0</v>
      </c>
      <c r="H751" s="8">
        <v>0</v>
      </c>
      <c r="I751" s="6">
        <v>124.8</v>
      </c>
      <c r="J751" s="6">
        <v>4</v>
      </c>
      <c r="K751" s="6">
        <v>5.13</v>
      </c>
      <c r="L751" s="6">
        <v>9.69</v>
      </c>
      <c r="M751" s="6">
        <v>12.6</v>
      </c>
      <c r="N751" s="6">
        <v>45</v>
      </c>
    </row>
    <row r="752" hidden="1" spans="1:14">
      <c r="A752" s="4" t="s">
        <v>2138</v>
      </c>
      <c r="B752" s="5" t="s">
        <v>10</v>
      </c>
      <c r="C752" s="6" t="s">
        <v>37</v>
      </c>
      <c r="D752" s="6">
        <v>8.807</v>
      </c>
      <c r="E752" s="8">
        <v>3589528</v>
      </c>
      <c r="F752" s="8">
        <v>33020</v>
      </c>
      <c r="G752" s="6">
        <v>0</v>
      </c>
      <c r="H752" s="8">
        <v>0</v>
      </c>
      <c r="I752" s="6">
        <v>124.8</v>
      </c>
      <c r="J752" s="6">
        <v>4</v>
      </c>
      <c r="K752" s="6">
        <v>5.13</v>
      </c>
      <c r="L752" s="6">
        <v>9.69</v>
      </c>
      <c r="M752" s="6">
        <v>12.6</v>
      </c>
      <c r="N752" s="6">
        <v>45</v>
      </c>
    </row>
    <row r="753" hidden="1" spans="1:14">
      <c r="A753" s="4" t="s">
        <v>2139</v>
      </c>
      <c r="B753" s="5" t="s">
        <v>10</v>
      </c>
      <c r="C753" s="6" t="s">
        <v>32</v>
      </c>
      <c r="D753" s="6">
        <v>10.031</v>
      </c>
      <c r="E753" s="8">
        <v>5775600</v>
      </c>
      <c r="F753" s="8">
        <v>3691899</v>
      </c>
      <c r="G753" s="6">
        <v>1</v>
      </c>
      <c r="H753" s="8">
        <v>2462183</v>
      </c>
      <c r="I753" s="6">
        <v>121.5</v>
      </c>
      <c r="J753" s="6">
        <v>5.15</v>
      </c>
      <c r="K753" s="6">
        <v>3.73</v>
      </c>
      <c r="L753" s="6">
        <v>3.87</v>
      </c>
      <c r="M753" s="6">
        <v>9.1</v>
      </c>
      <c r="N753" s="6">
        <v>-16.7</v>
      </c>
    </row>
    <row r="754" hidden="1" spans="1:14">
      <c r="A754" s="4" t="s">
        <v>2140</v>
      </c>
      <c r="B754" s="5" t="s">
        <v>10</v>
      </c>
      <c r="C754" s="6" t="s">
        <v>35</v>
      </c>
      <c r="D754" s="6">
        <v>11.54</v>
      </c>
      <c r="E754" s="8">
        <v>2284441</v>
      </c>
      <c r="F754" s="8">
        <v>56788</v>
      </c>
      <c r="G754" s="6">
        <v>0</v>
      </c>
      <c r="H754" s="8">
        <v>0</v>
      </c>
      <c r="I754" s="6">
        <v>118.2</v>
      </c>
      <c r="J754" s="6">
        <v>4</v>
      </c>
      <c r="K754" s="6">
        <v>6.62</v>
      </c>
      <c r="L754" s="6">
        <v>-5.78</v>
      </c>
      <c r="M754" s="6">
        <v>10.3</v>
      </c>
      <c r="N754" s="6">
        <v>-1.6</v>
      </c>
    </row>
    <row r="755" hidden="1" spans="1:14">
      <c r="A755" s="4" t="s">
        <v>2141</v>
      </c>
      <c r="B755" s="5" t="s">
        <v>10</v>
      </c>
      <c r="C755" s="6" t="s">
        <v>41</v>
      </c>
      <c r="D755" s="6">
        <v>10.414</v>
      </c>
      <c r="E755" s="8">
        <v>3926113</v>
      </c>
      <c r="F755" s="8">
        <v>181335</v>
      </c>
      <c r="G755" s="6">
        <v>0</v>
      </c>
      <c r="H755" s="8">
        <v>0</v>
      </c>
      <c r="I755" s="6">
        <v>130.3</v>
      </c>
      <c r="J755" s="6">
        <v>4</v>
      </c>
      <c r="K755" s="6">
        <v>6.7</v>
      </c>
      <c r="L755" s="6">
        <v>6.99</v>
      </c>
      <c r="M755" s="6">
        <v>6.6</v>
      </c>
      <c r="N755" s="6">
        <v>13.8</v>
      </c>
    </row>
    <row r="756" hidden="1" spans="1:14">
      <c r="A756" s="4" t="s">
        <v>2142</v>
      </c>
      <c r="B756" s="5" t="s">
        <v>10</v>
      </c>
      <c r="C756" s="6" t="s">
        <v>44</v>
      </c>
      <c r="D756" s="6">
        <v>10.689</v>
      </c>
      <c r="E756" s="8">
        <v>3710796</v>
      </c>
      <c r="F756" s="8">
        <v>39653</v>
      </c>
      <c r="G756" s="6">
        <v>0</v>
      </c>
      <c r="H756" s="8">
        <v>0</v>
      </c>
      <c r="I756" s="6">
        <v>130.3</v>
      </c>
      <c r="J756" s="6">
        <v>6.25</v>
      </c>
      <c r="K756" s="6">
        <v>6.7</v>
      </c>
      <c r="L756" s="6">
        <v>6.99</v>
      </c>
      <c r="M756" s="6">
        <v>6.7</v>
      </c>
      <c r="N756" s="6">
        <v>1.8</v>
      </c>
    </row>
    <row r="757" hidden="1" spans="1:14">
      <c r="A757" s="4" t="s">
        <v>2143</v>
      </c>
      <c r="B757" s="5" t="s">
        <v>10</v>
      </c>
      <c r="C757" s="6" t="s">
        <v>40</v>
      </c>
      <c r="D757" s="6">
        <v>8.436</v>
      </c>
      <c r="E757" s="8">
        <v>4953898</v>
      </c>
      <c r="F757" s="8">
        <v>216412</v>
      </c>
      <c r="G757" s="6">
        <v>0</v>
      </c>
      <c r="H757" s="8">
        <v>0</v>
      </c>
      <c r="I757" s="6">
        <v>124.8</v>
      </c>
      <c r="J757" s="6">
        <v>4</v>
      </c>
      <c r="K757" s="6">
        <v>5.13</v>
      </c>
      <c r="L757" s="6">
        <v>9.69</v>
      </c>
      <c r="M757" s="6">
        <v>8.2</v>
      </c>
      <c r="N757" s="6">
        <v>1.65</v>
      </c>
    </row>
    <row r="758" hidden="1" spans="1:14">
      <c r="A758" s="4" t="s">
        <v>2144</v>
      </c>
      <c r="B758" s="5" t="s">
        <v>10</v>
      </c>
      <c r="C758" s="6" t="s">
        <v>41</v>
      </c>
      <c r="D758" s="6">
        <v>10.566</v>
      </c>
      <c r="E758" s="8">
        <v>4671934</v>
      </c>
      <c r="F758" s="8">
        <v>33733</v>
      </c>
      <c r="G758" s="6">
        <v>0</v>
      </c>
      <c r="H758" s="8">
        <v>0</v>
      </c>
      <c r="I758" s="6">
        <v>130.3</v>
      </c>
      <c r="J758" s="6">
        <v>4</v>
      </c>
      <c r="K758" s="6">
        <v>6.7</v>
      </c>
      <c r="L758" s="6">
        <v>6.99</v>
      </c>
      <c r="M758" s="6">
        <v>6.6</v>
      </c>
      <c r="N758" s="6">
        <v>13.8</v>
      </c>
    </row>
    <row r="759" hidden="1" spans="1:14">
      <c r="A759" s="4" t="s">
        <v>2145</v>
      </c>
      <c r="B759" s="5" t="s">
        <v>10</v>
      </c>
      <c r="C759" s="6" t="s">
        <v>33</v>
      </c>
      <c r="D759" s="6">
        <v>10.001</v>
      </c>
      <c r="E759" s="8">
        <v>1751039</v>
      </c>
      <c r="F759" s="8">
        <v>1275303</v>
      </c>
      <c r="G759" s="6">
        <v>1</v>
      </c>
      <c r="H759" s="8">
        <v>696190</v>
      </c>
      <c r="I759" s="6">
        <v>118.2</v>
      </c>
      <c r="J759" s="6">
        <v>4.4</v>
      </c>
      <c r="K759" s="6">
        <v>6.62</v>
      </c>
      <c r="L759" s="6">
        <v>-5.78</v>
      </c>
      <c r="M759" s="6">
        <v>20.8</v>
      </c>
      <c r="N759" s="6">
        <v>-37</v>
      </c>
    </row>
    <row r="760" hidden="1" spans="1:14">
      <c r="A760" s="4" t="s">
        <v>2146</v>
      </c>
      <c r="B760" s="5" t="s">
        <v>10</v>
      </c>
      <c r="C760" s="6" t="s">
        <v>33</v>
      </c>
      <c r="D760" s="6">
        <v>10.83</v>
      </c>
      <c r="E760" s="8">
        <v>5633202</v>
      </c>
      <c r="F760" s="8">
        <v>2170547</v>
      </c>
      <c r="G760" s="6">
        <v>1</v>
      </c>
      <c r="H760" s="8">
        <v>1042698</v>
      </c>
      <c r="I760" s="6">
        <v>118.2</v>
      </c>
      <c r="J760" s="6">
        <v>4.4</v>
      </c>
      <c r="K760" s="6">
        <v>6.62</v>
      </c>
      <c r="L760" s="6">
        <v>-5.78</v>
      </c>
      <c r="M760" s="6">
        <v>20.8</v>
      </c>
      <c r="N760" s="6">
        <v>-37</v>
      </c>
    </row>
    <row r="761" hidden="1" spans="1:14">
      <c r="A761" s="4" t="s">
        <v>2147</v>
      </c>
      <c r="B761" s="5" t="s">
        <v>10</v>
      </c>
      <c r="C761" s="6" t="s">
        <v>30</v>
      </c>
      <c r="D761" s="6">
        <v>9.963</v>
      </c>
      <c r="E761" s="8">
        <v>1002407</v>
      </c>
      <c r="F761" s="8">
        <v>9107</v>
      </c>
      <c r="G761" s="6">
        <v>0</v>
      </c>
      <c r="H761" s="8">
        <v>0</v>
      </c>
      <c r="I761" s="6">
        <v>121.5</v>
      </c>
      <c r="J761" s="6">
        <v>5.75</v>
      </c>
      <c r="K761" s="6">
        <v>3.73</v>
      </c>
      <c r="L761" s="6">
        <v>3.87</v>
      </c>
      <c r="M761" s="6">
        <v>8.4</v>
      </c>
      <c r="N761" s="6">
        <v>0.6</v>
      </c>
    </row>
    <row r="762" hidden="1" spans="1:14">
      <c r="A762" s="4" t="s">
        <v>2148</v>
      </c>
      <c r="B762" s="5" t="s">
        <v>10</v>
      </c>
      <c r="C762" s="6" t="s">
        <v>36</v>
      </c>
      <c r="D762" s="6">
        <v>10.123</v>
      </c>
      <c r="E762" s="8">
        <v>6192501</v>
      </c>
      <c r="F762" s="8">
        <v>182851</v>
      </c>
      <c r="G762" s="6">
        <v>0</v>
      </c>
      <c r="H762" s="8">
        <v>0</v>
      </c>
      <c r="I762" s="6">
        <v>118.2</v>
      </c>
      <c r="J762" s="6">
        <v>4</v>
      </c>
      <c r="K762" s="6">
        <v>6.62</v>
      </c>
      <c r="L762" s="6">
        <v>-5.78</v>
      </c>
      <c r="M762" s="6">
        <v>9.3</v>
      </c>
      <c r="N762" s="6">
        <v>6.4</v>
      </c>
    </row>
    <row r="763" hidden="1" spans="1:14">
      <c r="A763" s="4" t="s">
        <v>2149</v>
      </c>
      <c r="B763" s="5" t="s">
        <v>10</v>
      </c>
      <c r="C763" s="6" t="s">
        <v>41</v>
      </c>
      <c r="D763" s="6">
        <v>10.176</v>
      </c>
      <c r="E763" s="8">
        <v>2017139</v>
      </c>
      <c r="F763" s="8">
        <v>12291</v>
      </c>
      <c r="G763" s="6">
        <v>0</v>
      </c>
      <c r="H763" s="8">
        <v>0</v>
      </c>
      <c r="I763" s="6">
        <v>130.3</v>
      </c>
      <c r="J763" s="6">
        <v>4</v>
      </c>
      <c r="K763" s="6">
        <v>6.7</v>
      </c>
      <c r="L763" s="6">
        <v>6.99</v>
      </c>
      <c r="M763" s="6">
        <v>6.6</v>
      </c>
      <c r="N763" s="6">
        <v>13.8</v>
      </c>
    </row>
    <row r="764" hidden="1" spans="1:14">
      <c r="A764" s="4" t="s">
        <v>2150</v>
      </c>
      <c r="B764" s="5" t="s">
        <v>10</v>
      </c>
      <c r="C764" s="6" t="s">
        <v>37</v>
      </c>
      <c r="D764" s="6">
        <v>9.47</v>
      </c>
      <c r="E764" s="8">
        <v>387334</v>
      </c>
      <c r="F764" s="8">
        <v>5751</v>
      </c>
      <c r="G764" s="6">
        <v>0</v>
      </c>
      <c r="H764" s="8">
        <v>0</v>
      </c>
      <c r="I764" s="6">
        <v>124.8</v>
      </c>
      <c r="J764" s="6">
        <v>4</v>
      </c>
      <c r="K764" s="6">
        <v>5.13</v>
      </c>
      <c r="L764" s="6">
        <v>9.69</v>
      </c>
      <c r="M764" s="6">
        <v>12.6</v>
      </c>
      <c r="N764" s="6">
        <v>45</v>
      </c>
    </row>
    <row r="765" hidden="1" spans="1:14">
      <c r="A765" s="4" t="s">
        <v>2151</v>
      </c>
      <c r="B765" s="5" t="s">
        <v>10</v>
      </c>
      <c r="C765" s="6" t="s">
        <v>32</v>
      </c>
      <c r="D765" s="6">
        <v>9.879</v>
      </c>
      <c r="E765" s="8">
        <v>754860</v>
      </c>
      <c r="F765" s="8">
        <v>34485</v>
      </c>
      <c r="G765" s="6">
        <v>0</v>
      </c>
      <c r="H765" s="8">
        <v>0</v>
      </c>
      <c r="I765" s="6">
        <v>121.5</v>
      </c>
      <c r="J765" s="6">
        <v>5.15</v>
      </c>
      <c r="K765" s="6">
        <v>3.73</v>
      </c>
      <c r="L765" s="6">
        <v>3.87</v>
      </c>
      <c r="M765" s="6">
        <v>9.1</v>
      </c>
      <c r="N765" s="6">
        <v>-16.7</v>
      </c>
    </row>
    <row r="766" hidden="1" spans="1:14">
      <c r="A766" s="4" t="s">
        <v>2152</v>
      </c>
      <c r="B766" s="5" t="s">
        <v>10</v>
      </c>
      <c r="C766" s="6" t="s">
        <v>46</v>
      </c>
      <c r="D766" s="6">
        <v>11.277</v>
      </c>
      <c r="E766" s="8">
        <v>335014</v>
      </c>
      <c r="F766" s="8">
        <v>4817</v>
      </c>
      <c r="G766" s="6">
        <v>0</v>
      </c>
      <c r="H766" s="8">
        <v>0</v>
      </c>
      <c r="I766" s="6">
        <v>134.7</v>
      </c>
      <c r="J766" s="6">
        <v>6.5</v>
      </c>
      <c r="K766" s="6">
        <v>5.65</v>
      </c>
      <c r="L766" s="6">
        <v>8.15</v>
      </c>
      <c r="M766" s="6">
        <v>6.6</v>
      </c>
      <c r="N766" s="6">
        <v>9.7</v>
      </c>
    </row>
    <row r="767" hidden="1" spans="1:14">
      <c r="A767" s="4" t="s">
        <v>2153</v>
      </c>
      <c r="B767" s="5" t="s">
        <v>10</v>
      </c>
      <c r="C767" s="6" t="s">
        <v>39</v>
      </c>
      <c r="D767" s="6">
        <v>8.499</v>
      </c>
      <c r="E767" s="8">
        <v>2370479</v>
      </c>
      <c r="F767" s="8">
        <v>56259</v>
      </c>
      <c r="G767" s="6">
        <v>0</v>
      </c>
      <c r="H767" s="8">
        <v>0</v>
      </c>
      <c r="I767" s="6">
        <v>124.8</v>
      </c>
      <c r="J767" s="6">
        <v>4</v>
      </c>
      <c r="K767" s="6">
        <v>5.13</v>
      </c>
      <c r="L767" s="6">
        <v>9.69</v>
      </c>
      <c r="M767" s="6">
        <v>8.7</v>
      </c>
      <c r="N767" s="6">
        <v>2.1</v>
      </c>
    </row>
    <row r="768" hidden="1" spans="1:14">
      <c r="A768" s="4" t="s">
        <v>2154</v>
      </c>
      <c r="B768" s="5" t="s">
        <v>10</v>
      </c>
      <c r="C768" s="6" t="s">
        <v>42</v>
      </c>
      <c r="D768" s="6">
        <v>9.592</v>
      </c>
      <c r="E768" s="8">
        <v>3504305</v>
      </c>
      <c r="F768" s="8">
        <v>82625</v>
      </c>
      <c r="G768" s="6">
        <v>0</v>
      </c>
      <c r="H768" s="8">
        <v>0</v>
      </c>
      <c r="I768" s="6">
        <v>130.3</v>
      </c>
      <c r="J768" s="6">
        <v>4.9</v>
      </c>
      <c r="K768" s="6">
        <v>6.7</v>
      </c>
      <c r="L768" s="6">
        <v>6.99</v>
      </c>
      <c r="M768" s="6">
        <v>6.6</v>
      </c>
      <c r="N768" s="6">
        <v>5.6</v>
      </c>
    </row>
    <row r="769" hidden="1" spans="1:14">
      <c r="A769" s="4" t="s">
        <v>2155</v>
      </c>
      <c r="B769" s="5" t="s">
        <v>10</v>
      </c>
      <c r="C769" s="6" t="s">
        <v>72</v>
      </c>
      <c r="D769" s="6">
        <v>10.706</v>
      </c>
      <c r="E769" s="8">
        <v>4253195</v>
      </c>
      <c r="F769" s="8">
        <v>127763</v>
      </c>
      <c r="G769" s="6">
        <v>0</v>
      </c>
      <c r="H769" s="8">
        <v>0</v>
      </c>
      <c r="I769" s="6">
        <v>120</v>
      </c>
      <c r="J769" s="6">
        <v>6.5</v>
      </c>
      <c r="K769" s="6">
        <v>4.87</v>
      </c>
      <c r="L769" s="6">
        <v>6.5</v>
      </c>
      <c r="M769" s="6">
        <v>6.5</v>
      </c>
      <c r="N769" s="6">
        <v>4</v>
      </c>
    </row>
    <row r="770" hidden="1" spans="1:14">
      <c r="A770" s="4" t="s">
        <v>2156</v>
      </c>
      <c r="B770" s="5" t="s">
        <v>10</v>
      </c>
      <c r="C770" s="6" t="s">
        <v>38</v>
      </c>
      <c r="D770" s="6">
        <v>10.747</v>
      </c>
      <c r="E770" s="8">
        <v>4711617</v>
      </c>
      <c r="F770" s="8">
        <v>139191</v>
      </c>
      <c r="G770" s="6">
        <v>0</v>
      </c>
      <c r="H770" s="8">
        <v>0</v>
      </c>
      <c r="I770" s="6">
        <v>124.8</v>
      </c>
      <c r="J770" s="6">
        <v>4</v>
      </c>
      <c r="K770" s="6">
        <v>5.13</v>
      </c>
      <c r="L770" s="6">
        <v>9.69</v>
      </c>
      <c r="M770" s="6">
        <v>9.8</v>
      </c>
      <c r="N770" s="6">
        <v>8.7</v>
      </c>
    </row>
    <row r="771" hidden="1" spans="1:14">
      <c r="A771" s="4" t="s">
        <v>2157</v>
      </c>
      <c r="B771" s="5" t="s">
        <v>10</v>
      </c>
      <c r="C771" s="6" t="s">
        <v>30</v>
      </c>
      <c r="D771" s="6">
        <v>9.788</v>
      </c>
      <c r="E771" s="8">
        <v>6892948</v>
      </c>
      <c r="F771" s="8">
        <v>138750</v>
      </c>
      <c r="G771" s="6">
        <v>0</v>
      </c>
      <c r="H771" s="8">
        <v>0</v>
      </c>
      <c r="I771" s="6">
        <v>121.5</v>
      </c>
      <c r="J771" s="6">
        <v>5.75</v>
      </c>
      <c r="K771" s="6">
        <v>3.73</v>
      </c>
      <c r="L771" s="6">
        <v>3.87</v>
      </c>
      <c r="M771" s="6">
        <v>8.4</v>
      </c>
      <c r="N771" s="6">
        <v>0.6</v>
      </c>
    </row>
    <row r="772" hidden="1" spans="1:14">
      <c r="A772" s="4" t="s">
        <v>2158</v>
      </c>
      <c r="B772" s="5" t="s">
        <v>10</v>
      </c>
      <c r="C772" s="6" t="s">
        <v>45</v>
      </c>
      <c r="D772" s="6">
        <v>10.682</v>
      </c>
      <c r="E772" s="8">
        <v>3366942</v>
      </c>
      <c r="F772" s="8">
        <v>138495</v>
      </c>
      <c r="G772" s="6">
        <v>0</v>
      </c>
      <c r="H772" s="8">
        <v>0</v>
      </c>
      <c r="I772" s="6">
        <v>134.7</v>
      </c>
      <c r="J772" s="6">
        <v>6.5</v>
      </c>
      <c r="K772" s="6">
        <v>5.65</v>
      </c>
      <c r="L772" s="6">
        <v>8.15</v>
      </c>
      <c r="M772" s="6">
        <v>6.6</v>
      </c>
      <c r="N772" s="6">
        <v>4.1</v>
      </c>
    </row>
    <row r="773" hidden="1" spans="1:14">
      <c r="A773" s="4" t="s">
        <v>2159</v>
      </c>
      <c r="B773" s="5" t="s">
        <v>10</v>
      </c>
      <c r="C773" s="6" t="s">
        <v>39</v>
      </c>
      <c r="D773" s="6">
        <v>9.579</v>
      </c>
      <c r="E773" s="8">
        <v>1478016</v>
      </c>
      <c r="F773" s="8">
        <v>13297</v>
      </c>
      <c r="G773" s="6">
        <v>0</v>
      </c>
      <c r="H773" s="8">
        <v>0</v>
      </c>
      <c r="I773" s="6">
        <v>124.8</v>
      </c>
      <c r="J773" s="6">
        <v>4</v>
      </c>
      <c r="K773" s="6">
        <v>5.13</v>
      </c>
      <c r="L773" s="6">
        <v>9.69</v>
      </c>
      <c r="M773" s="6">
        <v>8.7</v>
      </c>
      <c r="N773" s="6">
        <v>2.1</v>
      </c>
    </row>
    <row r="774" hidden="1" spans="1:14">
      <c r="A774" s="4" t="s">
        <v>2160</v>
      </c>
      <c r="B774" s="5" t="s">
        <v>10</v>
      </c>
      <c r="C774" s="6" t="s">
        <v>42</v>
      </c>
      <c r="D774" s="6">
        <v>10.964</v>
      </c>
      <c r="E774" s="8">
        <v>3820663</v>
      </c>
      <c r="F774" s="8">
        <v>3308105</v>
      </c>
      <c r="G774" s="6">
        <v>1</v>
      </c>
      <c r="H774" s="8">
        <v>2294061</v>
      </c>
      <c r="I774" s="6">
        <v>130.3</v>
      </c>
      <c r="J774" s="6">
        <v>4.9</v>
      </c>
      <c r="K774" s="6">
        <v>6.7</v>
      </c>
      <c r="L774" s="6">
        <v>6.99</v>
      </c>
      <c r="M774" s="6">
        <v>6.6</v>
      </c>
      <c r="N774" s="6">
        <v>5.6</v>
      </c>
    </row>
    <row r="775" hidden="1" spans="1:14">
      <c r="A775" s="4" t="s">
        <v>2161</v>
      </c>
      <c r="B775" s="5" t="s">
        <v>10</v>
      </c>
      <c r="C775" s="6" t="s">
        <v>33</v>
      </c>
      <c r="D775" s="6">
        <v>10.747</v>
      </c>
      <c r="E775" s="8">
        <v>3449485</v>
      </c>
      <c r="F775" s="8">
        <v>2747534</v>
      </c>
      <c r="G775" s="6">
        <v>1</v>
      </c>
      <c r="H775" s="8">
        <v>1490710</v>
      </c>
      <c r="I775" s="6">
        <v>118.2</v>
      </c>
      <c r="J775" s="6">
        <v>4.4</v>
      </c>
      <c r="K775" s="6">
        <v>6.62</v>
      </c>
      <c r="L775" s="6">
        <v>-5.78</v>
      </c>
      <c r="M775" s="6">
        <v>20.8</v>
      </c>
      <c r="N775" s="6">
        <v>-37</v>
      </c>
    </row>
    <row r="776" hidden="1" spans="1:14">
      <c r="A776" s="4" t="s">
        <v>2162</v>
      </c>
      <c r="B776" s="5" t="s">
        <v>10</v>
      </c>
      <c r="C776" s="6" t="s">
        <v>34</v>
      </c>
      <c r="D776" s="6">
        <v>9.918</v>
      </c>
      <c r="E776" s="8">
        <v>276233</v>
      </c>
      <c r="F776" s="8">
        <v>4564</v>
      </c>
      <c r="G776" s="6">
        <v>0</v>
      </c>
      <c r="H776" s="8">
        <v>0</v>
      </c>
      <c r="I776" s="6">
        <v>118.2</v>
      </c>
      <c r="J776" s="6">
        <v>4</v>
      </c>
      <c r="K776" s="6">
        <v>6.62</v>
      </c>
      <c r="L776" s="6">
        <v>-5.78</v>
      </c>
      <c r="M776" s="6">
        <v>13.2</v>
      </c>
      <c r="N776" s="6">
        <v>-8.6</v>
      </c>
    </row>
    <row r="777" hidden="1" spans="1:14">
      <c r="A777" s="4" t="s">
        <v>2163</v>
      </c>
      <c r="B777" s="5" t="s">
        <v>10</v>
      </c>
      <c r="C777" s="6" t="s">
        <v>35</v>
      </c>
      <c r="D777" s="6">
        <v>9.921</v>
      </c>
      <c r="E777" s="8">
        <v>1071295</v>
      </c>
      <c r="F777" s="8">
        <v>48080</v>
      </c>
      <c r="G777" s="6">
        <v>0</v>
      </c>
      <c r="H777" s="8">
        <v>0</v>
      </c>
      <c r="I777" s="6">
        <v>118.2</v>
      </c>
      <c r="J777" s="6">
        <v>4</v>
      </c>
      <c r="K777" s="6">
        <v>6.62</v>
      </c>
      <c r="L777" s="6">
        <v>-5.78</v>
      </c>
      <c r="M777" s="6">
        <v>10.3</v>
      </c>
      <c r="N777" s="6">
        <v>-1.6</v>
      </c>
    </row>
    <row r="778" hidden="1" spans="1:14">
      <c r="A778" s="4" t="s">
        <v>2164</v>
      </c>
      <c r="B778" s="5" t="s">
        <v>10</v>
      </c>
      <c r="C778" s="6" t="s">
        <v>29</v>
      </c>
      <c r="D778" s="6">
        <v>10.577</v>
      </c>
      <c r="E778" s="8">
        <v>5526240</v>
      </c>
      <c r="F778" s="8">
        <v>77457</v>
      </c>
      <c r="G778" s="6">
        <v>0</v>
      </c>
      <c r="H778" s="8">
        <v>0</v>
      </c>
      <c r="I778" s="6">
        <v>121.5</v>
      </c>
      <c r="J778" s="6">
        <v>6</v>
      </c>
      <c r="K778" s="6">
        <v>3.73</v>
      </c>
      <c r="L778" s="6">
        <v>3.87</v>
      </c>
      <c r="M778" s="6">
        <v>7</v>
      </c>
      <c r="N778" s="6">
        <v>3.6</v>
      </c>
    </row>
    <row r="779" hidden="1" spans="1:14">
      <c r="A779" s="4" t="s">
        <v>2165</v>
      </c>
      <c r="B779" s="5" t="s">
        <v>10</v>
      </c>
      <c r="C779" s="6" t="s">
        <v>46</v>
      </c>
      <c r="D779" s="6">
        <v>11.083</v>
      </c>
      <c r="E779" s="8">
        <v>1223270</v>
      </c>
      <c r="F779" s="8">
        <v>48490</v>
      </c>
      <c r="G779" s="6">
        <v>0</v>
      </c>
      <c r="H779" s="8">
        <v>0</v>
      </c>
      <c r="I779" s="6">
        <v>134.7</v>
      </c>
      <c r="J779" s="6">
        <v>6.5</v>
      </c>
      <c r="K779" s="6">
        <v>5.65</v>
      </c>
      <c r="L779" s="6">
        <v>8.15</v>
      </c>
      <c r="M779" s="6">
        <v>6.6</v>
      </c>
      <c r="N779" s="6">
        <v>9.7</v>
      </c>
    </row>
    <row r="780" hidden="1" spans="1:14">
      <c r="A780" s="4" t="s">
        <v>2166</v>
      </c>
      <c r="B780" s="5" t="s">
        <v>10</v>
      </c>
      <c r="C780" s="6" t="s">
        <v>42</v>
      </c>
      <c r="D780" s="6">
        <v>10.533</v>
      </c>
      <c r="E780" s="8">
        <v>3063772</v>
      </c>
      <c r="F780" s="8">
        <v>135489</v>
      </c>
      <c r="G780" s="6">
        <v>0</v>
      </c>
      <c r="H780" s="8">
        <v>0</v>
      </c>
      <c r="I780" s="6">
        <v>130.3</v>
      </c>
      <c r="J780" s="6">
        <v>4.9</v>
      </c>
      <c r="K780" s="6">
        <v>6.7</v>
      </c>
      <c r="L780" s="6">
        <v>6.99</v>
      </c>
      <c r="M780" s="6">
        <v>6.6</v>
      </c>
      <c r="N780" s="6">
        <v>5.6</v>
      </c>
    </row>
    <row r="781" hidden="1" spans="1:14">
      <c r="A781" s="4" t="s">
        <v>2167</v>
      </c>
      <c r="B781" s="5" t="s">
        <v>10</v>
      </c>
      <c r="C781" s="6" t="s">
        <v>34</v>
      </c>
      <c r="D781" s="6">
        <v>10.197</v>
      </c>
      <c r="E781" s="8">
        <v>4250712</v>
      </c>
      <c r="F781" s="8">
        <v>18736</v>
      </c>
      <c r="G781" s="6">
        <v>0</v>
      </c>
      <c r="H781" s="8">
        <v>0</v>
      </c>
      <c r="I781" s="6">
        <v>118.2</v>
      </c>
      <c r="J781" s="6">
        <v>4</v>
      </c>
      <c r="K781" s="6">
        <v>6.62</v>
      </c>
      <c r="L781" s="6">
        <v>-5.78</v>
      </c>
      <c r="M781" s="6">
        <v>13.2</v>
      </c>
      <c r="N781" s="6">
        <v>-8.6</v>
      </c>
    </row>
    <row r="782" hidden="1" spans="1:14">
      <c r="A782" s="4" t="s">
        <v>2168</v>
      </c>
      <c r="B782" s="5" t="s">
        <v>10</v>
      </c>
      <c r="C782" s="6" t="s">
        <v>48</v>
      </c>
      <c r="D782" s="6">
        <v>11.425</v>
      </c>
      <c r="E782" s="8">
        <v>1523017</v>
      </c>
      <c r="F782" s="8">
        <v>1125358</v>
      </c>
      <c r="G782" s="6">
        <v>1</v>
      </c>
      <c r="H782" s="8">
        <v>669808</v>
      </c>
      <c r="I782" s="6">
        <v>134.7</v>
      </c>
      <c r="J782" s="6">
        <v>6.5</v>
      </c>
      <c r="K782" s="6">
        <v>5.65</v>
      </c>
      <c r="L782" s="6">
        <v>8.15</v>
      </c>
      <c r="M782" s="6">
        <v>6.7</v>
      </c>
      <c r="N782" s="6">
        <v>5</v>
      </c>
    </row>
    <row r="783" hidden="1" spans="1:14">
      <c r="A783" s="4" t="s">
        <v>2169</v>
      </c>
      <c r="B783" s="5" t="s">
        <v>10</v>
      </c>
      <c r="C783" s="6" t="s">
        <v>37</v>
      </c>
      <c r="D783" s="6">
        <v>10.141</v>
      </c>
      <c r="E783" s="8">
        <v>4783979</v>
      </c>
      <c r="F783" s="8">
        <v>209291</v>
      </c>
      <c r="G783" s="6">
        <v>0</v>
      </c>
      <c r="H783" s="8">
        <v>0</v>
      </c>
      <c r="I783" s="6">
        <v>124.8</v>
      </c>
      <c r="J783" s="6">
        <v>4</v>
      </c>
      <c r="K783" s="6">
        <v>5.13</v>
      </c>
      <c r="L783" s="6">
        <v>9.69</v>
      </c>
      <c r="M783" s="6">
        <v>12.6</v>
      </c>
      <c r="N783" s="6">
        <v>45</v>
      </c>
    </row>
    <row r="784" hidden="1" spans="1:14">
      <c r="A784" s="4" t="s">
        <v>2170</v>
      </c>
      <c r="B784" s="5" t="s">
        <v>10</v>
      </c>
      <c r="C784" s="6" t="s">
        <v>45</v>
      </c>
      <c r="D784" s="6">
        <v>10.688</v>
      </c>
      <c r="E784" s="8">
        <v>1797743</v>
      </c>
      <c r="F784" s="8">
        <v>39019</v>
      </c>
      <c r="G784" s="6">
        <v>0</v>
      </c>
      <c r="H784" s="8">
        <v>0</v>
      </c>
      <c r="I784" s="6">
        <v>134.7</v>
      </c>
      <c r="J784" s="6">
        <v>6.5</v>
      </c>
      <c r="K784" s="6">
        <v>5.65</v>
      </c>
      <c r="L784" s="6">
        <v>8.15</v>
      </c>
      <c r="M784" s="6">
        <v>6.6</v>
      </c>
      <c r="N784" s="6">
        <v>4.1</v>
      </c>
    </row>
    <row r="785" hidden="1" spans="1:14">
      <c r="A785" s="4" t="s">
        <v>2171</v>
      </c>
      <c r="B785" s="5" t="s">
        <v>10</v>
      </c>
      <c r="C785" s="6" t="s">
        <v>31</v>
      </c>
      <c r="D785" s="6">
        <v>10.277</v>
      </c>
      <c r="E785" s="8">
        <v>174887</v>
      </c>
      <c r="F785" s="8">
        <v>2769</v>
      </c>
      <c r="G785" s="6">
        <v>0</v>
      </c>
      <c r="H785" s="8">
        <v>0</v>
      </c>
      <c r="I785" s="6">
        <v>121.5</v>
      </c>
      <c r="J785" s="6">
        <v>5.4</v>
      </c>
      <c r="K785" s="6">
        <v>3.73</v>
      </c>
      <c r="L785" s="6">
        <v>3.87</v>
      </c>
      <c r="M785" s="6">
        <v>7.8</v>
      </c>
      <c r="N785" s="6">
        <v>0.7</v>
      </c>
    </row>
    <row r="786" hidden="1" spans="1:14">
      <c r="A786" s="4" t="s">
        <v>2172</v>
      </c>
      <c r="B786" s="5" t="s">
        <v>10</v>
      </c>
      <c r="C786" s="6" t="s">
        <v>42</v>
      </c>
      <c r="D786" s="6">
        <v>10.226</v>
      </c>
      <c r="E786" s="8">
        <v>3094086</v>
      </c>
      <c r="F786" s="8">
        <v>129763</v>
      </c>
      <c r="G786" s="6">
        <v>0</v>
      </c>
      <c r="H786" s="8">
        <v>0</v>
      </c>
      <c r="I786" s="6">
        <v>130.3</v>
      </c>
      <c r="J786" s="6">
        <v>4.9</v>
      </c>
      <c r="K786" s="6">
        <v>6.7</v>
      </c>
      <c r="L786" s="6">
        <v>6.99</v>
      </c>
      <c r="M786" s="6">
        <v>6.6</v>
      </c>
      <c r="N786" s="6">
        <v>5.6</v>
      </c>
    </row>
    <row r="787" hidden="1" spans="1:14">
      <c r="A787" s="4" t="s">
        <v>2173</v>
      </c>
      <c r="B787" s="5" t="s">
        <v>10</v>
      </c>
      <c r="C787" s="6" t="s">
        <v>46</v>
      </c>
      <c r="D787" s="6">
        <v>10.543</v>
      </c>
      <c r="E787" s="8">
        <v>2732657</v>
      </c>
      <c r="F787" s="8">
        <v>88220</v>
      </c>
      <c r="G787" s="6">
        <v>0</v>
      </c>
      <c r="H787" s="8">
        <v>0</v>
      </c>
      <c r="I787" s="6">
        <v>134.7</v>
      </c>
      <c r="J787" s="6">
        <v>6.5</v>
      </c>
      <c r="K787" s="6">
        <v>5.65</v>
      </c>
      <c r="L787" s="6">
        <v>8.15</v>
      </c>
      <c r="M787" s="6">
        <v>6.6</v>
      </c>
      <c r="N787" s="6">
        <v>9.7</v>
      </c>
    </row>
    <row r="788" hidden="1" spans="1:14">
      <c r="A788" s="4" t="s">
        <v>2174</v>
      </c>
      <c r="B788" s="5" t="s">
        <v>10</v>
      </c>
      <c r="C788" s="6" t="s">
        <v>31</v>
      </c>
      <c r="D788" s="6">
        <v>9.641</v>
      </c>
      <c r="E788" s="8">
        <v>4581189</v>
      </c>
      <c r="F788" s="8">
        <v>160398</v>
      </c>
      <c r="G788" s="6">
        <v>0</v>
      </c>
      <c r="H788" s="8">
        <v>0</v>
      </c>
      <c r="I788" s="6">
        <v>121.5</v>
      </c>
      <c r="J788" s="6">
        <v>5.4</v>
      </c>
      <c r="K788" s="6">
        <v>3.73</v>
      </c>
      <c r="L788" s="6">
        <v>3.87</v>
      </c>
      <c r="M788" s="6">
        <v>7.8</v>
      </c>
      <c r="N788" s="6">
        <v>0.7</v>
      </c>
    </row>
    <row r="789" hidden="1" spans="1:14">
      <c r="A789" s="4" t="s">
        <v>2175</v>
      </c>
      <c r="B789" s="5" t="s">
        <v>10</v>
      </c>
      <c r="C789" s="6" t="s">
        <v>43</v>
      </c>
      <c r="D789" s="6">
        <v>10.591</v>
      </c>
      <c r="E789" s="8">
        <v>5436352</v>
      </c>
      <c r="F789" s="8">
        <v>188973</v>
      </c>
      <c r="G789" s="6">
        <v>0</v>
      </c>
      <c r="H789" s="8">
        <v>0</v>
      </c>
      <c r="I789" s="6">
        <v>130.3</v>
      </c>
      <c r="J789" s="6">
        <v>5.9</v>
      </c>
      <c r="K789" s="6">
        <v>6.7</v>
      </c>
      <c r="L789" s="6">
        <v>6.99</v>
      </c>
      <c r="M789" s="6">
        <v>7.2</v>
      </c>
      <c r="N789" s="6">
        <v>4.5</v>
      </c>
    </row>
    <row r="790" hidden="1" spans="1:14">
      <c r="A790" s="4" t="s">
        <v>2176</v>
      </c>
      <c r="B790" s="5" t="s">
        <v>10</v>
      </c>
      <c r="C790" s="6" t="s">
        <v>31</v>
      </c>
      <c r="D790" s="6">
        <v>9.688</v>
      </c>
      <c r="E790" s="8">
        <v>6783849</v>
      </c>
      <c r="F790" s="8">
        <v>2070415</v>
      </c>
      <c r="G790" s="6">
        <v>1</v>
      </c>
      <c r="H790" s="8">
        <v>990150</v>
      </c>
      <c r="I790" s="6">
        <v>121.5</v>
      </c>
      <c r="J790" s="6">
        <v>5.4</v>
      </c>
      <c r="K790" s="6">
        <v>3.73</v>
      </c>
      <c r="L790" s="6">
        <v>3.87</v>
      </c>
      <c r="M790" s="6">
        <v>7.8</v>
      </c>
      <c r="N790" s="6">
        <v>0.7</v>
      </c>
    </row>
    <row r="791" hidden="1" spans="1:14">
      <c r="A791" s="4" t="s">
        <v>2177</v>
      </c>
      <c r="B791" s="5" t="s">
        <v>10</v>
      </c>
      <c r="C791" s="6" t="s">
        <v>42</v>
      </c>
      <c r="D791" s="6">
        <v>10.966</v>
      </c>
      <c r="E791" s="8">
        <v>5387734</v>
      </c>
      <c r="F791" s="8">
        <v>165425</v>
      </c>
      <c r="G791" s="6">
        <v>0</v>
      </c>
      <c r="H791" s="8">
        <v>0</v>
      </c>
      <c r="I791" s="6">
        <v>130.3</v>
      </c>
      <c r="J791" s="6">
        <v>4.9</v>
      </c>
      <c r="K791" s="6">
        <v>6.7</v>
      </c>
      <c r="L791" s="6">
        <v>6.99</v>
      </c>
      <c r="M791" s="6">
        <v>6.6</v>
      </c>
      <c r="N791" s="6">
        <v>5.6</v>
      </c>
    </row>
    <row r="792" hidden="1" spans="1:14">
      <c r="A792" s="4" t="s">
        <v>2178</v>
      </c>
      <c r="B792" s="5" t="s">
        <v>10</v>
      </c>
      <c r="C792" s="6" t="s">
        <v>41</v>
      </c>
      <c r="D792" s="6">
        <v>10.39</v>
      </c>
      <c r="E792" s="8">
        <v>5607456</v>
      </c>
      <c r="F792" s="8">
        <v>205756</v>
      </c>
      <c r="G792" s="6">
        <v>0</v>
      </c>
      <c r="H792" s="8">
        <v>0</v>
      </c>
      <c r="I792" s="6">
        <v>130.3</v>
      </c>
      <c r="J792" s="6">
        <v>4</v>
      </c>
      <c r="K792" s="6">
        <v>6.7</v>
      </c>
      <c r="L792" s="6">
        <v>6.99</v>
      </c>
      <c r="M792" s="6">
        <v>6.6</v>
      </c>
      <c r="N792" s="6">
        <v>13.8</v>
      </c>
    </row>
    <row r="793" hidden="1" spans="1:14">
      <c r="A793" s="4" t="s">
        <v>2179</v>
      </c>
      <c r="B793" s="5" t="s">
        <v>10</v>
      </c>
      <c r="C793" s="6" t="s">
        <v>31</v>
      </c>
      <c r="D793" s="6">
        <v>10.012</v>
      </c>
      <c r="E793" s="8">
        <v>4647542</v>
      </c>
      <c r="F793" s="8">
        <v>47441</v>
      </c>
      <c r="G793" s="6">
        <v>0</v>
      </c>
      <c r="H793" s="8">
        <v>0</v>
      </c>
      <c r="I793" s="6">
        <v>121.5</v>
      </c>
      <c r="J793" s="6">
        <v>5.4</v>
      </c>
      <c r="K793" s="6">
        <v>3.73</v>
      </c>
      <c r="L793" s="6">
        <v>3.87</v>
      </c>
      <c r="M793" s="6">
        <v>7.8</v>
      </c>
      <c r="N793" s="6">
        <v>0.7</v>
      </c>
    </row>
    <row r="794" hidden="1" spans="1:14">
      <c r="A794" s="4" t="s">
        <v>2180</v>
      </c>
      <c r="B794" s="5" t="s">
        <v>10</v>
      </c>
      <c r="C794" s="6" t="s">
        <v>48</v>
      </c>
      <c r="D794" s="6">
        <v>11.223</v>
      </c>
      <c r="E794" s="8">
        <v>567347</v>
      </c>
      <c r="F794" s="8">
        <v>1284</v>
      </c>
      <c r="G794" s="6">
        <v>0</v>
      </c>
      <c r="H794" s="8">
        <v>0</v>
      </c>
      <c r="I794" s="6">
        <v>134.7</v>
      </c>
      <c r="J794" s="6">
        <v>6.5</v>
      </c>
      <c r="K794" s="6">
        <v>5.65</v>
      </c>
      <c r="L794" s="6">
        <v>8.15</v>
      </c>
      <c r="M794" s="6">
        <v>6.7</v>
      </c>
      <c r="N794" s="6">
        <v>5</v>
      </c>
    </row>
    <row r="795" hidden="1" spans="1:14">
      <c r="A795" s="4" t="s">
        <v>2181</v>
      </c>
      <c r="B795" s="5" t="s">
        <v>10</v>
      </c>
      <c r="C795" s="6" t="s">
        <v>41</v>
      </c>
      <c r="D795" s="6">
        <v>10.009</v>
      </c>
      <c r="E795" s="8">
        <v>629723</v>
      </c>
      <c r="F795" s="8">
        <v>27333</v>
      </c>
      <c r="G795" s="6">
        <v>0</v>
      </c>
      <c r="H795" s="8">
        <v>0</v>
      </c>
      <c r="I795" s="6">
        <v>130.3</v>
      </c>
      <c r="J795" s="6">
        <v>4</v>
      </c>
      <c r="K795" s="6">
        <v>6.7</v>
      </c>
      <c r="L795" s="6">
        <v>6.99</v>
      </c>
      <c r="M795" s="6">
        <v>6.6</v>
      </c>
      <c r="N795" s="6">
        <v>13.8</v>
      </c>
    </row>
    <row r="796" hidden="1" spans="1:14">
      <c r="A796" s="4" t="s">
        <v>2182</v>
      </c>
      <c r="B796" s="5" t="s">
        <v>10</v>
      </c>
      <c r="C796" s="6" t="s">
        <v>35</v>
      </c>
      <c r="D796" s="6">
        <v>10.153</v>
      </c>
      <c r="E796" s="8">
        <v>2218562</v>
      </c>
      <c r="F796" s="8">
        <v>1971800</v>
      </c>
      <c r="G796" s="6">
        <v>1</v>
      </c>
      <c r="H796" s="8">
        <v>1304532</v>
      </c>
      <c r="I796" s="6">
        <v>118.2</v>
      </c>
      <c r="J796" s="6">
        <v>4</v>
      </c>
      <c r="K796" s="6">
        <v>6.62</v>
      </c>
      <c r="L796" s="6">
        <v>-5.78</v>
      </c>
      <c r="M796" s="6">
        <v>10.3</v>
      </c>
      <c r="N796" s="6">
        <v>-1.6</v>
      </c>
    </row>
    <row r="797" hidden="1" spans="1:14">
      <c r="A797" s="4" t="s">
        <v>2183</v>
      </c>
      <c r="B797" s="5" t="s">
        <v>10</v>
      </c>
      <c r="C797" s="6" t="s">
        <v>72</v>
      </c>
      <c r="D797" s="6">
        <v>10.376</v>
      </c>
      <c r="E797" s="8">
        <v>2311984</v>
      </c>
      <c r="F797" s="8">
        <v>41815</v>
      </c>
      <c r="G797" s="6">
        <v>0</v>
      </c>
      <c r="H797" s="8">
        <v>0</v>
      </c>
      <c r="I797" s="6">
        <v>120</v>
      </c>
      <c r="J797" s="6">
        <v>6.5</v>
      </c>
      <c r="K797" s="6">
        <v>4.87</v>
      </c>
      <c r="L797" s="6">
        <v>6.5</v>
      </c>
      <c r="M797" s="6">
        <v>6.5</v>
      </c>
      <c r="N797" s="6">
        <v>4</v>
      </c>
    </row>
    <row r="798" hidden="1" spans="1:14">
      <c r="A798" s="4" t="s">
        <v>2184</v>
      </c>
      <c r="B798" s="5" t="s">
        <v>10</v>
      </c>
      <c r="C798" s="6" t="s">
        <v>40</v>
      </c>
      <c r="D798" s="6">
        <v>10.427</v>
      </c>
      <c r="E798" s="8">
        <v>4082634</v>
      </c>
      <c r="F798" s="8">
        <v>170121</v>
      </c>
      <c r="G798" s="6">
        <v>0</v>
      </c>
      <c r="H798" s="8">
        <v>0</v>
      </c>
      <c r="I798" s="6">
        <v>124.8</v>
      </c>
      <c r="J798" s="6">
        <v>4</v>
      </c>
      <c r="K798" s="6">
        <v>5.13</v>
      </c>
      <c r="L798" s="6">
        <v>9.69</v>
      </c>
      <c r="M798" s="6">
        <v>8.2</v>
      </c>
      <c r="N798" s="6">
        <v>1.65</v>
      </c>
    </row>
    <row r="799" hidden="1" spans="1:14">
      <c r="A799" s="4" t="s">
        <v>2185</v>
      </c>
      <c r="B799" s="5" t="s">
        <v>10</v>
      </c>
      <c r="C799" s="6" t="s">
        <v>29</v>
      </c>
      <c r="D799" s="6">
        <v>11.55</v>
      </c>
      <c r="E799" s="8">
        <v>4662720</v>
      </c>
      <c r="F799" s="8">
        <v>196167</v>
      </c>
      <c r="G799" s="6">
        <v>0</v>
      </c>
      <c r="H799" s="8">
        <v>0</v>
      </c>
      <c r="I799" s="6">
        <v>121.5</v>
      </c>
      <c r="J799" s="6">
        <v>6</v>
      </c>
      <c r="K799" s="6">
        <v>3.73</v>
      </c>
      <c r="L799" s="6">
        <v>3.87</v>
      </c>
      <c r="M799" s="6">
        <v>7</v>
      </c>
      <c r="N799" s="6">
        <v>3.6</v>
      </c>
    </row>
    <row r="800" hidden="1" spans="1:14">
      <c r="A800" s="4" t="s">
        <v>2186</v>
      </c>
      <c r="B800" s="5" t="s">
        <v>10</v>
      </c>
      <c r="C800" s="6" t="s">
        <v>30</v>
      </c>
      <c r="D800" s="6">
        <v>11.159</v>
      </c>
      <c r="E800" s="8">
        <v>4607776</v>
      </c>
      <c r="F800" s="8">
        <v>25723</v>
      </c>
      <c r="G800" s="6">
        <v>0</v>
      </c>
      <c r="H800" s="8">
        <v>0</v>
      </c>
      <c r="I800" s="6">
        <v>121.5</v>
      </c>
      <c r="J800" s="6">
        <v>5.75</v>
      </c>
      <c r="K800" s="6">
        <v>3.73</v>
      </c>
      <c r="L800" s="6">
        <v>3.87</v>
      </c>
      <c r="M800" s="6">
        <v>8.4</v>
      </c>
      <c r="N800" s="6">
        <v>0.6</v>
      </c>
    </row>
    <row r="801" hidden="1" spans="1:14">
      <c r="A801" s="4" t="s">
        <v>2187</v>
      </c>
      <c r="B801" s="5" t="s">
        <v>10</v>
      </c>
      <c r="C801" s="6" t="s">
        <v>43</v>
      </c>
      <c r="D801" s="6">
        <v>11.411</v>
      </c>
      <c r="E801" s="8">
        <v>1575303</v>
      </c>
      <c r="F801" s="8">
        <v>64794</v>
      </c>
      <c r="G801" s="6">
        <v>0</v>
      </c>
      <c r="H801" s="8">
        <v>0</v>
      </c>
      <c r="I801" s="6">
        <v>130.3</v>
      </c>
      <c r="J801" s="6">
        <v>5.9</v>
      </c>
      <c r="K801" s="6">
        <v>6.7</v>
      </c>
      <c r="L801" s="6">
        <v>6.99</v>
      </c>
      <c r="M801" s="6">
        <v>7.2</v>
      </c>
      <c r="N801" s="6">
        <v>4.5</v>
      </c>
    </row>
    <row r="802" hidden="1" spans="1:14">
      <c r="A802" s="4" t="s">
        <v>2188</v>
      </c>
      <c r="B802" s="5" t="s">
        <v>10</v>
      </c>
      <c r="C802" s="6" t="s">
        <v>72</v>
      </c>
      <c r="D802" s="6">
        <v>11.233</v>
      </c>
      <c r="E802" s="8">
        <v>5913302</v>
      </c>
      <c r="F802" s="8">
        <v>115873</v>
      </c>
      <c r="G802" s="6">
        <v>0</v>
      </c>
      <c r="H802" s="8">
        <v>0</v>
      </c>
      <c r="I802" s="6">
        <v>120</v>
      </c>
      <c r="J802" s="6">
        <v>6.5</v>
      </c>
      <c r="K802" s="6">
        <v>4.87</v>
      </c>
      <c r="L802" s="6">
        <v>6.5</v>
      </c>
      <c r="M802" s="6">
        <v>6.5</v>
      </c>
      <c r="N802" s="6">
        <v>4</v>
      </c>
    </row>
    <row r="803" hidden="1" spans="1:14">
      <c r="A803" s="4" t="s">
        <v>2189</v>
      </c>
      <c r="B803" s="5" t="s">
        <v>10</v>
      </c>
      <c r="C803" s="6" t="s">
        <v>29</v>
      </c>
      <c r="D803" s="6">
        <v>10.471</v>
      </c>
      <c r="E803" s="8">
        <v>5186317</v>
      </c>
      <c r="F803" s="8">
        <v>74043</v>
      </c>
      <c r="G803" s="6">
        <v>0</v>
      </c>
      <c r="H803" s="8">
        <v>0</v>
      </c>
      <c r="I803" s="6">
        <v>121.5</v>
      </c>
      <c r="J803" s="6">
        <v>6</v>
      </c>
      <c r="K803" s="6">
        <v>3.73</v>
      </c>
      <c r="L803" s="6">
        <v>3.87</v>
      </c>
      <c r="M803" s="6">
        <v>7</v>
      </c>
      <c r="N803" s="6">
        <v>3.6</v>
      </c>
    </row>
    <row r="804" hidden="1" spans="1:14">
      <c r="A804" s="4" t="s">
        <v>2190</v>
      </c>
      <c r="B804" s="5" t="s">
        <v>10</v>
      </c>
      <c r="C804" s="6" t="s">
        <v>40</v>
      </c>
      <c r="D804" s="6">
        <v>10.328</v>
      </c>
      <c r="E804" s="8">
        <v>6113914</v>
      </c>
      <c r="F804" s="8">
        <v>214428</v>
      </c>
      <c r="G804" s="6">
        <v>0</v>
      </c>
      <c r="H804" s="8">
        <v>0</v>
      </c>
      <c r="I804" s="6">
        <v>124.8</v>
      </c>
      <c r="J804" s="6">
        <v>4</v>
      </c>
      <c r="K804" s="6">
        <v>5.13</v>
      </c>
      <c r="L804" s="6">
        <v>9.69</v>
      </c>
      <c r="M804" s="6">
        <v>8.2</v>
      </c>
      <c r="N804" s="6">
        <v>1.65</v>
      </c>
    </row>
    <row r="805" hidden="1" spans="1:14">
      <c r="A805" s="4" t="s">
        <v>2191</v>
      </c>
      <c r="B805" s="5" t="s">
        <v>10</v>
      </c>
      <c r="C805" s="6" t="s">
        <v>29</v>
      </c>
      <c r="D805" s="6">
        <v>10.369</v>
      </c>
      <c r="E805" s="8">
        <v>303257</v>
      </c>
      <c r="F805" s="8">
        <v>8291</v>
      </c>
      <c r="G805" s="6">
        <v>0</v>
      </c>
      <c r="H805" s="8">
        <v>0</v>
      </c>
      <c r="I805" s="6">
        <v>121.5</v>
      </c>
      <c r="J805" s="6">
        <v>6</v>
      </c>
      <c r="K805" s="6">
        <v>3.73</v>
      </c>
      <c r="L805" s="6">
        <v>3.87</v>
      </c>
      <c r="M805" s="6">
        <v>7</v>
      </c>
      <c r="N805" s="6">
        <v>3.6</v>
      </c>
    </row>
    <row r="806" hidden="1" spans="1:14">
      <c r="A806" s="4" t="s">
        <v>2192</v>
      </c>
      <c r="B806" s="5" t="s">
        <v>10</v>
      </c>
      <c r="C806" s="6" t="s">
        <v>48</v>
      </c>
      <c r="D806" s="6">
        <v>11.48</v>
      </c>
      <c r="E806" s="8">
        <v>3922532</v>
      </c>
      <c r="F806" s="8">
        <v>2752107</v>
      </c>
      <c r="G806" s="6">
        <v>1</v>
      </c>
      <c r="H806" s="8">
        <v>1616583</v>
      </c>
      <c r="I806" s="6">
        <v>134.7</v>
      </c>
      <c r="J806" s="6">
        <v>6.5</v>
      </c>
      <c r="K806" s="6">
        <v>5.65</v>
      </c>
      <c r="L806" s="6">
        <v>8.15</v>
      </c>
      <c r="M806" s="6">
        <v>6.7</v>
      </c>
      <c r="N806" s="6">
        <v>5</v>
      </c>
    </row>
    <row r="807" hidden="1" spans="1:14">
      <c r="A807" s="4" t="s">
        <v>2193</v>
      </c>
      <c r="B807" s="5" t="s">
        <v>10</v>
      </c>
      <c r="C807" s="6" t="s">
        <v>43</v>
      </c>
      <c r="D807" s="6">
        <v>9.996</v>
      </c>
      <c r="E807" s="8">
        <v>2523212</v>
      </c>
      <c r="F807" s="8">
        <v>82480</v>
      </c>
      <c r="G807" s="6">
        <v>0</v>
      </c>
      <c r="H807" s="8">
        <v>0</v>
      </c>
      <c r="I807" s="6">
        <v>130.3</v>
      </c>
      <c r="J807" s="6">
        <v>5.9</v>
      </c>
      <c r="K807" s="6">
        <v>6.7</v>
      </c>
      <c r="L807" s="6">
        <v>6.99</v>
      </c>
      <c r="M807" s="6">
        <v>7.2</v>
      </c>
      <c r="N807" s="6">
        <v>4.5</v>
      </c>
    </row>
    <row r="808" hidden="1" spans="1:14">
      <c r="A808" s="4" t="s">
        <v>2194</v>
      </c>
      <c r="B808" s="5" t="s">
        <v>10</v>
      </c>
      <c r="C808" s="6" t="s">
        <v>40</v>
      </c>
      <c r="D808" s="6">
        <v>10.088</v>
      </c>
      <c r="E808" s="8">
        <v>4610433</v>
      </c>
      <c r="F808" s="8">
        <v>184890</v>
      </c>
      <c r="G808" s="6">
        <v>0</v>
      </c>
      <c r="H808" s="8">
        <v>0</v>
      </c>
      <c r="I808" s="6">
        <v>124.8</v>
      </c>
      <c r="J808" s="6">
        <v>4</v>
      </c>
      <c r="K808" s="6">
        <v>5.13</v>
      </c>
      <c r="L808" s="6">
        <v>9.69</v>
      </c>
      <c r="M808" s="6">
        <v>8.2</v>
      </c>
      <c r="N808" s="6">
        <v>1.65</v>
      </c>
    </row>
    <row r="809" hidden="1" spans="1:14">
      <c r="A809" s="4" t="s">
        <v>2195</v>
      </c>
      <c r="B809" s="5" t="s">
        <v>10</v>
      </c>
      <c r="C809" s="6" t="s">
        <v>47</v>
      </c>
      <c r="D809" s="6">
        <v>11.033</v>
      </c>
      <c r="E809" s="8">
        <v>1324413</v>
      </c>
      <c r="F809" s="8">
        <v>6035</v>
      </c>
      <c r="G809" s="6">
        <v>0</v>
      </c>
      <c r="H809" s="8">
        <v>0</v>
      </c>
      <c r="I809" s="6">
        <v>134.7</v>
      </c>
      <c r="J809" s="6">
        <v>6.5</v>
      </c>
      <c r="K809" s="6">
        <v>5.65</v>
      </c>
      <c r="L809" s="6">
        <v>8.15</v>
      </c>
      <c r="M809" s="6">
        <v>6.5</v>
      </c>
      <c r="N809" s="6">
        <v>3.6</v>
      </c>
    </row>
    <row r="810" hidden="1" spans="1:14">
      <c r="A810" s="4" t="s">
        <v>2196</v>
      </c>
      <c r="B810" s="5" t="s">
        <v>10</v>
      </c>
      <c r="C810" s="6" t="s">
        <v>33</v>
      </c>
      <c r="D810" s="6">
        <v>9.805</v>
      </c>
      <c r="E810" s="8">
        <v>3063060</v>
      </c>
      <c r="F810" s="8">
        <v>1471328</v>
      </c>
      <c r="G810" s="6">
        <v>1</v>
      </c>
      <c r="H810" s="8">
        <v>539331</v>
      </c>
      <c r="I810" s="6">
        <v>118.2</v>
      </c>
      <c r="J810" s="6">
        <v>4.4</v>
      </c>
      <c r="K810" s="6">
        <v>6.62</v>
      </c>
      <c r="L810" s="6">
        <v>-5.78</v>
      </c>
      <c r="M810" s="6">
        <v>20.8</v>
      </c>
      <c r="N810" s="6">
        <v>-37</v>
      </c>
    </row>
    <row r="811" hidden="1" spans="1:14">
      <c r="A811" s="4" t="s">
        <v>2197</v>
      </c>
      <c r="B811" s="5" t="s">
        <v>10</v>
      </c>
      <c r="C811" s="6" t="s">
        <v>29</v>
      </c>
      <c r="D811" s="6">
        <v>10.527</v>
      </c>
      <c r="E811" s="8">
        <v>3220516</v>
      </c>
      <c r="F811" s="8">
        <v>109882</v>
      </c>
      <c r="G811" s="6">
        <v>0</v>
      </c>
      <c r="H811" s="8">
        <v>0</v>
      </c>
      <c r="I811" s="6">
        <v>121.5</v>
      </c>
      <c r="J811" s="6">
        <v>6</v>
      </c>
      <c r="K811" s="6">
        <v>3.73</v>
      </c>
      <c r="L811" s="6">
        <v>3.87</v>
      </c>
      <c r="M811" s="6">
        <v>7</v>
      </c>
      <c r="N811" s="6">
        <v>3.6</v>
      </c>
    </row>
    <row r="812" hidden="1" spans="1:14">
      <c r="A812" s="4" t="s">
        <v>2198</v>
      </c>
      <c r="B812" s="5" t="s">
        <v>10</v>
      </c>
      <c r="C812" s="6" t="s">
        <v>41</v>
      </c>
      <c r="D812" s="6">
        <v>10.015</v>
      </c>
      <c r="E812" s="8">
        <v>6756568</v>
      </c>
      <c r="F812" s="8">
        <v>3671</v>
      </c>
      <c r="G812" s="6">
        <v>0</v>
      </c>
      <c r="H812" s="8">
        <v>0</v>
      </c>
      <c r="I812" s="6">
        <v>130.3</v>
      </c>
      <c r="J812" s="6">
        <v>4</v>
      </c>
      <c r="K812" s="6">
        <v>6.7</v>
      </c>
      <c r="L812" s="6">
        <v>6.99</v>
      </c>
      <c r="M812" s="6">
        <v>6.6</v>
      </c>
      <c r="N812" s="6">
        <v>13.8</v>
      </c>
    </row>
    <row r="813" hidden="1" spans="1:14">
      <c r="A813" s="4" t="s">
        <v>2199</v>
      </c>
      <c r="B813" s="5" t="s">
        <v>10</v>
      </c>
      <c r="C813" s="6" t="s">
        <v>30</v>
      </c>
      <c r="D813" s="6">
        <v>10.313</v>
      </c>
      <c r="E813" s="8">
        <v>3741941</v>
      </c>
      <c r="F813" s="8">
        <v>1733283</v>
      </c>
      <c r="G813" s="6">
        <v>1</v>
      </c>
      <c r="H813" s="8">
        <v>955498</v>
      </c>
      <c r="I813" s="6">
        <v>121.5</v>
      </c>
      <c r="J813" s="6">
        <v>5.75</v>
      </c>
      <c r="K813" s="6">
        <v>3.73</v>
      </c>
      <c r="L813" s="6">
        <v>3.87</v>
      </c>
      <c r="M813" s="6">
        <v>8.4</v>
      </c>
      <c r="N813" s="6">
        <v>0.6</v>
      </c>
    </row>
    <row r="814" hidden="1" spans="1:14">
      <c r="A814" s="4" t="s">
        <v>2200</v>
      </c>
      <c r="B814" s="5" t="s">
        <v>10</v>
      </c>
      <c r="C814" s="6" t="s">
        <v>35</v>
      </c>
      <c r="D814" s="6">
        <v>10.539</v>
      </c>
      <c r="E814" s="8">
        <v>5332047</v>
      </c>
      <c r="F814" s="8">
        <v>13111</v>
      </c>
      <c r="G814" s="6">
        <v>0</v>
      </c>
      <c r="H814" s="8">
        <v>0</v>
      </c>
      <c r="I814" s="6">
        <v>118.2</v>
      </c>
      <c r="J814" s="6">
        <v>4</v>
      </c>
      <c r="K814" s="6">
        <v>6.62</v>
      </c>
      <c r="L814" s="6">
        <v>-5.78</v>
      </c>
      <c r="M814" s="6">
        <v>10.3</v>
      </c>
      <c r="N814" s="6">
        <v>-1.6</v>
      </c>
    </row>
    <row r="815" hidden="1" spans="1:14">
      <c r="A815" s="4" t="s">
        <v>2201</v>
      </c>
      <c r="B815" s="5" t="s">
        <v>10</v>
      </c>
      <c r="C815" s="6" t="s">
        <v>38</v>
      </c>
      <c r="D815" s="6">
        <v>9.507</v>
      </c>
      <c r="E815" s="8">
        <v>3059054</v>
      </c>
      <c r="F815" s="8">
        <v>99099</v>
      </c>
      <c r="G815" s="6">
        <v>0</v>
      </c>
      <c r="H815" s="8">
        <v>0</v>
      </c>
      <c r="I815" s="6">
        <v>124.8</v>
      </c>
      <c r="J815" s="6">
        <v>4</v>
      </c>
      <c r="K815" s="6">
        <v>5.13</v>
      </c>
      <c r="L815" s="6">
        <v>9.69</v>
      </c>
      <c r="M815" s="6">
        <v>9.8</v>
      </c>
      <c r="N815" s="6">
        <v>8.7</v>
      </c>
    </row>
    <row r="816" hidden="1" spans="1:14">
      <c r="A816" s="4" t="s">
        <v>2202</v>
      </c>
      <c r="B816" s="5" t="s">
        <v>10</v>
      </c>
      <c r="C816" s="6" t="s">
        <v>39</v>
      </c>
      <c r="D816" s="6">
        <v>10.358</v>
      </c>
      <c r="E816" s="8">
        <v>6227662</v>
      </c>
      <c r="F816" s="8">
        <v>311028</v>
      </c>
      <c r="G816" s="6">
        <v>0</v>
      </c>
      <c r="H816" s="8">
        <v>0</v>
      </c>
      <c r="I816" s="6">
        <v>124.8</v>
      </c>
      <c r="J816" s="6">
        <v>4</v>
      </c>
      <c r="K816" s="6">
        <v>5.13</v>
      </c>
      <c r="L816" s="6">
        <v>9.69</v>
      </c>
      <c r="M816" s="6">
        <v>8.7</v>
      </c>
      <c r="N816" s="6">
        <v>2.1</v>
      </c>
    </row>
    <row r="817" hidden="1" spans="1:14">
      <c r="A817" s="4" t="s">
        <v>2203</v>
      </c>
      <c r="B817" s="5" t="s">
        <v>10</v>
      </c>
      <c r="C817" s="6" t="s">
        <v>29</v>
      </c>
      <c r="D817" s="6">
        <v>9.025</v>
      </c>
      <c r="E817" s="8">
        <v>5890333</v>
      </c>
      <c r="F817" s="8">
        <v>258279</v>
      </c>
      <c r="G817" s="6">
        <v>0</v>
      </c>
      <c r="H817" s="8">
        <v>0</v>
      </c>
      <c r="I817" s="6">
        <v>121.5</v>
      </c>
      <c r="J817" s="6">
        <v>6</v>
      </c>
      <c r="K817" s="6">
        <v>3.73</v>
      </c>
      <c r="L817" s="6">
        <v>3.87</v>
      </c>
      <c r="M817" s="6">
        <v>7</v>
      </c>
      <c r="N817" s="6">
        <v>3.6</v>
      </c>
    </row>
    <row r="818" hidden="1" spans="1:14">
      <c r="A818" s="4" t="s">
        <v>2204</v>
      </c>
      <c r="B818" s="5" t="s">
        <v>10</v>
      </c>
      <c r="C818" s="6" t="s">
        <v>33</v>
      </c>
      <c r="D818" s="6">
        <v>10.134</v>
      </c>
      <c r="E818" s="8">
        <v>6638515</v>
      </c>
      <c r="F818" s="8">
        <v>3072588</v>
      </c>
      <c r="G818" s="6">
        <v>1</v>
      </c>
      <c r="H818" s="8">
        <v>1255478</v>
      </c>
      <c r="I818" s="6">
        <v>118.2</v>
      </c>
      <c r="J818" s="6">
        <v>4.4</v>
      </c>
      <c r="K818" s="6">
        <v>6.62</v>
      </c>
      <c r="L818" s="6">
        <v>-5.78</v>
      </c>
      <c r="M818" s="6">
        <v>20.8</v>
      </c>
      <c r="N818" s="6">
        <v>-37</v>
      </c>
    </row>
    <row r="819" hidden="1" spans="1:14">
      <c r="A819" s="4" t="s">
        <v>2205</v>
      </c>
      <c r="B819" s="5" t="s">
        <v>10</v>
      </c>
      <c r="C819" s="6" t="s">
        <v>35</v>
      </c>
      <c r="D819" s="6">
        <v>8.866</v>
      </c>
      <c r="E819" s="8">
        <v>7434859</v>
      </c>
      <c r="F819" s="8">
        <v>312044</v>
      </c>
      <c r="G819" s="6">
        <v>0</v>
      </c>
      <c r="H819" s="8">
        <v>0</v>
      </c>
      <c r="I819" s="6">
        <v>118.2</v>
      </c>
      <c r="J819" s="6">
        <v>4</v>
      </c>
      <c r="K819" s="6">
        <v>6.62</v>
      </c>
      <c r="L819" s="6">
        <v>-5.78</v>
      </c>
      <c r="M819" s="6">
        <v>10.3</v>
      </c>
      <c r="N819" s="6">
        <v>-1.6</v>
      </c>
    </row>
    <row r="820" hidden="1" spans="1:14">
      <c r="A820" s="4" t="s">
        <v>2206</v>
      </c>
      <c r="B820" s="5" t="s">
        <v>10</v>
      </c>
      <c r="C820" s="6" t="s">
        <v>42</v>
      </c>
      <c r="D820" s="6">
        <v>10.232</v>
      </c>
      <c r="E820" s="8">
        <v>1817509</v>
      </c>
      <c r="F820" s="8">
        <v>85488</v>
      </c>
      <c r="G820" s="6">
        <v>0</v>
      </c>
      <c r="H820" s="8">
        <v>0</v>
      </c>
      <c r="I820" s="6">
        <v>130.3</v>
      </c>
      <c r="J820" s="6">
        <v>4.9</v>
      </c>
      <c r="K820" s="6">
        <v>6.7</v>
      </c>
      <c r="L820" s="6">
        <v>6.99</v>
      </c>
      <c r="M820" s="6">
        <v>6.6</v>
      </c>
      <c r="N820" s="6">
        <v>5.6</v>
      </c>
    </row>
    <row r="821" hidden="1" spans="1:14">
      <c r="A821" s="4" t="s">
        <v>2207</v>
      </c>
      <c r="B821" s="5" t="s">
        <v>10</v>
      </c>
      <c r="C821" s="6" t="s">
        <v>48</v>
      </c>
      <c r="D821" s="6">
        <v>11.601</v>
      </c>
      <c r="E821" s="8">
        <v>1758571</v>
      </c>
      <c r="F821" s="8">
        <v>85243</v>
      </c>
      <c r="G821" s="6">
        <v>0</v>
      </c>
      <c r="H821" s="8">
        <v>0</v>
      </c>
      <c r="I821" s="6">
        <v>134.7</v>
      </c>
      <c r="J821" s="6">
        <v>6.5</v>
      </c>
      <c r="K821" s="6">
        <v>5.65</v>
      </c>
      <c r="L821" s="6">
        <v>8.15</v>
      </c>
      <c r="M821" s="6">
        <v>6.7</v>
      </c>
      <c r="N821" s="6">
        <v>5</v>
      </c>
    </row>
    <row r="822" hidden="1" spans="1:14">
      <c r="A822" s="4" t="s">
        <v>2208</v>
      </c>
      <c r="B822" s="5" t="s">
        <v>10</v>
      </c>
      <c r="C822" s="6" t="s">
        <v>46</v>
      </c>
      <c r="D822" s="6">
        <v>10.428</v>
      </c>
      <c r="E822" s="8">
        <v>4536278</v>
      </c>
      <c r="F822" s="8">
        <v>33345</v>
      </c>
      <c r="G822" s="6">
        <v>0</v>
      </c>
      <c r="H822" s="8">
        <v>0</v>
      </c>
      <c r="I822" s="6">
        <v>134.7</v>
      </c>
      <c r="J822" s="6">
        <v>6.5</v>
      </c>
      <c r="K822" s="6">
        <v>5.65</v>
      </c>
      <c r="L822" s="6">
        <v>8.15</v>
      </c>
      <c r="M822" s="6">
        <v>6.6</v>
      </c>
      <c r="N822" s="6">
        <v>9.7</v>
      </c>
    </row>
    <row r="823" hidden="1" spans="1:14">
      <c r="A823" s="4" t="s">
        <v>2209</v>
      </c>
      <c r="B823" s="5" t="s">
        <v>10</v>
      </c>
      <c r="C823" s="6" t="s">
        <v>29</v>
      </c>
      <c r="D823" s="6">
        <v>10.161</v>
      </c>
      <c r="E823" s="8">
        <v>457570</v>
      </c>
      <c r="F823" s="8">
        <v>664</v>
      </c>
      <c r="G823" s="6">
        <v>0</v>
      </c>
      <c r="H823" s="8">
        <v>0</v>
      </c>
      <c r="I823" s="6">
        <v>121.5</v>
      </c>
      <c r="J823" s="6">
        <v>6</v>
      </c>
      <c r="K823" s="6">
        <v>3.73</v>
      </c>
      <c r="L823" s="6">
        <v>3.87</v>
      </c>
      <c r="M823" s="6">
        <v>7</v>
      </c>
      <c r="N823" s="6">
        <v>3.6</v>
      </c>
    </row>
    <row r="824" hidden="1" spans="1:14">
      <c r="A824" s="4" t="s">
        <v>2210</v>
      </c>
      <c r="B824" s="5" t="s">
        <v>10</v>
      </c>
      <c r="C824" s="6" t="s">
        <v>44</v>
      </c>
      <c r="D824" s="6">
        <v>11.366</v>
      </c>
      <c r="E824" s="8">
        <v>2940135</v>
      </c>
      <c r="F824" s="8">
        <v>103457</v>
      </c>
      <c r="G824" s="6">
        <v>0</v>
      </c>
      <c r="H824" s="8">
        <v>0</v>
      </c>
      <c r="I824" s="6">
        <v>130.3</v>
      </c>
      <c r="J824" s="6">
        <v>6.25</v>
      </c>
      <c r="K824" s="6">
        <v>6.7</v>
      </c>
      <c r="L824" s="6">
        <v>6.99</v>
      </c>
      <c r="M824" s="6">
        <v>6.7</v>
      </c>
      <c r="N824" s="6">
        <v>1.8</v>
      </c>
    </row>
    <row r="825" hidden="1" spans="1:14">
      <c r="A825" s="4" t="s">
        <v>2211</v>
      </c>
      <c r="B825" s="5" t="s">
        <v>10</v>
      </c>
      <c r="C825" s="6" t="s">
        <v>41</v>
      </c>
      <c r="D825" s="6">
        <v>10.246</v>
      </c>
      <c r="E825" s="8">
        <v>3525756</v>
      </c>
      <c r="F825" s="8">
        <v>73316</v>
      </c>
      <c r="G825" s="6">
        <v>0</v>
      </c>
      <c r="H825" s="8">
        <v>0</v>
      </c>
      <c r="I825" s="6">
        <v>130.3</v>
      </c>
      <c r="J825" s="6">
        <v>4</v>
      </c>
      <c r="K825" s="6">
        <v>6.7</v>
      </c>
      <c r="L825" s="6">
        <v>6.99</v>
      </c>
      <c r="M825" s="6">
        <v>6.6</v>
      </c>
      <c r="N825" s="6">
        <v>13.8</v>
      </c>
    </row>
    <row r="826" hidden="1" spans="1:14">
      <c r="A826" s="4" t="s">
        <v>2212</v>
      </c>
      <c r="B826" s="5" t="s">
        <v>10</v>
      </c>
      <c r="C826" s="6" t="s">
        <v>47</v>
      </c>
      <c r="D826" s="6">
        <v>11.107</v>
      </c>
      <c r="E826" s="8">
        <v>5311378</v>
      </c>
      <c r="F826" s="8">
        <v>71950</v>
      </c>
      <c r="G826" s="6">
        <v>0</v>
      </c>
      <c r="H826" s="8">
        <v>0</v>
      </c>
      <c r="I826" s="6">
        <v>134.7</v>
      </c>
      <c r="J826" s="6">
        <v>6.5</v>
      </c>
      <c r="K826" s="6">
        <v>5.65</v>
      </c>
      <c r="L826" s="6">
        <v>8.15</v>
      </c>
      <c r="M826" s="6">
        <v>6.5</v>
      </c>
      <c r="N826" s="6">
        <v>3.6</v>
      </c>
    </row>
    <row r="827" hidden="1" spans="1:14">
      <c r="A827" s="4" t="s">
        <v>2213</v>
      </c>
      <c r="B827" s="5" t="s">
        <v>10</v>
      </c>
      <c r="C827" s="6" t="s">
        <v>42</v>
      </c>
      <c r="D827" s="6">
        <v>11.685</v>
      </c>
      <c r="E827" s="8">
        <v>4805791</v>
      </c>
      <c r="F827" s="8">
        <v>20871</v>
      </c>
      <c r="G827" s="6">
        <v>0</v>
      </c>
      <c r="H827" s="8">
        <v>0</v>
      </c>
      <c r="I827" s="6">
        <v>130.3</v>
      </c>
      <c r="J827" s="6">
        <v>4.9</v>
      </c>
      <c r="K827" s="6">
        <v>6.7</v>
      </c>
      <c r="L827" s="6">
        <v>6.99</v>
      </c>
      <c r="M827" s="6">
        <v>6.6</v>
      </c>
      <c r="N827" s="6">
        <v>5.6</v>
      </c>
    </row>
    <row r="828" hidden="1" spans="1:14">
      <c r="A828" s="4" t="s">
        <v>2214</v>
      </c>
      <c r="B828" s="5" t="s">
        <v>10</v>
      </c>
      <c r="C828" s="6" t="s">
        <v>38</v>
      </c>
      <c r="D828" s="6">
        <v>10.55</v>
      </c>
      <c r="E828" s="8">
        <v>6144521</v>
      </c>
      <c r="F828" s="8">
        <v>185042</v>
      </c>
      <c r="G828" s="6">
        <v>0</v>
      </c>
      <c r="H828" s="8">
        <v>0</v>
      </c>
      <c r="I828" s="6">
        <v>124.8</v>
      </c>
      <c r="J828" s="6">
        <v>4</v>
      </c>
      <c r="K828" s="6">
        <v>5.13</v>
      </c>
      <c r="L828" s="6">
        <v>9.69</v>
      </c>
      <c r="M828" s="6">
        <v>9.8</v>
      </c>
      <c r="N828" s="6">
        <v>8.7</v>
      </c>
    </row>
    <row r="829" hidden="1" spans="1:14">
      <c r="A829" s="4" t="s">
        <v>2215</v>
      </c>
      <c r="B829" s="5" t="s">
        <v>10</v>
      </c>
      <c r="C829" s="6" t="s">
        <v>33</v>
      </c>
      <c r="D829" s="6">
        <v>10.402</v>
      </c>
      <c r="E829" s="8">
        <v>4245906</v>
      </c>
      <c r="F829" s="8">
        <v>3289088</v>
      </c>
      <c r="G829" s="6">
        <v>1</v>
      </c>
      <c r="H829" s="8">
        <v>1104129</v>
      </c>
      <c r="I829" s="6">
        <v>118.2</v>
      </c>
      <c r="J829" s="6">
        <v>4.4</v>
      </c>
      <c r="K829" s="6">
        <v>6.62</v>
      </c>
      <c r="L829" s="6">
        <v>-5.78</v>
      </c>
      <c r="M829" s="6">
        <v>20.8</v>
      </c>
      <c r="N829" s="6">
        <v>-37</v>
      </c>
    </row>
    <row r="830" hidden="1" spans="1:14">
      <c r="A830" s="4" t="s">
        <v>2216</v>
      </c>
      <c r="B830" s="5" t="s">
        <v>10</v>
      </c>
      <c r="C830" s="6" t="s">
        <v>72</v>
      </c>
      <c r="D830" s="6">
        <v>12.042</v>
      </c>
      <c r="E830" s="8">
        <v>134140</v>
      </c>
      <c r="F830" s="8">
        <v>3689</v>
      </c>
      <c r="G830" s="6">
        <v>0</v>
      </c>
      <c r="H830" s="8">
        <v>0</v>
      </c>
      <c r="I830" s="6">
        <v>120</v>
      </c>
      <c r="J830" s="6">
        <v>6.5</v>
      </c>
      <c r="K830" s="6">
        <v>4.87</v>
      </c>
      <c r="L830" s="6">
        <v>6.5</v>
      </c>
      <c r="M830" s="6">
        <v>6.5</v>
      </c>
      <c r="N830" s="6">
        <v>4</v>
      </c>
    </row>
    <row r="831" hidden="1" spans="1:14">
      <c r="A831" s="4" t="s">
        <v>2217</v>
      </c>
      <c r="B831" s="5" t="s">
        <v>10</v>
      </c>
      <c r="C831" s="6" t="s">
        <v>35</v>
      </c>
      <c r="D831" s="6">
        <v>11.33</v>
      </c>
      <c r="E831" s="8">
        <v>3683037</v>
      </c>
      <c r="F831" s="8">
        <v>16282</v>
      </c>
      <c r="G831" s="6">
        <v>0</v>
      </c>
      <c r="H831" s="8">
        <v>0</v>
      </c>
      <c r="I831" s="6">
        <v>118.2</v>
      </c>
      <c r="J831" s="6">
        <v>4</v>
      </c>
      <c r="K831" s="6">
        <v>6.62</v>
      </c>
      <c r="L831" s="6">
        <v>-5.78</v>
      </c>
      <c r="M831" s="6">
        <v>10.3</v>
      </c>
      <c r="N831" s="6">
        <v>-1.6</v>
      </c>
    </row>
    <row r="832" hidden="1" spans="1:14">
      <c r="A832" s="4" t="s">
        <v>2218</v>
      </c>
      <c r="B832" s="5" t="s">
        <v>10</v>
      </c>
      <c r="C832" s="6" t="s">
        <v>45</v>
      </c>
      <c r="D832" s="6">
        <v>11.398</v>
      </c>
      <c r="E832" s="8">
        <v>2367814</v>
      </c>
      <c r="F832" s="8">
        <v>84782</v>
      </c>
      <c r="G832" s="6">
        <v>0</v>
      </c>
      <c r="H832" s="8">
        <v>0</v>
      </c>
      <c r="I832" s="6">
        <v>134.7</v>
      </c>
      <c r="J832" s="6">
        <v>6.5</v>
      </c>
      <c r="K832" s="6">
        <v>5.65</v>
      </c>
      <c r="L832" s="6">
        <v>8.15</v>
      </c>
      <c r="M832" s="6">
        <v>6.6</v>
      </c>
      <c r="N832" s="6">
        <v>4.1</v>
      </c>
    </row>
    <row r="833" hidden="1" spans="1:14">
      <c r="A833" s="4" t="s">
        <v>2219</v>
      </c>
      <c r="B833" s="5" t="s">
        <v>10</v>
      </c>
      <c r="C833" s="6" t="s">
        <v>37</v>
      </c>
      <c r="D833" s="6">
        <v>10.741</v>
      </c>
      <c r="E833" s="8">
        <v>2578354</v>
      </c>
      <c r="F833" s="8">
        <v>83383</v>
      </c>
      <c r="G833" s="6">
        <v>0</v>
      </c>
      <c r="H833" s="8">
        <v>0</v>
      </c>
      <c r="I833" s="6">
        <v>124.8</v>
      </c>
      <c r="J833" s="6">
        <v>4</v>
      </c>
      <c r="K833" s="6">
        <v>5.13</v>
      </c>
      <c r="L833" s="6">
        <v>9.69</v>
      </c>
      <c r="M833" s="6">
        <v>12.6</v>
      </c>
      <c r="N833" s="6">
        <v>45</v>
      </c>
    </row>
    <row r="834" hidden="1" spans="1:14">
      <c r="A834" s="4" t="s">
        <v>2220</v>
      </c>
      <c r="B834" s="5" t="s">
        <v>10</v>
      </c>
      <c r="C834" s="6" t="s">
        <v>46</v>
      </c>
      <c r="D834" s="6">
        <v>10.075</v>
      </c>
      <c r="E834" s="8">
        <v>2342784</v>
      </c>
      <c r="F834" s="8">
        <v>44307</v>
      </c>
      <c r="G834" s="6">
        <v>0</v>
      </c>
      <c r="H834" s="8">
        <v>0</v>
      </c>
      <c r="I834" s="6">
        <v>134.7</v>
      </c>
      <c r="J834" s="6">
        <v>6.5</v>
      </c>
      <c r="K834" s="6">
        <v>5.65</v>
      </c>
      <c r="L834" s="6">
        <v>8.15</v>
      </c>
      <c r="M834" s="6">
        <v>6.6</v>
      </c>
      <c r="N834" s="6">
        <v>9.7</v>
      </c>
    </row>
    <row r="835" hidden="1" spans="1:14">
      <c r="A835" s="4" t="s">
        <v>2221</v>
      </c>
      <c r="B835" s="5" t="s">
        <v>10</v>
      </c>
      <c r="C835" s="6" t="s">
        <v>46</v>
      </c>
      <c r="D835" s="6">
        <v>10.486</v>
      </c>
      <c r="E835" s="8">
        <v>4727772</v>
      </c>
      <c r="F835" s="8">
        <v>119565</v>
      </c>
      <c r="G835" s="6">
        <v>0</v>
      </c>
      <c r="H835" s="8">
        <v>0</v>
      </c>
      <c r="I835" s="6">
        <v>134.7</v>
      </c>
      <c r="J835" s="6">
        <v>6.5</v>
      </c>
      <c r="K835" s="6">
        <v>5.65</v>
      </c>
      <c r="L835" s="6">
        <v>8.15</v>
      </c>
      <c r="M835" s="6">
        <v>6.6</v>
      </c>
      <c r="N835" s="6">
        <v>9.7</v>
      </c>
    </row>
    <row r="836" hidden="1" spans="1:14">
      <c r="A836" s="4" t="s">
        <v>2222</v>
      </c>
      <c r="B836" s="5" t="s">
        <v>2223</v>
      </c>
      <c r="C836" s="6" t="s">
        <v>39</v>
      </c>
      <c r="D836" s="6">
        <v>8.91</v>
      </c>
      <c r="E836" s="8">
        <v>804995</v>
      </c>
      <c r="F836" s="8">
        <v>19242</v>
      </c>
      <c r="G836" s="6">
        <v>0</v>
      </c>
      <c r="H836" s="8">
        <v>0</v>
      </c>
      <c r="I836" s="6">
        <v>124.8</v>
      </c>
      <c r="J836" s="6">
        <v>4</v>
      </c>
      <c r="K836" s="6">
        <v>5.13</v>
      </c>
      <c r="L836" s="6">
        <v>9.69</v>
      </c>
      <c r="M836" s="6">
        <v>8.7</v>
      </c>
      <c r="N836" s="6">
        <v>2.1</v>
      </c>
    </row>
    <row r="837" hidden="1" spans="1:14">
      <c r="A837" s="4" t="s">
        <v>2224</v>
      </c>
      <c r="B837" s="5" t="s">
        <v>2223</v>
      </c>
      <c r="C837" s="6" t="s">
        <v>42</v>
      </c>
      <c r="D837" s="6">
        <v>8.69</v>
      </c>
      <c r="E837" s="8">
        <v>975775</v>
      </c>
      <c r="F837" s="8">
        <v>28376</v>
      </c>
      <c r="G837" s="6">
        <v>0</v>
      </c>
      <c r="H837" s="8">
        <v>0</v>
      </c>
      <c r="I837" s="6">
        <v>130.3</v>
      </c>
      <c r="J837" s="6">
        <v>4.9</v>
      </c>
      <c r="K837" s="6">
        <v>6.7</v>
      </c>
      <c r="L837" s="6">
        <v>6.99</v>
      </c>
      <c r="M837" s="6">
        <v>6.6</v>
      </c>
      <c r="N837" s="6">
        <v>5.6</v>
      </c>
    </row>
    <row r="838" hidden="1" spans="1:14">
      <c r="A838" s="4" t="s">
        <v>2225</v>
      </c>
      <c r="B838" s="5" t="s">
        <v>2223</v>
      </c>
      <c r="C838" s="6" t="s">
        <v>40</v>
      </c>
      <c r="D838" s="6">
        <v>9.168</v>
      </c>
      <c r="E838" s="8">
        <v>1919247</v>
      </c>
      <c r="F838" s="8">
        <v>3945</v>
      </c>
      <c r="G838" s="6">
        <v>0</v>
      </c>
      <c r="H838" s="8">
        <v>0</v>
      </c>
      <c r="I838" s="6">
        <v>124.8</v>
      </c>
      <c r="J838" s="6">
        <v>4</v>
      </c>
      <c r="K838" s="6">
        <v>5.13</v>
      </c>
      <c r="L838" s="6">
        <v>9.69</v>
      </c>
      <c r="M838" s="6">
        <v>8.2</v>
      </c>
      <c r="N838" s="6">
        <v>1.65</v>
      </c>
    </row>
    <row r="839" hidden="1" spans="1:14">
      <c r="A839" s="4" t="s">
        <v>2226</v>
      </c>
      <c r="B839" s="5" t="s">
        <v>2223</v>
      </c>
      <c r="C839" s="6" t="s">
        <v>36</v>
      </c>
      <c r="D839" s="6">
        <v>8.336</v>
      </c>
      <c r="E839" s="8">
        <v>2580520</v>
      </c>
      <c r="F839" s="8">
        <v>900</v>
      </c>
      <c r="G839" s="6">
        <v>0</v>
      </c>
      <c r="H839" s="8">
        <v>0</v>
      </c>
      <c r="I839" s="6">
        <v>118.2</v>
      </c>
      <c r="J839" s="6">
        <v>4</v>
      </c>
      <c r="K839" s="6">
        <v>6.62</v>
      </c>
      <c r="L839" s="6">
        <v>-5.78</v>
      </c>
      <c r="M839" s="6">
        <v>9.3</v>
      </c>
      <c r="N839" s="6">
        <v>6.4</v>
      </c>
    </row>
    <row r="840" hidden="1" spans="1:14">
      <c r="A840" s="4" t="s">
        <v>2227</v>
      </c>
      <c r="B840" s="5" t="s">
        <v>2223</v>
      </c>
      <c r="C840" s="6" t="s">
        <v>46</v>
      </c>
      <c r="D840" s="6">
        <v>9.541</v>
      </c>
      <c r="E840" s="8">
        <v>293455</v>
      </c>
      <c r="F840" s="8">
        <v>14670</v>
      </c>
      <c r="G840" s="6">
        <v>0</v>
      </c>
      <c r="H840" s="8">
        <v>0</v>
      </c>
      <c r="I840" s="6">
        <v>134.7</v>
      </c>
      <c r="J840" s="6">
        <v>6.5</v>
      </c>
      <c r="K840" s="6">
        <v>5.65</v>
      </c>
      <c r="L840" s="6">
        <v>8.15</v>
      </c>
      <c r="M840" s="6">
        <v>6.6</v>
      </c>
      <c r="N840" s="6">
        <v>9.7</v>
      </c>
    </row>
    <row r="841" hidden="1" spans="1:14">
      <c r="A841" s="4" t="s">
        <v>2228</v>
      </c>
      <c r="B841" s="5" t="s">
        <v>2223</v>
      </c>
      <c r="C841" s="6" t="s">
        <v>44</v>
      </c>
      <c r="D841" s="6">
        <v>9.708</v>
      </c>
      <c r="E841" s="8">
        <v>274660</v>
      </c>
      <c r="F841" s="8">
        <v>8960</v>
      </c>
      <c r="G841" s="6">
        <v>0</v>
      </c>
      <c r="H841" s="8">
        <v>0</v>
      </c>
      <c r="I841" s="6">
        <v>130.3</v>
      </c>
      <c r="J841" s="6">
        <v>6.25</v>
      </c>
      <c r="K841" s="6">
        <v>6.7</v>
      </c>
      <c r="L841" s="6">
        <v>6.99</v>
      </c>
      <c r="M841" s="6">
        <v>6.7</v>
      </c>
      <c r="N841" s="6">
        <v>1.8</v>
      </c>
    </row>
    <row r="842" hidden="1" spans="1:14">
      <c r="A842" s="4" t="s">
        <v>2229</v>
      </c>
      <c r="B842" s="5" t="s">
        <v>2223</v>
      </c>
      <c r="C842" s="6" t="s">
        <v>38</v>
      </c>
      <c r="D842" s="6">
        <v>7.769</v>
      </c>
      <c r="E842" s="8">
        <v>2813589</v>
      </c>
      <c r="F842" s="8">
        <v>9713</v>
      </c>
      <c r="G842" s="6">
        <v>0</v>
      </c>
      <c r="H842" s="8">
        <v>0</v>
      </c>
      <c r="I842" s="6">
        <v>124.8</v>
      </c>
      <c r="J842" s="6">
        <v>4</v>
      </c>
      <c r="K842" s="6">
        <v>5.13</v>
      </c>
      <c r="L842" s="6">
        <v>9.69</v>
      </c>
      <c r="M842" s="6">
        <v>9.8</v>
      </c>
      <c r="N842" s="6">
        <v>8.7</v>
      </c>
    </row>
    <row r="843" hidden="1" spans="1:14">
      <c r="A843" s="4" t="s">
        <v>2230</v>
      </c>
      <c r="B843" s="5" t="s">
        <v>2223</v>
      </c>
      <c r="C843" s="6" t="s">
        <v>46</v>
      </c>
      <c r="D843" s="6">
        <v>9.74</v>
      </c>
      <c r="E843" s="8">
        <v>1035728</v>
      </c>
      <c r="F843" s="8">
        <v>1227</v>
      </c>
      <c r="G843" s="6">
        <v>0</v>
      </c>
      <c r="H843" s="8">
        <v>0</v>
      </c>
      <c r="I843" s="6">
        <v>134.7</v>
      </c>
      <c r="J843" s="6">
        <v>6.5</v>
      </c>
      <c r="K843" s="6">
        <v>5.65</v>
      </c>
      <c r="L843" s="6">
        <v>8.15</v>
      </c>
      <c r="M843" s="6">
        <v>6.6</v>
      </c>
      <c r="N843" s="6">
        <v>9.7</v>
      </c>
    </row>
    <row r="844" hidden="1" spans="1:14">
      <c r="A844" s="4" t="s">
        <v>2231</v>
      </c>
      <c r="B844" s="5" t="s">
        <v>2223</v>
      </c>
      <c r="C844" s="6" t="s">
        <v>48</v>
      </c>
      <c r="D844" s="6">
        <v>9.578</v>
      </c>
      <c r="E844" s="8">
        <v>1609393</v>
      </c>
      <c r="F844" s="8">
        <v>374</v>
      </c>
      <c r="G844" s="6">
        <v>0</v>
      </c>
      <c r="H844" s="8">
        <v>0</v>
      </c>
      <c r="I844" s="6">
        <v>134.7</v>
      </c>
      <c r="J844" s="6">
        <v>6.5</v>
      </c>
      <c r="K844" s="6">
        <v>5.65</v>
      </c>
      <c r="L844" s="6">
        <v>8.15</v>
      </c>
      <c r="M844" s="6">
        <v>6.7</v>
      </c>
      <c r="N844" s="6">
        <v>5</v>
      </c>
    </row>
    <row r="845" hidden="1" spans="1:14">
      <c r="A845" s="4" t="s">
        <v>2232</v>
      </c>
      <c r="B845" s="5" t="s">
        <v>2223</v>
      </c>
      <c r="C845" s="6" t="s">
        <v>48</v>
      </c>
      <c r="D845" s="6">
        <v>10.167</v>
      </c>
      <c r="E845" s="8">
        <v>2834126</v>
      </c>
      <c r="F845" s="8">
        <v>55040</v>
      </c>
      <c r="G845" s="6">
        <v>0</v>
      </c>
      <c r="H845" s="8">
        <v>0</v>
      </c>
      <c r="I845" s="6">
        <v>134.7</v>
      </c>
      <c r="J845" s="6">
        <v>6.5</v>
      </c>
      <c r="K845" s="6">
        <v>5.65</v>
      </c>
      <c r="L845" s="6">
        <v>8.15</v>
      </c>
      <c r="M845" s="6">
        <v>6.7</v>
      </c>
      <c r="N845" s="6">
        <v>5</v>
      </c>
    </row>
    <row r="846" hidden="1" spans="1:14">
      <c r="A846" s="4" t="s">
        <v>2233</v>
      </c>
      <c r="B846" s="5" t="s">
        <v>2223</v>
      </c>
      <c r="C846" s="6" t="s">
        <v>29</v>
      </c>
      <c r="D846" s="6">
        <v>8.898</v>
      </c>
      <c r="E846" s="8">
        <v>147466</v>
      </c>
      <c r="F846" s="8">
        <v>2552</v>
      </c>
      <c r="G846" s="6">
        <v>0</v>
      </c>
      <c r="H846" s="8">
        <v>0</v>
      </c>
      <c r="I846" s="6">
        <v>121.5</v>
      </c>
      <c r="J846" s="6">
        <v>6</v>
      </c>
      <c r="K846" s="6">
        <v>3.73</v>
      </c>
      <c r="L846" s="6">
        <v>3.87</v>
      </c>
      <c r="M846" s="6">
        <v>7</v>
      </c>
      <c r="N846" s="6">
        <v>3.6</v>
      </c>
    </row>
    <row r="847" hidden="1" spans="1:14">
      <c r="A847" s="4" t="s">
        <v>2234</v>
      </c>
      <c r="B847" s="5" t="s">
        <v>2223</v>
      </c>
      <c r="C847" s="6" t="s">
        <v>38</v>
      </c>
      <c r="D847" s="6">
        <v>7.881</v>
      </c>
      <c r="E847" s="8">
        <v>1685515</v>
      </c>
      <c r="F847" s="8">
        <v>73064</v>
      </c>
      <c r="G847" s="6">
        <v>0</v>
      </c>
      <c r="H847" s="8">
        <v>0</v>
      </c>
      <c r="I847" s="6">
        <v>124.8</v>
      </c>
      <c r="J847" s="6">
        <v>4</v>
      </c>
      <c r="K847" s="6">
        <v>5.13</v>
      </c>
      <c r="L847" s="6">
        <v>9.69</v>
      </c>
      <c r="M847" s="6">
        <v>9.8</v>
      </c>
      <c r="N847" s="6">
        <v>8.7</v>
      </c>
    </row>
    <row r="848" hidden="1" spans="1:14">
      <c r="A848" s="4" t="s">
        <v>2235</v>
      </c>
      <c r="B848" s="5" t="s">
        <v>2223</v>
      </c>
      <c r="C848" s="6" t="s">
        <v>36</v>
      </c>
      <c r="D848" s="6">
        <v>9.467</v>
      </c>
      <c r="E848" s="8">
        <v>2690096</v>
      </c>
      <c r="F848" s="8">
        <v>1148215</v>
      </c>
      <c r="G848" s="6">
        <v>1</v>
      </c>
      <c r="H848" s="8">
        <v>975359</v>
      </c>
      <c r="I848" s="6">
        <v>118.2</v>
      </c>
      <c r="J848" s="6">
        <v>4</v>
      </c>
      <c r="K848" s="6">
        <v>6.62</v>
      </c>
      <c r="L848" s="6">
        <v>-5.78</v>
      </c>
      <c r="M848" s="6">
        <v>9.3</v>
      </c>
      <c r="N848" s="6">
        <v>6.4</v>
      </c>
    </row>
    <row r="849" hidden="1" spans="1:14">
      <c r="A849" s="4" t="s">
        <v>2236</v>
      </c>
      <c r="B849" s="5" t="s">
        <v>2223</v>
      </c>
      <c r="C849" s="6" t="s">
        <v>31</v>
      </c>
      <c r="D849" s="6">
        <v>8.551</v>
      </c>
      <c r="E849" s="8">
        <v>663895</v>
      </c>
      <c r="F849" s="8">
        <v>22332</v>
      </c>
      <c r="G849" s="6">
        <v>0</v>
      </c>
      <c r="H849" s="8">
        <v>0</v>
      </c>
      <c r="I849" s="6">
        <v>121.5</v>
      </c>
      <c r="J849" s="6">
        <v>5.4</v>
      </c>
      <c r="K849" s="6">
        <v>3.73</v>
      </c>
      <c r="L849" s="6">
        <v>3.87</v>
      </c>
      <c r="M849" s="6">
        <v>7.8</v>
      </c>
      <c r="N849" s="6">
        <v>0.7</v>
      </c>
    </row>
    <row r="850" hidden="1" spans="1:14">
      <c r="A850" s="4" t="s">
        <v>2237</v>
      </c>
      <c r="B850" s="5" t="s">
        <v>2223</v>
      </c>
      <c r="C850" s="6" t="s">
        <v>45</v>
      </c>
      <c r="D850" s="6">
        <v>9.915</v>
      </c>
      <c r="E850" s="8">
        <v>1671904</v>
      </c>
      <c r="F850" s="8">
        <v>24286</v>
      </c>
      <c r="G850" s="6">
        <v>0</v>
      </c>
      <c r="H850" s="8">
        <v>0</v>
      </c>
      <c r="I850" s="6">
        <v>134.7</v>
      </c>
      <c r="J850" s="6">
        <v>6.5</v>
      </c>
      <c r="K850" s="6">
        <v>5.65</v>
      </c>
      <c r="L850" s="6">
        <v>8.15</v>
      </c>
      <c r="M850" s="6">
        <v>6.6</v>
      </c>
      <c r="N850" s="6">
        <v>4.1</v>
      </c>
    </row>
    <row r="851" hidden="1" spans="1:14">
      <c r="A851" s="4" t="s">
        <v>2238</v>
      </c>
      <c r="B851" s="5" t="s">
        <v>2223</v>
      </c>
      <c r="C851" s="6" t="s">
        <v>48</v>
      </c>
      <c r="D851" s="6">
        <v>9.346</v>
      </c>
      <c r="E851" s="8">
        <v>2646385</v>
      </c>
      <c r="F851" s="8">
        <v>10748</v>
      </c>
      <c r="G851" s="6">
        <v>0</v>
      </c>
      <c r="H851" s="8">
        <v>0</v>
      </c>
      <c r="I851" s="6">
        <v>134.7</v>
      </c>
      <c r="J851" s="6">
        <v>6.5</v>
      </c>
      <c r="K851" s="6">
        <v>5.65</v>
      </c>
      <c r="L851" s="6">
        <v>8.15</v>
      </c>
      <c r="M851" s="6">
        <v>6.7</v>
      </c>
      <c r="N851" s="6">
        <v>5</v>
      </c>
    </row>
    <row r="852" hidden="1" spans="1:14">
      <c r="A852" s="4" t="s">
        <v>2239</v>
      </c>
      <c r="B852" s="5" t="s">
        <v>2223</v>
      </c>
      <c r="C852" s="6" t="s">
        <v>44</v>
      </c>
      <c r="D852" s="6">
        <v>8.736</v>
      </c>
      <c r="E852" s="8">
        <v>804766</v>
      </c>
      <c r="F852" s="8">
        <v>35822</v>
      </c>
      <c r="G852" s="6">
        <v>0</v>
      </c>
      <c r="H852" s="8">
        <v>0</v>
      </c>
      <c r="I852" s="6">
        <v>130.3</v>
      </c>
      <c r="J852" s="6">
        <v>6.25</v>
      </c>
      <c r="K852" s="6">
        <v>6.7</v>
      </c>
      <c r="L852" s="6">
        <v>6.99</v>
      </c>
      <c r="M852" s="6">
        <v>6.7</v>
      </c>
      <c r="N852" s="6">
        <v>1.8</v>
      </c>
    </row>
    <row r="853" hidden="1" spans="1:14">
      <c r="A853" s="4" t="s">
        <v>2240</v>
      </c>
      <c r="B853" s="5" t="s">
        <v>2223</v>
      </c>
      <c r="C853" s="6" t="s">
        <v>47</v>
      </c>
      <c r="D853" s="6">
        <v>10.38</v>
      </c>
      <c r="E853" s="8">
        <v>146088</v>
      </c>
      <c r="F853" s="8">
        <v>6262</v>
      </c>
      <c r="G853" s="6">
        <v>0</v>
      </c>
      <c r="H853" s="8">
        <v>0</v>
      </c>
      <c r="I853" s="6">
        <v>134.7</v>
      </c>
      <c r="J853" s="6">
        <v>6.5</v>
      </c>
      <c r="K853" s="6">
        <v>5.65</v>
      </c>
      <c r="L853" s="6">
        <v>8.15</v>
      </c>
      <c r="M853" s="6">
        <v>6.5</v>
      </c>
      <c r="N853" s="6">
        <v>3.6</v>
      </c>
    </row>
    <row r="854" hidden="1" spans="1:14">
      <c r="A854" s="4" t="s">
        <v>2241</v>
      </c>
      <c r="B854" s="5" t="s">
        <v>2223</v>
      </c>
      <c r="C854" s="6" t="s">
        <v>37</v>
      </c>
      <c r="D854" s="6">
        <v>8.502</v>
      </c>
      <c r="E854" s="8">
        <v>800489</v>
      </c>
      <c r="F854" s="8">
        <v>12177</v>
      </c>
      <c r="G854" s="6">
        <v>0</v>
      </c>
      <c r="H854" s="8">
        <v>0</v>
      </c>
      <c r="I854" s="6">
        <v>124.8</v>
      </c>
      <c r="J854" s="6">
        <v>4</v>
      </c>
      <c r="K854" s="6">
        <v>5.13</v>
      </c>
      <c r="L854" s="6">
        <v>9.69</v>
      </c>
      <c r="M854" s="6">
        <v>12.6</v>
      </c>
      <c r="N854" s="6">
        <v>45</v>
      </c>
    </row>
    <row r="855" hidden="1" spans="1:14">
      <c r="A855" s="4" t="s">
        <v>2242</v>
      </c>
      <c r="B855" s="5" t="s">
        <v>2223</v>
      </c>
      <c r="C855" s="6" t="s">
        <v>43</v>
      </c>
      <c r="D855" s="6">
        <v>10.378</v>
      </c>
      <c r="E855" s="8">
        <v>1454746</v>
      </c>
      <c r="F855" s="8">
        <v>37656</v>
      </c>
      <c r="G855" s="6">
        <v>0</v>
      </c>
      <c r="H855" s="8">
        <v>0</v>
      </c>
      <c r="I855" s="6">
        <v>130.3</v>
      </c>
      <c r="J855" s="6">
        <v>5.9</v>
      </c>
      <c r="K855" s="6">
        <v>6.7</v>
      </c>
      <c r="L855" s="6">
        <v>6.99</v>
      </c>
      <c r="M855" s="6">
        <v>7.2</v>
      </c>
      <c r="N855" s="6">
        <v>4.5</v>
      </c>
    </row>
    <row r="856" hidden="1" spans="1:14">
      <c r="A856" s="4" t="s">
        <v>2243</v>
      </c>
      <c r="B856" s="5" t="s">
        <v>2223</v>
      </c>
      <c r="C856" s="6" t="s">
        <v>72</v>
      </c>
      <c r="D856" s="6">
        <v>9.079</v>
      </c>
      <c r="E856" s="8">
        <v>976149</v>
      </c>
      <c r="F856" s="8">
        <v>28656</v>
      </c>
      <c r="G856" s="6">
        <v>0</v>
      </c>
      <c r="H856" s="8">
        <v>0</v>
      </c>
      <c r="I856" s="6">
        <v>120</v>
      </c>
      <c r="J856" s="6">
        <v>6.5</v>
      </c>
      <c r="K856" s="6">
        <v>4.87</v>
      </c>
      <c r="L856" s="6">
        <v>6.5</v>
      </c>
      <c r="M856" s="6">
        <v>6.5</v>
      </c>
      <c r="N856" s="6">
        <v>4</v>
      </c>
    </row>
    <row r="857" hidden="1" spans="1:14">
      <c r="A857" s="4" t="s">
        <v>2244</v>
      </c>
      <c r="B857" s="5" t="s">
        <v>2223</v>
      </c>
      <c r="C857" s="6" t="s">
        <v>46</v>
      </c>
      <c r="D857" s="6">
        <v>8.651</v>
      </c>
      <c r="E857" s="8">
        <v>932624</v>
      </c>
      <c r="F857" s="8">
        <v>27734</v>
      </c>
      <c r="G857" s="6">
        <v>0</v>
      </c>
      <c r="H857" s="8">
        <v>0</v>
      </c>
      <c r="I857" s="6">
        <v>134.7</v>
      </c>
      <c r="J857" s="6">
        <v>6.5</v>
      </c>
      <c r="K857" s="6">
        <v>5.65</v>
      </c>
      <c r="L857" s="6">
        <v>8.15</v>
      </c>
      <c r="M857" s="6">
        <v>6.6</v>
      </c>
      <c r="N857" s="6">
        <v>9.7</v>
      </c>
    </row>
    <row r="858" hidden="1" spans="1:14">
      <c r="A858" s="4" t="s">
        <v>2245</v>
      </c>
      <c r="B858" s="5" t="s">
        <v>2223</v>
      </c>
      <c r="C858" s="6" t="s">
        <v>35</v>
      </c>
      <c r="D858" s="6">
        <v>7.872</v>
      </c>
      <c r="E858" s="8">
        <v>1733782</v>
      </c>
      <c r="F858" s="8">
        <v>22030</v>
      </c>
      <c r="G858" s="6">
        <v>0</v>
      </c>
      <c r="H858" s="8">
        <v>0</v>
      </c>
      <c r="I858" s="6">
        <v>118.2</v>
      </c>
      <c r="J858" s="6">
        <v>4</v>
      </c>
      <c r="K858" s="6">
        <v>6.62</v>
      </c>
      <c r="L858" s="6">
        <v>-5.78</v>
      </c>
      <c r="M858" s="6">
        <v>10.3</v>
      </c>
      <c r="N858" s="6">
        <v>-1.6</v>
      </c>
    </row>
    <row r="859" hidden="1" spans="1:14">
      <c r="A859" s="4" t="s">
        <v>2246</v>
      </c>
      <c r="B859" s="5" t="s">
        <v>2223</v>
      </c>
      <c r="C859" s="6" t="s">
        <v>46</v>
      </c>
      <c r="D859" s="6">
        <v>9.248</v>
      </c>
      <c r="E859" s="8">
        <v>398963</v>
      </c>
      <c r="F859" s="8">
        <v>19156</v>
      </c>
      <c r="G859" s="6">
        <v>0</v>
      </c>
      <c r="H859" s="8">
        <v>0</v>
      </c>
      <c r="I859" s="6">
        <v>134.7</v>
      </c>
      <c r="J859" s="6">
        <v>6.5</v>
      </c>
      <c r="K859" s="6">
        <v>5.65</v>
      </c>
      <c r="L859" s="6">
        <v>8.15</v>
      </c>
      <c r="M859" s="6">
        <v>6.6</v>
      </c>
      <c r="N859" s="6">
        <v>9.7</v>
      </c>
    </row>
    <row r="860" hidden="1" spans="1:14">
      <c r="A860" s="4" t="s">
        <v>2247</v>
      </c>
      <c r="B860" s="5" t="s">
        <v>2223</v>
      </c>
      <c r="C860" s="6" t="s">
        <v>48</v>
      </c>
      <c r="D860" s="6">
        <v>10.946</v>
      </c>
      <c r="E860" s="8">
        <v>1241970</v>
      </c>
      <c r="F860" s="8">
        <v>38105</v>
      </c>
      <c r="G860" s="6">
        <v>0</v>
      </c>
      <c r="H860" s="8">
        <v>0</v>
      </c>
      <c r="I860" s="6">
        <v>134.7</v>
      </c>
      <c r="J860" s="6">
        <v>6.5</v>
      </c>
      <c r="K860" s="6">
        <v>5.65</v>
      </c>
      <c r="L860" s="6">
        <v>8.15</v>
      </c>
      <c r="M860" s="6">
        <v>6.7</v>
      </c>
      <c r="N860" s="6">
        <v>5</v>
      </c>
    </row>
    <row r="861" hidden="1" spans="1:14">
      <c r="A861" s="4" t="s">
        <v>2248</v>
      </c>
      <c r="B861" s="5" t="s">
        <v>2223</v>
      </c>
      <c r="C861" s="6" t="s">
        <v>36</v>
      </c>
      <c r="D861" s="6">
        <v>8.135</v>
      </c>
      <c r="E861" s="8">
        <v>1591057</v>
      </c>
      <c r="F861" s="8">
        <v>20861</v>
      </c>
      <c r="G861" s="6">
        <v>0</v>
      </c>
      <c r="H861" s="8">
        <v>0</v>
      </c>
      <c r="I861" s="6">
        <v>118.2</v>
      </c>
      <c r="J861" s="6">
        <v>4</v>
      </c>
      <c r="K861" s="6">
        <v>6.62</v>
      </c>
      <c r="L861" s="6">
        <v>-5.78</v>
      </c>
      <c r="M861" s="6">
        <v>9.3</v>
      </c>
      <c r="N861" s="6">
        <v>6.4</v>
      </c>
    </row>
    <row r="862" hidden="1" spans="1:14">
      <c r="A862" s="4" t="s">
        <v>2249</v>
      </c>
      <c r="B862" s="5" t="s">
        <v>2223</v>
      </c>
      <c r="C862" s="6" t="s">
        <v>48</v>
      </c>
      <c r="D862" s="6">
        <v>8.611</v>
      </c>
      <c r="E862" s="8">
        <v>166474</v>
      </c>
      <c r="F862" s="8">
        <v>805</v>
      </c>
      <c r="G862" s="6">
        <v>0</v>
      </c>
      <c r="H862" s="8">
        <v>0</v>
      </c>
      <c r="I862" s="6">
        <v>134.7</v>
      </c>
      <c r="J862" s="6">
        <v>6.5</v>
      </c>
      <c r="K862" s="6">
        <v>5.65</v>
      </c>
      <c r="L862" s="6">
        <v>8.15</v>
      </c>
      <c r="M862" s="6">
        <v>6.7</v>
      </c>
      <c r="N862" s="6">
        <v>5</v>
      </c>
    </row>
    <row r="863" hidden="1" spans="1:14">
      <c r="A863" s="4" t="s">
        <v>2250</v>
      </c>
      <c r="B863" s="5" t="s">
        <v>2223</v>
      </c>
      <c r="C863" s="6" t="s">
        <v>48</v>
      </c>
      <c r="D863" s="6">
        <v>8.991</v>
      </c>
      <c r="E863" s="8">
        <v>2394654</v>
      </c>
      <c r="F863" s="8">
        <v>86229</v>
      </c>
      <c r="G863" s="6">
        <v>0</v>
      </c>
      <c r="H863" s="8">
        <v>0</v>
      </c>
      <c r="I863" s="6">
        <v>134.7</v>
      </c>
      <c r="J863" s="6">
        <v>6.5</v>
      </c>
      <c r="K863" s="6">
        <v>5.65</v>
      </c>
      <c r="L863" s="6">
        <v>8.15</v>
      </c>
      <c r="M863" s="6">
        <v>6.7</v>
      </c>
      <c r="N863" s="6">
        <v>5</v>
      </c>
    </row>
    <row r="864" hidden="1" spans="1:14">
      <c r="A864" s="4" t="s">
        <v>2251</v>
      </c>
      <c r="B864" s="5" t="s">
        <v>2223</v>
      </c>
      <c r="C864" s="6" t="s">
        <v>32</v>
      </c>
      <c r="D864" s="6">
        <v>8.661</v>
      </c>
      <c r="E864" s="8">
        <v>4114453</v>
      </c>
      <c r="F864" s="8">
        <v>11748</v>
      </c>
      <c r="G864" s="6">
        <v>0</v>
      </c>
      <c r="H864" s="8">
        <v>0</v>
      </c>
      <c r="I864" s="6">
        <v>121.5</v>
      </c>
      <c r="J864" s="6">
        <v>5.15</v>
      </c>
      <c r="K864" s="6">
        <v>3.73</v>
      </c>
      <c r="L864" s="6">
        <v>3.87</v>
      </c>
      <c r="M864" s="6">
        <v>9.1</v>
      </c>
      <c r="N864" s="6">
        <v>-16.7</v>
      </c>
    </row>
    <row r="865" hidden="1" spans="1:14">
      <c r="A865" s="4" t="s">
        <v>2252</v>
      </c>
      <c r="B865" s="5" t="s">
        <v>2223</v>
      </c>
      <c r="C865" s="6" t="s">
        <v>40</v>
      </c>
      <c r="D865" s="6">
        <v>9.734</v>
      </c>
      <c r="E865" s="8">
        <v>3573159</v>
      </c>
      <c r="F865" s="8">
        <v>131910</v>
      </c>
      <c r="G865" s="6">
        <v>0</v>
      </c>
      <c r="H865" s="8">
        <v>0</v>
      </c>
      <c r="I865" s="6">
        <v>124.8</v>
      </c>
      <c r="J865" s="6">
        <v>4</v>
      </c>
      <c r="K865" s="6">
        <v>5.13</v>
      </c>
      <c r="L865" s="6">
        <v>9.69</v>
      </c>
      <c r="M865" s="6">
        <v>8.2</v>
      </c>
      <c r="N865" s="6">
        <v>1.65</v>
      </c>
    </row>
    <row r="866" hidden="1" spans="1:14">
      <c r="A866" s="4" t="s">
        <v>2253</v>
      </c>
      <c r="B866" s="5" t="s">
        <v>2223</v>
      </c>
      <c r="C866" s="6" t="s">
        <v>35</v>
      </c>
      <c r="D866" s="6">
        <v>9.741</v>
      </c>
      <c r="E866" s="8">
        <v>1924782</v>
      </c>
      <c r="F866" s="8">
        <v>956170</v>
      </c>
      <c r="G866" s="6">
        <v>1</v>
      </c>
      <c r="H866" s="8">
        <v>414660</v>
      </c>
      <c r="I866" s="6">
        <v>118.2</v>
      </c>
      <c r="J866" s="6">
        <v>4</v>
      </c>
      <c r="K866" s="6">
        <v>6.62</v>
      </c>
      <c r="L866" s="6">
        <v>-5.78</v>
      </c>
      <c r="M866" s="6">
        <v>10.3</v>
      </c>
      <c r="N866" s="6">
        <v>-1.6</v>
      </c>
    </row>
    <row r="867" hidden="1" spans="1:14">
      <c r="A867" s="4" t="s">
        <v>2254</v>
      </c>
      <c r="B867" s="5" t="s">
        <v>2223</v>
      </c>
      <c r="C867" s="6" t="s">
        <v>43</v>
      </c>
      <c r="D867" s="6">
        <v>11.384</v>
      </c>
      <c r="E867" s="8">
        <v>308081</v>
      </c>
      <c r="F867" s="8">
        <v>12176</v>
      </c>
      <c r="G867" s="6">
        <v>0</v>
      </c>
      <c r="H867" s="8">
        <v>0</v>
      </c>
      <c r="I867" s="6">
        <v>130.3</v>
      </c>
      <c r="J867" s="6">
        <v>5.9</v>
      </c>
      <c r="K867" s="6">
        <v>6.7</v>
      </c>
      <c r="L867" s="6">
        <v>6.99</v>
      </c>
      <c r="M867" s="6">
        <v>7.2</v>
      </c>
      <c r="N867" s="6">
        <v>4.5</v>
      </c>
    </row>
    <row r="868" hidden="1" spans="1:14">
      <c r="A868" s="4" t="s">
        <v>2255</v>
      </c>
      <c r="B868" s="5" t="s">
        <v>2223</v>
      </c>
      <c r="C868" s="6" t="s">
        <v>31</v>
      </c>
      <c r="D868" s="6">
        <v>8.273</v>
      </c>
      <c r="E868" s="8">
        <v>1210179</v>
      </c>
      <c r="F868" s="8">
        <v>27162</v>
      </c>
      <c r="G868" s="6">
        <v>0</v>
      </c>
      <c r="H868" s="8">
        <v>0</v>
      </c>
      <c r="I868" s="6">
        <v>121.5</v>
      </c>
      <c r="J868" s="6">
        <v>5.4</v>
      </c>
      <c r="K868" s="6">
        <v>3.73</v>
      </c>
      <c r="L868" s="6">
        <v>3.87</v>
      </c>
      <c r="M868" s="6">
        <v>7.8</v>
      </c>
      <c r="N868" s="6">
        <v>0.7</v>
      </c>
    </row>
    <row r="869" hidden="1" spans="1:14">
      <c r="A869" s="4" t="s">
        <v>2256</v>
      </c>
      <c r="B869" s="5" t="s">
        <v>2223</v>
      </c>
      <c r="C869" s="6" t="s">
        <v>41</v>
      </c>
      <c r="D869" s="6">
        <v>9.06</v>
      </c>
      <c r="E869" s="8">
        <v>92411</v>
      </c>
      <c r="F869" s="8">
        <v>1385</v>
      </c>
      <c r="G869" s="6">
        <v>0</v>
      </c>
      <c r="H869" s="8">
        <v>0</v>
      </c>
      <c r="I869" s="6">
        <v>130.3</v>
      </c>
      <c r="J869" s="6">
        <v>4</v>
      </c>
      <c r="K869" s="6">
        <v>6.7</v>
      </c>
      <c r="L869" s="6">
        <v>6.99</v>
      </c>
      <c r="M869" s="6">
        <v>6.6</v>
      </c>
      <c r="N869" s="6">
        <v>13.8</v>
      </c>
    </row>
    <row r="870" hidden="1" spans="1:14">
      <c r="A870" s="4" t="s">
        <v>2257</v>
      </c>
      <c r="B870" s="5" t="s">
        <v>2223</v>
      </c>
      <c r="C870" s="6" t="s">
        <v>31</v>
      </c>
      <c r="D870" s="6">
        <v>9.499</v>
      </c>
      <c r="E870" s="8">
        <v>492659</v>
      </c>
      <c r="F870" s="8">
        <v>17493</v>
      </c>
      <c r="G870" s="6">
        <v>0</v>
      </c>
      <c r="H870" s="8">
        <v>0</v>
      </c>
      <c r="I870" s="6">
        <v>121.5</v>
      </c>
      <c r="J870" s="6">
        <v>5.4</v>
      </c>
      <c r="K870" s="6">
        <v>3.73</v>
      </c>
      <c r="L870" s="6">
        <v>3.87</v>
      </c>
      <c r="M870" s="6">
        <v>7.8</v>
      </c>
      <c r="N870" s="6">
        <v>0.7</v>
      </c>
    </row>
    <row r="871" hidden="1" spans="1:14">
      <c r="A871" s="4" t="s">
        <v>2258</v>
      </c>
      <c r="B871" s="5" t="s">
        <v>2223</v>
      </c>
      <c r="C871" s="6" t="s">
        <v>36</v>
      </c>
      <c r="D871" s="6">
        <v>9.474</v>
      </c>
      <c r="E871" s="8">
        <v>1872069</v>
      </c>
      <c r="F871" s="8">
        <v>73599</v>
      </c>
      <c r="G871" s="6">
        <v>0</v>
      </c>
      <c r="H871" s="8">
        <v>0</v>
      </c>
      <c r="I871" s="6">
        <v>118.2</v>
      </c>
      <c r="J871" s="6">
        <v>4</v>
      </c>
      <c r="K871" s="6">
        <v>6.62</v>
      </c>
      <c r="L871" s="6">
        <v>-5.78</v>
      </c>
      <c r="M871" s="6">
        <v>9.3</v>
      </c>
      <c r="N871" s="6">
        <v>6.4</v>
      </c>
    </row>
    <row r="872" hidden="1" spans="1:14">
      <c r="A872" s="4" t="s">
        <v>2259</v>
      </c>
      <c r="B872" s="5" t="s">
        <v>2223</v>
      </c>
      <c r="C872" s="6" t="s">
        <v>44</v>
      </c>
      <c r="D872" s="6">
        <v>8.935</v>
      </c>
      <c r="E872" s="8">
        <v>485043</v>
      </c>
      <c r="F872" s="8">
        <v>13610</v>
      </c>
      <c r="G872" s="6">
        <v>0</v>
      </c>
      <c r="H872" s="8">
        <v>0</v>
      </c>
      <c r="I872" s="6">
        <v>130.3</v>
      </c>
      <c r="J872" s="6">
        <v>6.25</v>
      </c>
      <c r="K872" s="6">
        <v>6.7</v>
      </c>
      <c r="L872" s="6">
        <v>6.99</v>
      </c>
      <c r="M872" s="6">
        <v>6.7</v>
      </c>
      <c r="N872" s="6">
        <v>1.8</v>
      </c>
    </row>
    <row r="873" hidden="1" spans="1:14">
      <c r="A873" s="4" t="s">
        <v>2260</v>
      </c>
      <c r="B873" s="5" t="s">
        <v>2223</v>
      </c>
      <c r="C873" s="6" t="s">
        <v>72</v>
      </c>
      <c r="D873" s="6">
        <v>8.816</v>
      </c>
      <c r="E873" s="8">
        <v>2309350</v>
      </c>
      <c r="F873" s="8">
        <v>39939</v>
      </c>
      <c r="G873" s="6">
        <v>0</v>
      </c>
      <c r="H873" s="8">
        <v>0</v>
      </c>
      <c r="I873" s="6">
        <v>120</v>
      </c>
      <c r="J873" s="6">
        <v>6.5</v>
      </c>
      <c r="K873" s="6">
        <v>4.87</v>
      </c>
      <c r="L873" s="6">
        <v>6.5</v>
      </c>
      <c r="M873" s="6">
        <v>6.5</v>
      </c>
      <c r="N873" s="6">
        <v>4</v>
      </c>
    </row>
    <row r="874" hidden="1" spans="1:14">
      <c r="A874" s="4" t="s">
        <v>2261</v>
      </c>
      <c r="B874" s="5" t="s">
        <v>2223</v>
      </c>
      <c r="C874" s="6" t="s">
        <v>37</v>
      </c>
      <c r="D874" s="6">
        <v>9.355</v>
      </c>
      <c r="E874" s="8">
        <v>2604106</v>
      </c>
      <c r="F874" s="8">
        <v>23114</v>
      </c>
      <c r="G874" s="6">
        <v>0</v>
      </c>
      <c r="H874" s="8">
        <v>0</v>
      </c>
      <c r="I874" s="6">
        <v>124.8</v>
      </c>
      <c r="J874" s="6">
        <v>4</v>
      </c>
      <c r="K874" s="6">
        <v>5.13</v>
      </c>
      <c r="L874" s="6">
        <v>9.69</v>
      </c>
      <c r="M874" s="6">
        <v>12.6</v>
      </c>
      <c r="N874" s="6">
        <v>45</v>
      </c>
    </row>
    <row r="875" hidden="1" spans="1:14">
      <c r="A875" s="4" t="s">
        <v>2262</v>
      </c>
      <c r="B875" s="5" t="s">
        <v>2223</v>
      </c>
      <c r="C875" s="6" t="s">
        <v>32</v>
      </c>
      <c r="D875" s="6">
        <v>10.192</v>
      </c>
      <c r="E875" s="8">
        <v>876340</v>
      </c>
      <c r="F875" s="8">
        <v>3427</v>
      </c>
      <c r="G875" s="6">
        <v>0</v>
      </c>
      <c r="H875" s="8">
        <v>0</v>
      </c>
      <c r="I875" s="6">
        <v>121.5</v>
      </c>
      <c r="J875" s="6">
        <v>5.15</v>
      </c>
      <c r="K875" s="6">
        <v>3.73</v>
      </c>
      <c r="L875" s="6">
        <v>3.87</v>
      </c>
      <c r="M875" s="6">
        <v>9.1</v>
      </c>
      <c r="N875" s="6">
        <v>-16.7</v>
      </c>
    </row>
    <row r="876" hidden="1" spans="1:14">
      <c r="A876" s="4" t="s">
        <v>2263</v>
      </c>
      <c r="B876" s="5" t="s">
        <v>2223</v>
      </c>
      <c r="C876" s="6" t="s">
        <v>45</v>
      </c>
      <c r="D876" s="6">
        <v>8.914</v>
      </c>
      <c r="E876" s="8">
        <v>636056</v>
      </c>
      <c r="F876" s="8">
        <v>14378</v>
      </c>
      <c r="G876" s="6">
        <v>0</v>
      </c>
      <c r="H876" s="8">
        <v>0</v>
      </c>
      <c r="I876" s="6">
        <v>134.7</v>
      </c>
      <c r="J876" s="6">
        <v>6.5</v>
      </c>
      <c r="K876" s="6">
        <v>5.65</v>
      </c>
      <c r="L876" s="6">
        <v>8.15</v>
      </c>
      <c r="M876" s="6">
        <v>6.6</v>
      </c>
      <c r="N876" s="6">
        <v>4.1</v>
      </c>
    </row>
    <row r="877" hidden="1" spans="1:14">
      <c r="A877" s="4" t="s">
        <v>2264</v>
      </c>
      <c r="B877" s="5" t="s">
        <v>2223</v>
      </c>
      <c r="C877" s="6" t="s">
        <v>42</v>
      </c>
      <c r="D877" s="6">
        <v>8.518</v>
      </c>
      <c r="E877" s="8">
        <v>96773</v>
      </c>
      <c r="F877" s="8">
        <v>2501</v>
      </c>
      <c r="G877" s="6">
        <v>0</v>
      </c>
      <c r="H877" s="8">
        <v>0</v>
      </c>
      <c r="I877" s="6">
        <v>130.3</v>
      </c>
      <c r="J877" s="6">
        <v>4.9</v>
      </c>
      <c r="K877" s="6">
        <v>6.7</v>
      </c>
      <c r="L877" s="6">
        <v>6.99</v>
      </c>
      <c r="M877" s="6">
        <v>6.6</v>
      </c>
      <c r="N877" s="6">
        <v>5.6</v>
      </c>
    </row>
    <row r="878" hidden="1" spans="1:14">
      <c r="A878" s="4" t="s">
        <v>2265</v>
      </c>
      <c r="B878" s="5" t="s">
        <v>2223</v>
      </c>
      <c r="C878" s="6" t="s">
        <v>40</v>
      </c>
      <c r="D878" s="6">
        <v>8.271</v>
      </c>
      <c r="E878" s="8">
        <v>1937566</v>
      </c>
      <c r="F878" s="8">
        <v>41471</v>
      </c>
      <c r="G878" s="6">
        <v>0</v>
      </c>
      <c r="H878" s="8">
        <v>0</v>
      </c>
      <c r="I878" s="6">
        <v>124.8</v>
      </c>
      <c r="J878" s="6">
        <v>4</v>
      </c>
      <c r="K878" s="6">
        <v>5.13</v>
      </c>
      <c r="L878" s="6">
        <v>9.69</v>
      </c>
      <c r="M878" s="6">
        <v>8.2</v>
      </c>
      <c r="N878" s="6">
        <v>1.65</v>
      </c>
    </row>
    <row r="879" hidden="1" spans="1:14">
      <c r="A879" s="4" t="s">
        <v>2266</v>
      </c>
      <c r="B879" s="5" t="s">
        <v>2223</v>
      </c>
      <c r="C879" s="6" t="s">
        <v>42</v>
      </c>
      <c r="D879" s="6">
        <v>8.316</v>
      </c>
      <c r="E879" s="8">
        <v>3156495</v>
      </c>
      <c r="F879" s="8">
        <v>43195</v>
      </c>
      <c r="G879" s="6">
        <v>0</v>
      </c>
      <c r="H879" s="8">
        <v>0</v>
      </c>
      <c r="I879" s="6">
        <v>130.3</v>
      </c>
      <c r="J879" s="6">
        <v>4.9</v>
      </c>
      <c r="K879" s="6">
        <v>6.7</v>
      </c>
      <c r="L879" s="6">
        <v>6.99</v>
      </c>
      <c r="M879" s="6">
        <v>6.6</v>
      </c>
      <c r="N879" s="6">
        <v>5.6</v>
      </c>
    </row>
    <row r="880" hidden="1" spans="1:14">
      <c r="A880" s="4" t="s">
        <v>2267</v>
      </c>
      <c r="B880" s="5" t="s">
        <v>2223</v>
      </c>
      <c r="C880" s="6" t="s">
        <v>35</v>
      </c>
      <c r="D880" s="6">
        <v>9.234</v>
      </c>
      <c r="E880" s="8">
        <v>264334</v>
      </c>
      <c r="F880" s="8">
        <v>173144</v>
      </c>
      <c r="G880" s="6">
        <v>1</v>
      </c>
      <c r="H880" s="8">
        <v>115416</v>
      </c>
      <c r="I880" s="6">
        <v>118.2</v>
      </c>
      <c r="J880" s="6">
        <v>4</v>
      </c>
      <c r="K880" s="6">
        <v>6.62</v>
      </c>
      <c r="L880" s="6">
        <v>-5.78</v>
      </c>
      <c r="M880" s="6">
        <v>10.3</v>
      </c>
      <c r="N880" s="6">
        <v>-1.6</v>
      </c>
    </row>
    <row r="881" hidden="1" spans="1:14">
      <c r="A881" s="4" t="s">
        <v>2268</v>
      </c>
      <c r="B881" s="5" t="s">
        <v>2223</v>
      </c>
      <c r="C881" s="6" t="s">
        <v>36</v>
      </c>
      <c r="D881" s="6">
        <v>8.764</v>
      </c>
      <c r="E881" s="8">
        <v>1718339</v>
      </c>
      <c r="F881" s="8">
        <v>9253</v>
      </c>
      <c r="G881" s="6">
        <v>0</v>
      </c>
      <c r="H881" s="8">
        <v>0</v>
      </c>
      <c r="I881" s="6">
        <v>118.2</v>
      </c>
      <c r="J881" s="6">
        <v>4</v>
      </c>
      <c r="K881" s="6">
        <v>6.62</v>
      </c>
      <c r="L881" s="6">
        <v>-5.78</v>
      </c>
      <c r="M881" s="6">
        <v>9.3</v>
      </c>
      <c r="N881" s="6">
        <v>6.4</v>
      </c>
    </row>
    <row r="882" hidden="1" spans="1:14">
      <c r="A882" s="4" t="s">
        <v>2269</v>
      </c>
      <c r="B882" s="5" t="s">
        <v>2223</v>
      </c>
      <c r="C882" s="6" t="s">
        <v>47</v>
      </c>
      <c r="D882" s="6">
        <v>9.411</v>
      </c>
      <c r="E882" s="8">
        <v>1761252</v>
      </c>
      <c r="F882" s="8">
        <v>42134</v>
      </c>
      <c r="G882" s="6">
        <v>0</v>
      </c>
      <c r="H882" s="8">
        <v>0</v>
      </c>
      <c r="I882" s="6">
        <v>134.7</v>
      </c>
      <c r="J882" s="6">
        <v>6.5</v>
      </c>
      <c r="K882" s="6">
        <v>5.65</v>
      </c>
      <c r="L882" s="6">
        <v>8.15</v>
      </c>
      <c r="M882" s="6">
        <v>6.5</v>
      </c>
      <c r="N882" s="6">
        <v>3.6</v>
      </c>
    </row>
    <row r="883" hidden="1" spans="1:14">
      <c r="A883" s="4" t="s">
        <v>2270</v>
      </c>
      <c r="B883" s="5" t="s">
        <v>2223</v>
      </c>
      <c r="C883" s="6" t="s">
        <v>45</v>
      </c>
      <c r="D883" s="6">
        <v>8.66</v>
      </c>
      <c r="E883" s="8">
        <v>1359651</v>
      </c>
      <c r="F883" s="8">
        <v>7259</v>
      </c>
      <c r="G883" s="6">
        <v>0</v>
      </c>
      <c r="H883" s="8">
        <v>0</v>
      </c>
      <c r="I883" s="6">
        <v>134.7</v>
      </c>
      <c r="J883" s="6">
        <v>6.5</v>
      </c>
      <c r="K883" s="6">
        <v>5.65</v>
      </c>
      <c r="L883" s="6">
        <v>8.15</v>
      </c>
      <c r="M883" s="6">
        <v>6.6</v>
      </c>
      <c r="N883" s="6">
        <v>4.1</v>
      </c>
    </row>
    <row r="884" hidden="1" spans="1:14">
      <c r="A884" s="4" t="s">
        <v>2271</v>
      </c>
      <c r="B884" s="5" t="s">
        <v>2223</v>
      </c>
      <c r="C884" s="6" t="s">
        <v>39</v>
      </c>
      <c r="D884" s="6">
        <v>9.403</v>
      </c>
      <c r="E884" s="8">
        <v>234583</v>
      </c>
      <c r="F884" s="8">
        <v>4792</v>
      </c>
      <c r="G884" s="6">
        <v>0</v>
      </c>
      <c r="H884" s="8">
        <v>0</v>
      </c>
      <c r="I884" s="6">
        <v>124.8</v>
      </c>
      <c r="J884" s="6">
        <v>4</v>
      </c>
      <c r="K884" s="6">
        <v>5.13</v>
      </c>
      <c r="L884" s="6">
        <v>9.69</v>
      </c>
      <c r="M884" s="6">
        <v>8.7</v>
      </c>
      <c r="N884" s="6">
        <v>2.1</v>
      </c>
    </row>
    <row r="885" hidden="1" spans="1:14">
      <c r="A885" s="4" t="s">
        <v>2272</v>
      </c>
      <c r="B885" s="5" t="s">
        <v>2223</v>
      </c>
      <c r="C885" s="6" t="s">
        <v>38</v>
      </c>
      <c r="D885" s="6">
        <v>8.553</v>
      </c>
      <c r="E885" s="8">
        <v>2405781</v>
      </c>
      <c r="F885" s="8">
        <v>36595</v>
      </c>
      <c r="G885" s="6">
        <v>0</v>
      </c>
      <c r="H885" s="8">
        <v>0</v>
      </c>
      <c r="I885" s="6">
        <v>124.8</v>
      </c>
      <c r="J885" s="6">
        <v>4</v>
      </c>
      <c r="K885" s="6">
        <v>5.13</v>
      </c>
      <c r="L885" s="6">
        <v>9.69</v>
      </c>
      <c r="M885" s="6">
        <v>9.8</v>
      </c>
      <c r="N885" s="6">
        <v>8.7</v>
      </c>
    </row>
    <row r="886" hidden="1" spans="1:14">
      <c r="A886" s="4" t="s">
        <v>2273</v>
      </c>
      <c r="B886" s="5" t="s">
        <v>2223</v>
      </c>
      <c r="C886" s="6" t="s">
        <v>39</v>
      </c>
      <c r="D886" s="6">
        <v>9.863</v>
      </c>
      <c r="E886" s="8">
        <v>3757071</v>
      </c>
      <c r="F886" s="8">
        <v>14142</v>
      </c>
      <c r="G886" s="6">
        <v>0</v>
      </c>
      <c r="H886" s="8">
        <v>0</v>
      </c>
      <c r="I886" s="6">
        <v>124.8</v>
      </c>
      <c r="J886" s="6">
        <v>4</v>
      </c>
      <c r="K886" s="6">
        <v>5.13</v>
      </c>
      <c r="L886" s="6">
        <v>9.69</v>
      </c>
      <c r="M886" s="6">
        <v>8.7</v>
      </c>
      <c r="N886" s="6">
        <v>2.1</v>
      </c>
    </row>
    <row r="887" hidden="1" spans="1:14">
      <c r="A887" s="4" t="s">
        <v>2274</v>
      </c>
      <c r="B887" s="5" t="s">
        <v>2223</v>
      </c>
      <c r="C887" s="6" t="s">
        <v>48</v>
      </c>
      <c r="D887" s="6">
        <v>9.49</v>
      </c>
      <c r="E887" s="8">
        <v>265659</v>
      </c>
      <c r="F887" s="8">
        <v>11291</v>
      </c>
      <c r="G887" s="6">
        <v>0</v>
      </c>
      <c r="H887" s="8">
        <v>0</v>
      </c>
      <c r="I887" s="6">
        <v>134.7</v>
      </c>
      <c r="J887" s="6">
        <v>6.5</v>
      </c>
      <c r="K887" s="6">
        <v>5.65</v>
      </c>
      <c r="L887" s="6">
        <v>8.15</v>
      </c>
      <c r="M887" s="6">
        <v>6.7</v>
      </c>
      <c r="N887" s="6">
        <v>5</v>
      </c>
    </row>
    <row r="888" hidden="1" spans="1:14">
      <c r="A888" s="4" t="s">
        <v>2275</v>
      </c>
      <c r="B888" s="5" t="s">
        <v>2223</v>
      </c>
      <c r="C888" s="6" t="s">
        <v>32</v>
      </c>
      <c r="D888" s="6">
        <v>8.871</v>
      </c>
      <c r="E888" s="8">
        <v>2521027</v>
      </c>
      <c r="F888" s="8">
        <v>61541</v>
      </c>
      <c r="G888" s="6">
        <v>0</v>
      </c>
      <c r="H888" s="8">
        <v>0</v>
      </c>
      <c r="I888" s="6">
        <v>121.5</v>
      </c>
      <c r="J888" s="6">
        <v>5.15</v>
      </c>
      <c r="K888" s="6">
        <v>3.73</v>
      </c>
      <c r="L888" s="6">
        <v>3.87</v>
      </c>
      <c r="M888" s="6">
        <v>9.1</v>
      </c>
      <c r="N888" s="6">
        <v>-16.7</v>
      </c>
    </row>
    <row r="889" hidden="1" spans="1:14">
      <c r="A889" s="4" t="s">
        <v>2276</v>
      </c>
      <c r="B889" s="5" t="s">
        <v>2223</v>
      </c>
      <c r="C889" s="6" t="s">
        <v>47</v>
      </c>
      <c r="D889" s="6">
        <v>9.682</v>
      </c>
      <c r="E889" s="8">
        <v>1077488</v>
      </c>
      <c r="F889" s="8">
        <v>34541</v>
      </c>
      <c r="G889" s="6">
        <v>0</v>
      </c>
      <c r="H889" s="8">
        <v>0</v>
      </c>
      <c r="I889" s="6">
        <v>134.7</v>
      </c>
      <c r="J889" s="6">
        <v>6.5</v>
      </c>
      <c r="K889" s="6">
        <v>5.65</v>
      </c>
      <c r="L889" s="6">
        <v>8.15</v>
      </c>
      <c r="M889" s="6">
        <v>6.5</v>
      </c>
      <c r="N889" s="6">
        <v>3.6</v>
      </c>
    </row>
    <row r="890" hidden="1" spans="1:14">
      <c r="A890" s="4" t="s">
        <v>2277</v>
      </c>
      <c r="B890" s="5" t="s">
        <v>2223</v>
      </c>
      <c r="C890" s="6" t="s">
        <v>47</v>
      </c>
      <c r="D890" s="6">
        <v>9.378</v>
      </c>
      <c r="E890" s="8">
        <v>1380118</v>
      </c>
      <c r="F890" s="8">
        <v>41250</v>
      </c>
      <c r="G890" s="6">
        <v>0</v>
      </c>
      <c r="H890" s="8">
        <v>0</v>
      </c>
      <c r="I890" s="6">
        <v>134.7</v>
      </c>
      <c r="J890" s="6">
        <v>6.5</v>
      </c>
      <c r="K890" s="6">
        <v>5.65</v>
      </c>
      <c r="L890" s="6">
        <v>8.15</v>
      </c>
      <c r="M890" s="6">
        <v>6.5</v>
      </c>
      <c r="N890" s="6">
        <v>3.6</v>
      </c>
    </row>
    <row r="891" hidden="1" spans="1:14">
      <c r="A891" s="4" t="s">
        <v>2278</v>
      </c>
      <c r="B891" s="5" t="s">
        <v>2223</v>
      </c>
      <c r="C891" s="6" t="s">
        <v>33</v>
      </c>
      <c r="D891" s="6">
        <v>10.9</v>
      </c>
      <c r="E891" s="8">
        <v>547412</v>
      </c>
      <c r="F891" s="8">
        <v>167232</v>
      </c>
      <c r="G891" s="6">
        <v>1</v>
      </c>
      <c r="H891" s="8">
        <v>140120</v>
      </c>
      <c r="I891" s="6">
        <v>118.2</v>
      </c>
      <c r="J891" s="6">
        <v>4.4</v>
      </c>
      <c r="K891" s="6">
        <v>6.62</v>
      </c>
      <c r="L891" s="6">
        <v>-5.78</v>
      </c>
      <c r="M891" s="6">
        <v>20.8</v>
      </c>
      <c r="N891" s="6">
        <v>-37</v>
      </c>
    </row>
    <row r="892" hidden="1" spans="1:14">
      <c r="A892" s="4" t="s">
        <v>2279</v>
      </c>
      <c r="B892" s="5" t="s">
        <v>2223</v>
      </c>
      <c r="C892" s="6" t="s">
        <v>37</v>
      </c>
      <c r="D892" s="6">
        <v>8.606</v>
      </c>
      <c r="E892" s="8">
        <v>4293484</v>
      </c>
      <c r="F892" s="8">
        <v>18368</v>
      </c>
      <c r="G892" s="6">
        <v>0</v>
      </c>
      <c r="H892" s="8">
        <v>0</v>
      </c>
      <c r="I892" s="6">
        <v>124.8</v>
      </c>
      <c r="J892" s="6">
        <v>4</v>
      </c>
      <c r="K892" s="6">
        <v>5.13</v>
      </c>
      <c r="L892" s="6">
        <v>9.69</v>
      </c>
      <c r="M892" s="6">
        <v>12.6</v>
      </c>
      <c r="N892" s="6">
        <v>45</v>
      </c>
    </row>
    <row r="893" hidden="1" spans="1:14">
      <c r="A893" s="4" t="s">
        <v>2280</v>
      </c>
      <c r="B893" s="5" t="s">
        <v>2223</v>
      </c>
      <c r="C893" s="6" t="s">
        <v>32</v>
      </c>
      <c r="D893" s="6">
        <v>8.083</v>
      </c>
      <c r="E893" s="8">
        <v>4141887</v>
      </c>
      <c r="F893" s="8">
        <v>192912</v>
      </c>
      <c r="G893" s="6">
        <v>0</v>
      </c>
      <c r="H893" s="8">
        <v>0</v>
      </c>
      <c r="I893" s="6">
        <v>121.5</v>
      </c>
      <c r="J893" s="6">
        <v>5.15</v>
      </c>
      <c r="K893" s="6">
        <v>3.73</v>
      </c>
      <c r="L893" s="6">
        <v>3.87</v>
      </c>
      <c r="M893" s="6">
        <v>9.1</v>
      </c>
      <c r="N893" s="6">
        <v>-16.7</v>
      </c>
    </row>
    <row r="894" hidden="1" spans="1:14">
      <c r="A894" s="4" t="s">
        <v>2281</v>
      </c>
      <c r="B894" s="5" t="s">
        <v>2223</v>
      </c>
      <c r="C894" s="6" t="s">
        <v>40</v>
      </c>
      <c r="D894" s="6">
        <v>8.147</v>
      </c>
      <c r="E894" s="8">
        <v>1396272</v>
      </c>
      <c r="F894" s="8">
        <v>17706</v>
      </c>
      <c r="G894" s="6">
        <v>0</v>
      </c>
      <c r="H894" s="8">
        <v>0</v>
      </c>
      <c r="I894" s="6">
        <v>124.8</v>
      </c>
      <c r="J894" s="6">
        <v>4</v>
      </c>
      <c r="K894" s="6">
        <v>5.13</v>
      </c>
      <c r="L894" s="6">
        <v>9.69</v>
      </c>
      <c r="M894" s="6">
        <v>8.2</v>
      </c>
      <c r="N894" s="6">
        <v>1.65</v>
      </c>
    </row>
    <row r="895" hidden="1" spans="1:14">
      <c r="A895" s="4" t="s">
        <v>2282</v>
      </c>
      <c r="B895" s="5" t="s">
        <v>2223</v>
      </c>
      <c r="C895" s="6" t="s">
        <v>44</v>
      </c>
      <c r="D895" s="6">
        <v>10.138</v>
      </c>
      <c r="E895" s="8">
        <v>1869389</v>
      </c>
      <c r="F895" s="8">
        <v>73354</v>
      </c>
      <c r="G895" s="6">
        <v>0</v>
      </c>
      <c r="H895" s="8">
        <v>0</v>
      </c>
      <c r="I895" s="6">
        <v>130.3</v>
      </c>
      <c r="J895" s="6">
        <v>6.25</v>
      </c>
      <c r="K895" s="6">
        <v>6.7</v>
      </c>
      <c r="L895" s="6">
        <v>6.99</v>
      </c>
      <c r="M895" s="6">
        <v>6.7</v>
      </c>
      <c r="N895" s="6">
        <v>1.8</v>
      </c>
    </row>
    <row r="896" hidden="1" spans="1:14">
      <c r="A896" s="4" t="s">
        <v>2283</v>
      </c>
      <c r="B896" s="5" t="s">
        <v>2223</v>
      </c>
      <c r="C896" s="6" t="s">
        <v>35</v>
      </c>
      <c r="D896" s="6">
        <v>8.237</v>
      </c>
      <c r="E896" s="8">
        <v>727366</v>
      </c>
      <c r="F896" s="8">
        <v>22367</v>
      </c>
      <c r="G896" s="6">
        <v>0</v>
      </c>
      <c r="H896" s="8">
        <v>0</v>
      </c>
      <c r="I896" s="6">
        <v>118.2</v>
      </c>
      <c r="J896" s="6">
        <v>4</v>
      </c>
      <c r="K896" s="6">
        <v>6.62</v>
      </c>
      <c r="L896" s="6">
        <v>-5.78</v>
      </c>
      <c r="M896" s="6">
        <v>10.3</v>
      </c>
      <c r="N896" s="6">
        <v>-1.6</v>
      </c>
    </row>
    <row r="897" hidden="1" spans="1:14">
      <c r="A897" s="4" t="s">
        <v>2284</v>
      </c>
      <c r="B897" s="5" t="s">
        <v>2223</v>
      </c>
      <c r="C897" s="6" t="s">
        <v>32</v>
      </c>
      <c r="D897" s="6">
        <v>8.542</v>
      </c>
      <c r="E897" s="8">
        <v>4490586</v>
      </c>
      <c r="F897" s="8">
        <v>162776</v>
      </c>
      <c r="G897" s="6">
        <v>0</v>
      </c>
      <c r="H897" s="8">
        <v>0</v>
      </c>
      <c r="I897" s="6">
        <v>121.5</v>
      </c>
      <c r="J897" s="6">
        <v>5.15</v>
      </c>
      <c r="K897" s="6">
        <v>3.73</v>
      </c>
      <c r="L897" s="6">
        <v>3.87</v>
      </c>
      <c r="M897" s="6">
        <v>9.1</v>
      </c>
      <c r="N897" s="6">
        <v>-16.7</v>
      </c>
    </row>
    <row r="898" hidden="1" spans="1:14">
      <c r="A898" s="4" t="s">
        <v>2285</v>
      </c>
      <c r="B898" s="5" t="s">
        <v>2223</v>
      </c>
      <c r="C898" s="6" t="s">
        <v>37</v>
      </c>
      <c r="D898" s="6">
        <v>8.974</v>
      </c>
      <c r="E898" s="8">
        <v>1127327</v>
      </c>
      <c r="F898" s="8">
        <v>47395</v>
      </c>
      <c r="G898" s="6">
        <v>0</v>
      </c>
      <c r="H898" s="8">
        <v>0</v>
      </c>
      <c r="I898" s="6">
        <v>124.8</v>
      </c>
      <c r="J898" s="6">
        <v>4</v>
      </c>
      <c r="K898" s="6">
        <v>5.13</v>
      </c>
      <c r="L898" s="6">
        <v>9.69</v>
      </c>
      <c r="M898" s="6">
        <v>12.6</v>
      </c>
      <c r="N898" s="6">
        <v>45</v>
      </c>
    </row>
    <row r="899" hidden="1" spans="1:14">
      <c r="A899" s="4" t="s">
        <v>2286</v>
      </c>
      <c r="B899" s="5" t="s">
        <v>2223</v>
      </c>
      <c r="C899" s="6" t="s">
        <v>44</v>
      </c>
      <c r="D899" s="6">
        <v>9.918</v>
      </c>
      <c r="E899" s="8">
        <v>2645324</v>
      </c>
      <c r="F899" s="8">
        <v>61277</v>
      </c>
      <c r="G899" s="6">
        <v>0</v>
      </c>
      <c r="H899" s="8">
        <v>0</v>
      </c>
      <c r="I899" s="6">
        <v>130.3</v>
      </c>
      <c r="J899" s="6">
        <v>6.25</v>
      </c>
      <c r="K899" s="6">
        <v>6.7</v>
      </c>
      <c r="L899" s="6">
        <v>6.99</v>
      </c>
      <c r="M899" s="6">
        <v>6.7</v>
      </c>
      <c r="N899" s="6">
        <v>1.8</v>
      </c>
    </row>
    <row r="900" hidden="1" spans="1:14">
      <c r="A900" s="4" t="s">
        <v>2287</v>
      </c>
      <c r="B900" s="5" t="s">
        <v>2223</v>
      </c>
      <c r="C900" s="6" t="s">
        <v>34</v>
      </c>
      <c r="D900" s="6">
        <v>9.782</v>
      </c>
      <c r="E900" s="8">
        <v>2144440</v>
      </c>
      <c r="F900" s="8">
        <v>1189057</v>
      </c>
      <c r="G900" s="6">
        <v>1</v>
      </c>
      <c r="H900" s="8">
        <v>669983</v>
      </c>
      <c r="I900" s="6">
        <v>118.2</v>
      </c>
      <c r="J900" s="6">
        <v>4</v>
      </c>
      <c r="K900" s="6">
        <v>6.62</v>
      </c>
      <c r="L900" s="6">
        <v>-5.78</v>
      </c>
      <c r="M900" s="6">
        <v>13.2</v>
      </c>
      <c r="N900" s="6">
        <v>-8.6</v>
      </c>
    </row>
    <row r="901" hidden="1" spans="1:14">
      <c r="A901" s="4" t="s">
        <v>2288</v>
      </c>
      <c r="B901" s="5" t="s">
        <v>2223</v>
      </c>
      <c r="C901" s="6" t="s">
        <v>48</v>
      </c>
      <c r="D901" s="6">
        <v>9.291</v>
      </c>
      <c r="E901" s="8">
        <v>334185</v>
      </c>
      <c r="F901" s="8">
        <v>10593</v>
      </c>
      <c r="G901" s="6">
        <v>0</v>
      </c>
      <c r="H901" s="8">
        <v>0</v>
      </c>
      <c r="I901" s="6">
        <v>134.7</v>
      </c>
      <c r="J901" s="6">
        <v>6.5</v>
      </c>
      <c r="K901" s="6">
        <v>5.65</v>
      </c>
      <c r="L901" s="6">
        <v>8.15</v>
      </c>
      <c r="M901" s="6">
        <v>6.7</v>
      </c>
      <c r="N901" s="6">
        <v>5</v>
      </c>
    </row>
    <row r="902" hidden="1" spans="1:14">
      <c r="A902" s="4" t="s">
        <v>2289</v>
      </c>
      <c r="B902" s="5" t="s">
        <v>2223</v>
      </c>
      <c r="C902" s="6" t="s">
        <v>46</v>
      </c>
      <c r="D902" s="6">
        <v>8.668</v>
      </c>
      <c r="E902" s="8">
        <v>750783</v>
      </c>
      <c r="F902" s="8">
        <v>7851</v>
      </c>
      <c r="G902" s="6">
        <v>0</v>
      </c>
      <c r="H902" s="8">
        <v>0</v>
      </c>
      <c r="I902" s="6">
        <v>134.7</v>
      </c>
      <c r="J902" s="6">
        <v>6.5</v>
      </c>
      <c r="K902" s="6">
        <v>5.65</v>
      </c>
      <c r="L902" s="6">
        <v>8.15</v>
      </c>
      <c r="M902" s="6">
        <v>6.6</v>
      </c>
      <c r="N902" s="6">
        <v>9.7</v>
      </c>
    </row>
    <row r="903" hidden="1" spans="1:14">
      <c r="A903" s="4" t="s">
        <v>2290</v>
      </c>
      <c r="B903" s="5" t="s">
        <v>2223</v>
      </c>
      <c r="C903" s="6" t="s">
        <v>41</v>
      </c>
      <c r="D903" s="6">
        <v>9.476</v>
      </c>
      <c r="E903" s="8">
        <v>1583679</v>
      </c>
      <c r="F903" s="8">
        <v>37008</v>
      </c>
      <c r="G903" s="6">
        <v>0</v>
      </c>
      <c r="H903" s="8">
        <v>0</v>
      </c>
      <c r="I903" s="6">
        <v>130.3</v>
      </c>
      <c r="J903" s="6">
        <v>4</v>
      </c>
      <c r="K903" s="6">
        <v>6.7</v>
      </c>
      <c r="L903" s="6">
        <v>6.99</v>
      </c>
      <c r="M903" s="6">
        <v>6.6</v>
      </c>
      <c r="N903" s="6">
        <v>13.8</v>
      </c>
    </row>
    <row r="904" hidden="1" spans="1:14">
      <c r="A904" s="4" t="s">
        <v>2291</v>
      </c>
      <c r="B904" s="5" t="s">
        <v>2223</v>
      </c>
      <c r="C904" s="6" t="s">
        <v>30</v>
      </c>
      <c r="D904" s="6">
        <v>7.824</v>
      </c>
      <c r="E904" s="8">
        <v>2659086</v>
      </c>
      <c r="F904" s="8">
        <v>55382</v>
      </c>
      <c r="G904" s="6">
        <v>0</v>
      </c>
      <c r="H904" s="8">
        <v>0</v>
      </c>
      <c r="I904" s="6">
        <v>121.5</v>
      </c>
      <c r="J904" s="6">
        <v>5.75</v>
      </c>
      <c r="K904" s="6">
        <v>3.73</v>
      </c>
      <c r="L904" s="6">
        <v>3.87</v>
      </c>
      <c r="M904" s="6">
        <v>8.4</v>
      </c>
      <c r="N904" s="6">
        <v>0.6</v>
      </c>
    </row>
    <row r="905" hidden="1" spans="1:14">
      <c r="A905" s="4" t="s">
        <v>2292</v>
      </c>
      <c r="B905" s="5" t="s">
        <v>2223</v>
      </c>
      <c r="C905" s="6" t="s">
        <v>32</v>
      </c>
      <c r="D905" s="6">
        <v>8.396</v>
      </c>
      <c r="E905" s="8">
        <v>910895</v>
      </c>
      <c r="F905" s="8">
        <v>11410</v>
      </c>
      <c r="G905" s="6">
        <v>0</v>
      </c>
      <c r="H905" s="8">
        <v>0</v>
      </c>
      <c r="I905" s="6">
        <v>121.5</v>
      </c>
      <c r="J905" s="6">
        <v>5.15</v>
      </c>
      <c r="K905" s="6">
        <v>3.73</v>
      </c>
      <c r="L905" s="6">
        <v>3.87</v>
      </c>
      <c r="M905" s="6">
        <v>9.1</v>
      </c>
      <c r="N905" s="6">
        <v>-16.7</v>
      </c>
    </row>
    <row r="906" hidden="1" spans="1:14">
      <c r="A906" s="4" t="s">
        <v>2293</v>
      </c>
      <c r="B906" s="5" t="s">
        <v>2223</v>
      </c>
      <c r="C906" s="6" t="s">
        <v>45</v>
      </c>
      <c r="D906" s="6">
        <v>10.269</v>
      </c>
      <c r="E906" s="8">
        <v>2651606</v>
      </c>
      <c r="F906" s="8">
        <v>25548</v>
      </c>
      <c r="G906" s="6">
        <v>0</v>
      </c>
      <c r="H906" s="8">
        <v>0</v>
      </c>
      <c r="I906" s="6">
        <v>134.7</v>
      </c>
      <c r="J906" s="6">
        <v>6.5</v>
      </c>
      <c r="K906" s="6">
        <v>5.65</v>
      </c>
      <c r="L906" s="6">
        <v>8.15</v>
      </c>
      <c r="M906" s="6">
        <v>6.6</v>
      </c>
      <c r="N906" s="6">
        <v>4.1</v>
      </c>
    </row>
    <row r="907" hidden="1" spans="1:14">
      <c r="A907" s="4" t="s">
        <v>2294</v>
      </c>
      <c r="B907" s="5" t="s">
        <v>2223</v>
      </c>
      <c r="C907" s="6" t="s">
        <v>38</v>
      </c>
      <c r="D907" s="6">
        <v>8.858</v>
      </c>
      <c r="E907" s="8">
        <v>2466401</v>
      </c>
      <c r="F907" s="8">
        <v>108439</v>
      </c>
      <c r="G907" s="6">
        <v>0</v>
      </c>
      <c r="H907" s="8">
        <v>0</v>
      </c>
      <c r="I907" s="6">
        <v>124.8</v>
      </c>
      <c r="J907" s="6">
        <v>4</v>
      </c>
      <c r="K907" s="6">
        <v>5.13</v>
      </c>
      <c r="L907" s="6">
        <v>9.69</v>
      </c>
      <c r="M907" s="6">
        <v>9.8</v>
      </c>
      <c r="N907" s="6">
        <v>8.7</v>
      </c>
    </row>
    <row r="908" hidden="1" spans="1:14">
      <c r="A908" s="4" t="s">
        <v>2295</v>
      </c>
      <c r="B908" s="5" t="s">
        <v>2223</v>
      </c>
      <c r="C908" s="6" t="s">
        <v>35</v>
      </c>
      <c r="D908" s="6">
        <v>8.053</v>
      </c>
      <c r="E908" s="8">
        <v>1513146</v>
      </c>
      <c r="F908" s="8">
        <v>1063137</v>
      </c>
      <c r="G908" s="6">
        <v>1</v>
      </c>
      <c r="H908" s="8">
        <v>426966</v>
      </c>
      <c r="I908" s="6">
        <v>118.2</v>
      </c>
      <c r="J908" s="6">
        <v>4</v>
      </c>
      <c r="K908" s="6">
        <v>6.62</v>
      </c>
      <c r="L908" s="6">
        <v>-5.78</v>
      </c>
      <c r="M908" s="6">
        <v>10.3</v>
      </c>
      <c r="N908" s="6">
        <v>-1.6</v>
      </c>
    </row>
    <row r="909" hidden="1" spans="1:14">
      <c r="A909" s="4" t="s">
        <v>2296</v>
      </c>
      <c r="B909" s="5" t="s">
        <v>2223</v>
      </c>
      <c r="C909" s="6" t="s">
        <v>30</v>
      </c>
      <c r="D909" s="6">
        <v>10.588</v>
      </c>
      <c r="E909" s="8">
        <v>251181</v>
      </c>
      <c r="F909" s="8">
        <v>11028</v>
      </c>
      <c r="G909" s="6">
        <v>0</v>
      </c>
      <c r="H909" s="8">
        <v>0</v>
      </c>
      <c r="I909" s="6">
        <v>121.5</v>
      </c>
      <c r="J909" s="6">
        <v>5.75</v>
      </c>
      <c r="K909" s="6">
        <v>3.73</v>
      </c>
      <c r="L909" s="6">
        <v>3.87</v>
      </c>
      <c r="M909" s="6">
        <v>8.4</v>
      </c>
      <c r="N909" s="6">
        <v>0.6</v>
      </c>
    </row>
    <row r="910" hidden="1" spans="1:14">
      <c r="A910" s="4" t="s">
        <v>2297</v>
      </c>
      <c r="B910" s="5" t="s">
        <v>2223</v>
      </c>
      <c r="C910" s="6" t="s">
        <v>32</v>
      </c>
      <c r="D910" s="6">
        <v>10.071</v>
      </c>
      <c r="E910" s="8">
        <v>3240121</v>
      </c>
      <c r="F910" s="8">
        <v>2908236</v>
      </c>
      <c r="G910" s="6">
        <v>1</v>
      </c>
      <c r="H910" s="8">
        <v>1391666</v>
      </c>
      <c r="I910" s="6">
        <v>121.5</v>
      </c>
      <c r="J910" s="6">
        <v>5.15</v>
      </c>
      <c r="K910" s="6">
        <v>3.73</v>
      </c>
      <c r="L910" s="6">
        <v>3.87</v>
      </c>
      <c r="M910" s="6">
        <v>9.1</v>
      </c>
      <c r="N910" s="6">
        <v>-16.7</v>
      </c>
    </row>
    <row r="911" hidden="1" spans="1:14">
      <c r="A911" s="4" t="s">
        <v>2298</v>
      </c>
      <c r="B911" s="5" t="s">
        <v>2223</v>
      </c>
      <c r="C911" s="6" t="s">
        <v>42</v>
      </c>
      <c r="D911" s="6">
        <v>10.096</v>
      </c>
      <c r="E911" s="8">
        <v>1175501</v>
      </c>
      <c r="F911" s="8">
        <v>9019</v>
      </c>
      <c r="G911" s="6">
        <v>0</v>
      </c>
      <c r="H911" s="8">
        <v>0</v>
      </c>
      <c r="I911" s="6">
        <v>130.3</v>
      </c>
      <c r="J911" s="6">
        <v>4.9</v>
      </c>
      <c r="K911" s="6">
        <v>6.7</v>
      </c>
      <c r="L911" s="6">
        <v>6.99</v>
      </c>
      <c r="M911" s="6">
        <v>6.6</v>
      </c>
      <c r="N911" s="6">
        <v>5.6</v>
      </c>
    </row>
    <row r="912" hidden="1" spans="1:14">
      <c r="A912" s="4" t="s">
        <v>2299</v>
      </c>
      <c r="B912" s="5" t="s">
        <v>2223</v>
      </c>
      <c r="C912" s="6" t="s">
        <v>72</v>
      </c>
      <c r="D912" s="6">
        <v>8.892</v>
      </c>
      <c r="E912" s="8">
        <v>3842723</v>
      </c>
      <c r="F912" s="8">
        <v>95521</v>
      </c>
      <c r="G912" s="6">
        <v>0</v>
      </c>
      <c r="H912" s="8">
        <v>0</v>
      </c>
      <c r="I912" s="6">
        <v>120</v>
      </c>
      <c r="J912" s="6">
        <v>6.5</v>
      </c>
      <c r="K912" s="6">
        <v>4.87</v>
      </c>
      <c r="L912" s="6">
        <v>6.5</v>
      </c>
      <c r="M912" s="6">
        <v>6.5</v>
      </c>
      <c r="N912" s="6">
        <v>4</v>
      </c>
    </row>
    <row r="913" hidden="1" spans="1:14">
      <c r="A913" s="4" t="s">
        <v>2300</v>
      </c>
      <c r="B913" s="5" t="s">
        <v>2223</v>
      </c>
      <c r="C913" s="6" t="s">
        <v>30</v>
      </c>
      <c r="D913" s="6">
        <v>7.939</v>
      </c>
      <c r="E913" s="8">
        <v>1341918</v>
      </c>
      <c r="F913" s="8">
        <v>43881</v>
      </c>
      <c r="G913" s="6">
        <v>0</v>
      </c>
      <c r="H913" s="8">
        <v>0</v>
      </c>
      <c r="I913" s="6">
        <v>121.5</v>
      </c>
      <c r="J913" s="6">
        <v>5.75</v>
      </c>
      <c r="K913" s="6">
        <v>3.73</v>
      </c>
      <c r="L913" s="6">
        <v>3.87</v>
      </c>
      <c r="M913" s="6">
        <v>8.4</v>
      </c>
      <c r="N913" s="6">
        <v>0.6</v>
      </c>
    </row>
    <row r="914" hidden="1" spans="1:14">
      <c r="A914" s="4" t="s">
        <v>2301</v>
      </c>
      <c r="B914" s="5" t="s">
        <v>2223</v>
      </c>
      <c r="C914" s="6" t="s">
        <v>31</v>
      </c>
      <c r="D914" s="6">
        <v>9.396</v>
      </c>
      <c r="E914" s="8">
        <v>428402</v>
      </c>
      <c r="F914" s="8">
        <v>9957</v>
      </c>
      <c r="G914" s="6">
        <v>0</v>
      </c>
      <c r="H914" s="8">
        <v>0</v>
      </c>
      <c r="I914" s="6">
        <v>121.5</v>
      </c>
      <c r="J914" s="6">
        <v>5.4</v>
      </c>
      <c r="K914" s="6">
        <v>3.73</v>
      </c>
      <c r="L914" s="6">
        <v>3.87</v>
      </c>
      <c r="M914" s="6">
        <v>7.8</v>
      </c>
      <c r="N914" s="6">
        <v>0.7</v>
      </c>
    </row>
    <row r="915" hidden="1" spans="1:14">
      <c r="A915" s="4" t="s">
        <v>2302</v>
      </c>
      <c r="B915" s="5" t="s">
        <v>2223</v>
      </c>
      <c r="C915" s="6" t="s">
        <v>40</v>
      </c>
      <c r="D915" s="6">
        <v>8.371</v>
      </c>
      <c r="E915" s="8">
        <v>5051794</v>
      </c>
      <c r="F915" s="8">
        <v>69031</v>
      </c>
      <c r="G915" s="6">
        <v>0</v>
      </c>
      <c r="H915" s="8">
        <v>0</v>
      </c>
      <c r="I915" s="6">
        <v>124.8</v>
      </c>
      <c r="J915" s="6">
        <v>4</v>
      </c>
      <c r="K915" s="6">
        <v>5.13</v>
      </c>
      <c r="L915" s="6">
        <v>9.69</v>
      </c>
      <c r="M915" s="6">
        <v>8.2</v>
      </c>
      <c r="N915" s="6">
        <v>1.65</v>
      </c>
    </row>
    <row r="916" hidden="1" spans="1:14">
      <c r="A916" s="4" t="s">
        <v>2303</v>
      </c>
      <c r="B916" s="5" t="s">
        <v>2223</v>
      </c>
      <c r="C916" s="6" t="s">
        <v>72</v>
      </c>
      <c r="D916" s="6">
        <v>8.314</v>
      </c>
      <c r="E916" s="8">
        <v>2020593</v>
      </c>
      <c r="F916" s="8">
        <v>47005</v>
      </c>
      <c r="G916" s="6">
        <v>0</v>
      </c>
      <c r="H916" s="8">
        <v>0</v>
      </c>
      <c r="I916" s="6">
        <v>120</v>
      </c>
      <c r="J916" s="6">
        <v>6.5</v>
      </c>
      <c r="K916" s="6">
        <v>4.87</v>
      </c>
      <c r="L916" s="6">
        <v>6.5</v>
      </c>
      <c r="M916" s="6">
        <v>6.5</v>
      </c>
      <c r="N916" s="6">
        <v>4</v>
      </c>
    </row>
    <row r="917" hidden="1" spans="1:14">
      <c r="A917" s="4" t="s">
        <v>2304</v>
      </c>
      <c r="B917" s="5" t="s">
        <v>2223</v>
      </c>
      <c r="C917" s="6" t="s">
        <v>41</v>
      </c>
      <c r="D917" s="6">
        <v>8.775</v>
      </c>
      <c r="E917" s="8">
        <v>1966098</v>
      </c>
      <c r="F917" s="8">
        <v>1006</v>
      </c>
      <c r="G917" s="6">
        <v>0</v>
      </c>
      <c r="H917" s="8">
        <v>0</v>
      </c>
      <c r="I917" s="6">
        <v>130.3</v>
      </c>
      <c r="J917" s="6">
        <v>4</v>
      </c>
      <c r="K917" s="6">
        <v>6.7</v>
      </c>
      <c r="L917" s="6">
        <v>6.99</v>
      </c>
      <c r="M917" s="6">
        <v>6.6</v>
      </c>
      <c r="N917" s="6">
        <v>13.8</v>
      </c>
    </row>
    <row r="918" hidden="1" spans="1:14">
      <c r="A918" s="4" t="s">
        <v>2305</v>
      </c>
      <c r="B918" s="5" t="s">
        <v>2223</v>
      </c>
      <c r="C918" s="6" t="s">
        <v>44</v>
      </c>
      <c r="D918" s="6">
        <v>8.649</v>
      </c>
      <c r="E918" s="8">
        <v>2563220</v>
      </c>
      <c r="F918" s="8">
        <v>41892</v>
      </c>
      <c r="G918" s="6">
        <v>0</v>
      </c>
      <c r="H918" s="8">
        <v>0</v>
      </c>
      <c r="I918" s="6">
        <v>130.3</v>
      </c>
      <c r="J918" s="6">
        <v>6.25</v>
      </c>
      <c r="K918" s="6">
        <v>6.7</v>
      </c>
      <c r="L918" s="6">
        <v>6.99</v>
      </c>
      <c r="M918" s="6">
        <v>6.7</v>
      </c>
      <c r="N918" s="6">
        <v>1.8</v>
      </c>
    </row>
    <row r="919" hidden="1" spans="1:14">
      <c r="A919" s="4" t="s">
        <v>2306</v>
      </c>
      <c r="B919" s="5" t="s">
        <v>2223</v>
      </c>
      <c r="C919" s="6" t="s">
        <v>46</v>
      </c>
      <c r="D919" s="6">
        <v>9.873</v>
      </c>
      <c r="E919" s="8">
        <v>2776052</v>
      </c>
      <c r="F919" s="8">
        <v>80642</v>
      </c>
      <c r="G919" s="6">
        <v>0</v>
      </c>
      <c r="H919" s="8">
        <v>0</v>
      </c>
      <c r="I919" s="6">
        <v>134.7</v>
      </c>
      <c r="J919" s="6">
        <v>6.5</v>
      </c>
      <c r="K919" s="6">
        <v>5.65</v>
      </c>
      <c r="L919" s="6">
        <v>8.15</v>
      </c>
      <c r="M919" s="6">
        <v>6.6</v>
      </c>
      <c r="N919" s="6">
        <v>9.7</v>
      </c>
    </row>
    <row r="920" hidden="1" spans="1:14">
      <c r="A920" s="4" t="s">
        <v>2307</v>
      </c>
      <c r="B920" s="5" t="s">
        <v>2223</v>
      </c>
      <c r="C920" s="6" t="s">
        <v>41</v>
      </c>
      <c r="D920" s="6">
        <v>7.859</v>
      </c>
      <c r="E920" s="8">
        <v>3806700</v>
      </c>
      <c r="F920" s="8">
        <v>93378</v>
      </c>
      <c r="G920" s="6">
        <v>0</v>
      </c>
      <c r="H920" s="8">
        <v>0</v>
      </c>
      <c r="I920" s="6">
        <v>130.3</v>
      </c>
      <c r="J920" s="6">
        <v>4</v>
      </c>
      <c r="K920" s="6">
        <v>6.7</v>
      </c>
      <c r="L920" s="6">
        <v>6.99</v>
      </c>
      <c r="M920" s="6">
        <v>6.6</v>
      </c>
      <c r="N920" s="6">
        <v>13.8</v>
      </c>
    </row>
    <row r="921" hidden="1" spans="1:14">
      <c r="A921" s="4" t="s">
        <v>2308</v>
      </c>
      <c r="B921" s="5" t="s">
        <v>2223</v>
      </c>
      <c r="C921" s="6" t="s">
        <v>48</v>
      </c>
      <c r="D921" s="6">
        <v>9.517</v>
      </c>
      <c r="E921" s="8">
        <v>2509965</v>
      </c>
      <c r="F921" s="8">
        <v>118765</v>
      </c>
      <c r="G921" s="6">
        <v>0</v>
      </c>
      <c r="H921" s="8">
        <v>0</v>
      </c>
      <c r="I921" s="6">
        <v>134.7</v>
      </c>
      <c r="J921" s="6">
        <v>6.5</v>
      </c>
      <c r="K921" s="6">
        <v>5.65</v>
      </c>
      <c r="L921" s="6">
        <v>8.15</v>
      </c>
      <c r="M921" s="6">
        <v>6.7</v>
      </c>
      <c r="N921" s="6">
        <v>5</v>
      </c>
    </row>
    <row r="922" hidden="1" spans="1:14">
      <c r="A922" s="4" t="s">
        <v>2309</v>
      </c>
      <c r="B922" s="5" t="s">
        <v>2223</v>
      </c>
      <c r="C922" s="6" t="s">
        <v>34</v>
      </c>
      <c r="D922" s="6">
        <v>9.331</v>
      </c>
      <c r="E922" s="8">
        <v>754763</v>
      </c>
      <c r="F922" s="8">
        <v>1618</v>
      </c>
      <c r="G922" s="6">
        <v>0</v>
      </c>
      <c r="H922" s="8">
        <v>0</v>
      </c>
      <c r="I922" s="6">
        <v>118.2</v>
      </c>
      <c r="J922" s="6">
        <v>4</v>
      </c>
      <c r="K922" s="6">
        <v>6.62</v>
      </c>
      <c r="L922" s="6">
        <v>-5.78</v>
      </c>
      <c r="M922" s="6">
        <v>13.2</v>
      </c>
      <c r="N922" s="6">
        <v>-8.6</v>
      </c>
    </row>
    <row r="923" hidden="1" spans="1:14">
      <c r="A923" s="4" t="s">
        <v>2310</v>
      </c>
      <c r="B923" s="5" t="s">
        <v>2223</v>
      </c>
      <c r="C923" s="6" t="s">
        <v>48</v>
      </c>
      <c r="D923" s="6">
        <v>10.303</v>
      </c>
      <c r="E923" s="8">
        <v>2042899</v>
      </c>
      <c r="F923" s="8">
        <v>95871</v>
      </c>
      <c r="G923" s="6">
        <v>0</v>
      </c>
      <c r="H923" s="8">
        <v>0</v>
      </c>
      <c r="I923" s="6">
        <v>134.7</v>
      </c>
      <c r="J923" s="6">
        <v>6.5</v>
      </c>
      <c r="K923" s="6">
        <v>5.65</v>
      </c>
      <c r="L923" s="6">
        <v>8.15</v>
      </c>
      <c r="M923" s="6">
        <v>6.7</v>
      </c>
      <c r="N923" s="6">
        <v>5</v>
      </c>
    </row>
    <row r="924" hidden="1" spans="1:14">
      <c r="A924" s="4" t="s">
        <v>2311</v>
      </c>
      <c r="B924" s="5" t="s">
        <v>2223</v>
      </c>
      <c r="C924" s="6" t="s">
        <v>40</v>
      </c>
      <c r="D924" s="6">
        <v>9.203</v>
      </c>
      <c r="E924" s="8">
        <v>2486350</v>
      </c>
      <c r="F924" s="8">
        <v>69130</v>
      </c>
      <c r="G924" s="6">
        <v>0</v>
      </c>
      <c r="H924" s="8">
        <v>0</v>
      </c>
      <c r="I924" s="6">
        <v>124.8</v>
      </c>
      <c r="J924" s="6">
        <v>4</v>
      </c>
      <c r="K924" s="6">
        <v>5.13</v>
      </c>
      <c r="L924" s="6">
        <v>9.69</v>
      </c>
      <c r="M924" s="6">
        <v>8.2</v>
      </c>
      <c r="N924" s="6">
        <v>1.65</v>
      </c>
    </row>
    <row r="925" hidden="1" spans="1:14">
      <c r="A925" s="4" t="s">
        <v>2312</v>
      </c>
      <c r="B925" s="5" t="s">
        <v>2223</v>
      </c>
      <c r="C925" s="6" t="s">
        <v>32</v>
      </c>
      <c r="D925" s="6">
        <v>8.11</v>
      </c>
      <c r="E925" s="8">
        <v>2756911</v>
      </c>
      <c r="F925" s="8">
        <v>128870</v>
      </c>
      <c r="G925" s="6">
        <v>0</v>
      </c>
      <c r="H925" s="8">
        <v>0</v>
      </c>
      <c r="I925" s="6">
        <v>121.5</v>
      </c>
      <c r="J925" s="6">
        <v>5.15</v>
      </c>
      <c r="K925" s="6">
        <v>3.73</v>
      </c>
      <c r="L925" s="6">
        <v>3.87</v>
      </c>
      <c r="M925" s="6">
        <v>9.1</v>
      </c>
      <c r="N925" s="6">
        <v>-16.7</v>
      </c>
    </row>
    <row r="926" hidden="1" spans="1:14">
      <c r="A926" s="4" t="s">
        <v>2313</v>
      </c>
      <c r="B926" s="5" t="s">
        <v>2223</v>
      </c>
      <c r="C926" s="6" t="s">
        <v>31</v>
      </c>
      <c r="D926" s="6">
        <v>9.279</v>
      </c>
      <c r="E926" s="8">
        <v>436540</v>
      </c>
      <c r="F926" s="8">
        <v>14694</v>
      </c>
      <c r="G926" s="6">
        <v>0</v>
      </c>
      <c r="H926" s="8">
        <v>0</v>
      </c>
      <c r="I926" s="6">
        <v>121.5</v>
      </c>
      <c r="J926" s="6">
        <v>5.4</v>
      </c>
      <c r="K926" s="6">
        <v>3.73</v>
      </c>
      <c r="L926" s="6">
        <v>3.87</v>
      </c>
      <c r="M926" s="6">
        <v>7.8</v>
      </c>
      <c r="N926" s="6">
        <v>0.7</v>
      </c>
    </row>
    <row r="927" hidden="1" spans="1:14">
      <c r="A927" s="4" t="s">
        <v>2314</v>
      </c>
      <c r="B927" s="5" t="s">
        <v>2223</v>
      </c>
      <c r="C927" s="6" t="s">
        <v>44</v>
      </c>
      <c r="D927" s="6">
        <v>9.842</v>
      </c>
      <c r="E927" s="8">
        <v>125371</v>
      </c>
      <c r="F927" s="8">
        <v>5883</v>
      </c>
      <c r="G927" s="6">
        <v>0</v>
      </c>
      <c r="H927" s="8">
        <v>0</v>
      </c>
      <c r="I927" s="6">
        <v>130.3</v>
      </c>
      <c r="J927" s="6">
        <v>6.25</v>
      </c>
      <c r="K927" s="6">
        <v>6.7</v>
      </c>
      <c r="L927" s="6">
        <v>6.99</v>
      </c>
      <c r="M927" s="6">
        <v>6.7</v>
      </c>
      <c r="N927" s="6">
        <v>1.8</v>
      </c>
    </row>
    <row r="928" hidden="1" spans="1:14">
      <c r="A928" s="4" t="s">
        <v>2315</v>
      </c>
      <c r="B928" s="5" t="s">
        <v>2223</v>
      </c>
      <c r="C928" s="6" t="s">
        <v>34</v>
      </c>
      <c r="D928" s="6">
        <v>9.677</v>
      </c>
      <c r="E928" s="8">
        <v>630276</v>
      </c>
      <c r="F928" s="8">
        <v>10437</v>
      </c>
      <c r="G928" s="6">
        <v>0</v>
      </c>
      <c r="H928" s="8">
        <v>0</v>
      </c>
      <c r="I928" s="6">
        <v>118.2</v>
      </c>
      <c r="J928" s="6">
        <v>4</v>
      </c>
      <c r="K928" s="6">
        <v>6.62</v>
      </c>
      <c r="L928" s="6">
        <v>-5.78</v>
      </c>
      <c r="M928" s="6">
        <v>13.2</v>
      </c>
      <c r="N928" s="6">
        <v>-8.6</v>
      </c>
    </row>
    <row r="929" hidden="1" spans="1:14">
      <c r="A929" s="4" t="s">
        <v>2316</v>
      </c>
      <c r="B929" s="5" t="s">
        <v>2223</v>
      </c>
      <c r="C929" s="6" t="s">
        <v>41</v>
      </c>
      <c r="D929" s="6">
        <v>7.977</v>
      </c>
      <c r="E929" s="8">
        <v>795855</v>
      </c>
      <c r="F929" s="8">
        <v>13299</v>
      </c>
      <c r="G929" s="6">
        <v>0</v>
      </c>
      <c r="H929" s="8">
        <v>0</v>
      </c>
      <c r="I929" s="6">
        <v>130.3</v>
      </c>
      <c r="J929" s="6">
        <v>4</v>
      </c>
      <c r="K929" s="6">
        <v>6.7</v>
      </c>
      <c r="L929" s="6">
        <v>6.99</v>
      </c>
      <c r="M929" s="6">
        <v>6.6</v>
      </c>
      <c r="N929" s="6">
        <v>13.8</v>
      </c>
    </row>
    <row r="930" hidden="1" spans="1:14">
      <c r="A930" s="4" t="s">
        <v>2317</v>
      </c>
      <c r="B930" s="5" t="s">
        <v>2223</v>
      </c>
      <c r="C930" s="6" t="s">
        <v>33</v>
      </c>
      <c r="D930" s="6">
        <v>10.168</v>
      </c>
      <c r="E930" s="8">
        <v>193382</v>
      </c>
      <c r="F930" s="8">
        <v>5800</v>
      </c>
      <c r="G930" s="6">
        <v>0</v>
      </c>
      <c r="H930" s="8">
        <v>0</v>
      </c>
      <c r="I930" s="6">
        <v>118.2</v>
      </c>
      <c r="J930" s="6">
        <v>4.4</v>
      </c>
      <c r="K930" s="6">
        <v>6.62</v>
      </c>
      <c r="L930" s="6">
        <v>-5.78</v>
      </c>
      <c r="M930" s="6">
        <v>20.8</v>
      </c>
      <c r="N930" s="6">
        <v>-37</v>
      </c>
    </row>
    <row r="931" hidden="1" spans="1:14">
      <c r="A931" s="4" t="s">
        <v>2318</v>
      </c>
      <c r="B931" s="5" t="s">
        <v>2223</v>
      </c>
      <c r="C931" s="6" t="s">
        <v>39</v>
      </c>
      <c r="D931" s="6">
        <v>8.834</v>
      </c>
      <c r="E931" s="8">
        <v>1040036</v>
      </c>
      <c r="F931" s="8">
        <v>2959</v>
      </c>
      <c r="G931" s="6">
        <v>0</v>
      </c>
      <c r="H931" s="8">
        <v>0</v>
      </c>
      <c r="I931" s="6">
        <v>124.8</v>
      </c>
      <c r="J931" s="6">
        <v>4</v>
      </c>
      <c r="K931" s="6">
        <v>5.13</v>
      </c>
      <c r="L931" s="6">
        <v>9.69</v>
      </c>
      <c r="M931" s="6">
        <v>8.7</v>
      </c>
      <c r="N931" s="6">
        <v>2.1</v>
      </c>
    </row>
    <row r="932" hidden="1" spans="1:14">
      <c r="A932" s="4" t="s">
        <v>2319</v>
      </c>
      <c r="B932" s="5" t="s">
        <v>2223</v>
      </c>
      <c r="C932" s="6" t="s">
        <v>33</v>
      </c>
      <c r="D932" s="6">
        <v>9.909</v>
      </c>
      <c r="E932" s="8">
        <v>2342240</v>
      </c>
      <c r="F932" s="8">
        <v>30955</v>
      </c>
      <c r="G932" s="6">
        <v>0</v>
      </c>
      <c r="H932" s="8">
        <v>0</v>
      </c>
      <c r="I932" s="6">
        <v>118.2</v>
      </c>
      <c r="J932" s="6">
        <v>4.4</v>
      </c>
      <c r="K932" s="6">
        <v>6.62</v>
      </c>
      <c r="L932" s="6">
        <v>-5.78</v>
      </c>
      <c r="M932" s="6">
        <v>20.8</v>
      </c>
      <c r="N932" s="6">
        <v>-37</v>
      </c>
    </row>
    <row r="933" hidden="1" spans="1:14">
      <c r="A933" s="4" t="s">
        <v>2320</v>
      </c>
      <c r="B933" s="5" t="s">
        <v>2223</v>
      </c>
      <c r="C933" s="6" t="s">
        <v>35</v>
      </c>
      <c r="D933" s="6">
        <v>9.083</v>
      </c>
      <c r="E933" s="8">
        <v>1608569</v>
      </c>
      <c r="F933" s="8">
        <v>23542</v>
      </c>
      <c r="G933" s="6">
        <v>0</v>
      </c>
      <c r="H933" s="8">
        <v>0</v>
      </c>
      <c r="I933" s="6">
        <v>118.2</v>
      </c>
      <c r="J933" s="6">
        <v>4</v>
      </c>
      <c r="K933" s="6">
        <v>6.62</v>
      </c>
      <c r="L933" s="6">
        <v>-5.78</v>
      </c>
      <c r="M933" s="6">
        <v>10.3</v>
      </c>
      <c r="N933" s="6">
        <v>-1.6</v>
      </c>
    </row>
    <row r="934" hidden="1" spans="1:14">
      <c r="A934" s="4" t="s">
        <v>2321</v>
      </c>
      <c r="B934" s="5" t="s">
        <v>2223</v>
      </c>
      <c r="C934" s="6" t="s">
        <v>30</v>
      </c>
      <c r="D934" s="6">
        <v>9.032</v>
      </c>
      <c r="E934" s="8">
        <v>664854</v>
      </c>
      <c r="F934" s="8">
        <v>15784</v>
      </c>
      <c r="G934" s="6">
        <v>0</v>
      </c>
      <c r="H934" s="8">
        <v>0</v>
      </c>
      <c r="I934" s="6">
        <v>121.5</v>
      </c>
      <c r="J934" s="6">
        <v>5.75</v>
      </c>
      <c r="K934" s="6">
        <v>3.73</v>
      </c>
      <c r="L934" s="6">
        <v>3.87</v>
      </c>
      <c r="M934" s="6">
        <v>8.4</v>
      </c>
      <c r="N934" s="6">
        <v>0.6</v>
      </c>
    </row>
    <row r="935" hidden="1" spans="1:14">
      <c r="A935" s="4" t="s">
        <v>2322</v>
      </c>
      <c r="B935" s="5" t="s">
        <v>2223</v>
      </c>
      <c r="C935" s="6" t="s">
        <v>43</v>
      </c>
      <c r="D935" s="6">
        <v>10.174</v>
      </c>
      <c r="E935" s="8">
        <v>1952381</v>
      </c>
      <c r="F935" s="8">
        <v>46665</v>
      </c>
      <c r="G935" s="6">
        <v>0</v>
      </c>
      <c r="H935" s="8">
        <v>0</v>
      </c>
      <c r="I935" s="6">
        <v>130.3</v>
      </c>
      <c r="J935" s="6">
        <v>5.9</v>
      </c>
      <c r="K935" s="6">
        <v>6.7</v>
      </c>
      <c r="L935" s="6">
        <v>6.99</v>
      </c>
      <c r="M935" s="6">
        <v>7.2</v>
      </c>
      <c r="N935" s="6">
        <v>4.5</v>
      </c>
    </row>
    <row r="936" hidden="1" spans="1:14">
      <c r="A936" s="4" t="s">
        <v>2323</v>
      </c>
      <c r="B936" s="5" t="s">
        <v>2223</v>
      </c>
      <c r="C936" s="6" t="s">
        <v>33</v>
      </c>
      <c r="D936" s="6">
        <v>9.094</v>
      </c>
      <c r="E936" s="8">
        <v>1176954</v>
      </c>
      <c r="F936" s="8">
        <v>37565</v>
      </c>
      <c r="G936" s="6">
        <v>0</v>
      </c>
      <c r="H936" s="8">
        <v>0</v>
      </c>
      <c r="I936" s="6">
        <v>118.2</v>
      </c>
      <c r="J936" s="6">
        <v>4.4</v>
      </c>
      <c r="K936" s="6">
        <v>6.62</v>
      </c>
      <c r="L936" s="6">
        <v>-5.78</v>
      </c>
      <c r="M936" s="6">
        <v>20.8</v>
      </c>
      <c r="N936" s="6">
        <v>-37</v>
      </c>
    </row>
    <row r="937" hidden="1" spans="1:14">
      <c r="A937" s="4" t="s">
        <v>2324</v>
      </c>
      <c r="B937" s="5" t="s">
        <v>2223</v>
      </c>
      <c r="C937" s="6" t="s">
        <v>34</v>
      </c>
      <c r="D937" s="6">
        <v>7.98</v>
      </c>
      <c r="E937" s="8">
        <v>1889645</v>
      </c>
      <c r="F937" s="8">
        <v>66229</v>
      </c>
      <c r="G937" s="6">
        <v>0</v>
      </c>
      <c r="H937" s="8">
        <v>0</v>
      </c>
      <c r="I937" s="6">
        <v>118.2</v>
      </c>
      <c r="J937" s="6">
        <v>4</v>
      </c>
      <c r="K937" s="6">
        <v>6.62</v>
      </c>
      <c r="L937" s="6">
        <v>-5.78</v>
      </c>
      <c r="M937" s="6">
        <v>13.2</v>
      </c>
      <c r="N937" s="6">
        <v>-8.6</v>
      </c>
    </row>
    <row r="938" hidden="1" spans="1:14">
      <c r="A938" s="4" t="s">
        <v>2325</v>
      </c>
      <c r="B938" s="5" t="s">
        <v>2223</v>
      </c>
      <c r="C938" s="6" t="s">
        <v>30</v>
      </c>
      <c r="D938" s="6">
        <v>9.336</v>
      </c>
      <c r="E938" s="8">
        <v>2483122</v>
      </c>
      <c r="F938" s="8">
        <v>11079</v>
      </c>
      <c r="G938" s="6">
        <v>0</v>
      </c>
      <c r="H938" s="8">
        <v>0</v>
      </c>
      <c r="I938" s="6">
        <v>121.5</v>
      </c>
      <c r="J938" s="6">
        <v>5.75</v>
      </c>
      <c r="K938" s="6">
        <v>3.73</v>
      </c>
      <c r="L938" s="6">
        <v>3.87</v>
      </c>
      <c r="M938" s="6">
        <v>8.4</v>
      </c>
      <c r="N938" s="6">
        <v>0.6</v>
      </c>
    </row>
    <row r="939" hidden="1" spans="1:14">
      <c r="A939" s="4" t="s">
        <v>2326</v>
      </c>
      <c r="B939" s="5" t="s">
        <v>2223</v>
      </c>
      <c r="C939" s="6" t="s">
        <v>72</v>
      </c>
      <c r="D939" s="6">
        <v>9.18</v>
      </c>
      <c r="E939" s="8">
        <v>2408222</v>
      </c>
      <c r="F939" s="8">
        <v>51065</v>
      </c>
      <c r="G939" s="6">
        <v>0</v>
      </c>
      <c r="H939" s="8">
        <v>0</v>
      </c>
      <c r="I939" s="6">
        <v>120</v>
      </c>
      <c r="J939" s="6">
        <v>6.5</v>
      </c>
      <c r="K939" s="6">
        <v>4.87</v>
      </c>
      <c r="L939" s="6">
        <v>6.5</v>
      </c>
      <c r="M939" s="6">
        <v>6.5</v>
      </c>
      <c r="N939" s="6">
        <v>4</v>
      </c>
    </row>
    <row r="940" hidden="1" spans="1:14">
      <c r="A940" s="4" t="s">
        <v>2327</v>
      </c>
      <c r="B940" s="5" t="s">
        <v>2223</v>
      </c>
      <c r="C940" s="6" t="s">
        <v>34</v>
      </c>
      <c r="D940" s="6">
        <v>8.312</v>
      </c>
      <c r="E940" s="8">
        <v>1751397</v>
      </c>
      <c r="F940" s="8">
        <v>61575</v>
      </c>
      <c r="G940" s="6">
        <v>0</v>
      </c>
      <c r="H940" s="8">
        <v>0</v>
      </c>
      <c r="I940" s="6">
        <v>118.2</v>
      </c>
      <c r="J940" s="6">
        <v>4</v>
      </c>
      <c r="K940" s="6">
        <v>6.62</v>
      </c>
      <c r="L940" s="6">
        <v>-5.78</v>
      </c>
      <c r="M940" s="6">
        <v>13.2</v>
      </c>
      <c r="N940" s="6">
        <v>-8.6</v>
      </c>
    </row>
    <row r="941" hidden="1" spans="1:14">
      <c r="A941" s="4" t="s">
        <v>2328</v>
      </c>
      <c r="B941" s="5" t="s">
        <v>2223</v>
      </c>
      <c r="C941" s="6" t="s">
        <v>43</v>
      </c>
      <c r="D941" s="6">
        <v>9.062</v>
      </c>
      <c r="E941" s="8">
        <v>544046</v>
      </c>
      <c r="F941" s="8">
        <v>13749</v>
      </c>
      <c r="G941" s="6">
        <v>0</v>
      </c>
      <c r="H941" s="8">
        <v>0</v>
      </c>
      <c r="I941" s="6">
        <v>130.3</v>
      </c>
      <c r="J941" s="6">
        <v>5.9</v>
      </c>
      <c r="K941" s="6">
        <v>6.7</v>
      </c>
      <c r="L941" s="6">
        <v>6.99</v>
      </c>
      <c r="M941" s="6">
        <v>7.2</v>
      </c>
      <c r="N941" s="6">
        <v>4.5</v>
      </c>
    </row>
    <row r="942" hidden="1" spans="1:14">
      <c r="A942" s="4" t="s">
        <v>2329</v>
      </c>
      <c r="B942" s="5" t="s">
        <v>2223</v>
      </c>
      <c r="C942" s="6" t="s">
        <v>34</v>
      </c>
      <c r="D942" s="6">
        <v>8.373</v>
      </c>
      <c r="E942" s="8">
        <v>3224272</v>
      </c>
      <c r="F942" s="8">
        <v>159574</v>
      </c>
      <c r="G942" s="6">
        <v>0</v>
      </c>
      <c r="H942" s="8">
        <v>0</v>
      </c>
      <c r="I942" s="6">
        <v>118.2</v>
      </c>
      <c r="J942" s="6">
        <v>4</v>
      </c>
      <c r="K942" s="6">
        <v>6.62</v>
      </c>
      <c r="L942" s="6">
        <v>-5.78</v>
      </c>
      <c r="M942" s="6">
        <v>13.2</v>
      </c>
      <c r="N942" s="6">
        <v>-8.6</v>
      </c>
    </row>
    <row r="943" hidden="1" spans="1:14">
      <c r="A943" s="4" t="s">
        <v>2330</v>
      </c>
      <c r="B943" s="5" t="s">
        <v>2223</v>
      </c>
      <c r="C943" s="6" t="s">
        <v>44</v>
      </c>
      <c r="D943" s="6">
        <v>9.614</v>
      </c>
      <c r="E943" s="8">
        <v>1537905</v>
      </c>
      <c r="F943" s="8">
        <v>71702</v>
      </c>
      <c r="G943" s="6">
        <v>0</v>
      </c>
      <c r="H943" s="8">
        <v>0</v>
      </c>
      <c r="I943" s="6">
        <v>130.3</v>
      </c>
      <c r="J943" s="6">
        <v>6.25</v>
      </c>
      <c r="K943" s="6">
        <v>6.7</v>
      </c>
      <c r="L943" s="6">
        <v>6.99</v>
      </c>
      <c r="M943" s="6">
        <v>6.7</v>
      </c>
      <c r="N943" s="6">
        <v>1.8</v>
      </c>
    </row>
    <row r="944" hidden="1" spans="1:14">
      <c r="A944" s="4" t="s">
        <v>2331</v>
      </c>
      <c r="B944" s="5" t="s">
        <v>2223</v>
      </c>
      <c r="C944" s="6" t="s">
        <v>44</v>
      </c>
      <c r="D944" s="6">
        <v>9.196</v>
      </c>
      <c r="E944" s="8">
        <v>1964344</v>
      </c>
      <c r="F944" s="8">
        <v>60787</v>
      </c>
      <c r="G944" s="6">
        <v>0</v>
      </c>
      <c r="H944" s="8">
        <v>0</v>
      </c>
      <c r="I944" s="6">
        <v>130.3</v>
      </c>
      <c r="J944" s="6">
        <v>6.25</v>
      </c>
      <c r="K944" s="6">
        <v>6.7</v>
      </c>
      <c r="L944" s="6">
        <v>6.99</v>
      </c>
      <c r="M944" s="6">
        <v>6.7</v>
      </c>
      <c r="N944" s="6">
        <v>1.8</v>
      </c>
    </row>
    <row r="945" hidden="1" spans="1:14">
      <c r="A945" s="4" t="s">
        <v>2332</v>
      </c>
      <c r="B945" s="5" t="s">
        <v>2223</v>
      </c>
      <c r="C945" s="6" t="s">
        <v>37</v>
      </c>
      <c r="D945" s="6">
        <v>8.829</v>
      </c>
      <c r="E945" s="8">
        <v>2087974</v>
      </c>
      <c r="F945" s="8">
        <v>626</v>
      </c>
      <c r="G945" s="6">
        <v>0</v>
      </c>
      <c r="H945" s="8">
        <v>0</v>
      </c>
      <c r="I945" s="6">
        <v>124.8</v>
      </c>
      <c r="J945" s="6">
        <v>4</v>
      </c>
      <c r="K945" s="6">
        <v>5.13</v>
      </c>
      <c r="L945" s="6">
        <v>9.69</v>
      </c>
      <c r="M945" s="6">
        <v>12.6</v>
      </c>
      <c r="N945" s="6">
        <v>45</v>
      </c>
    </row>
    <row r="946" hidden="1" spans="1:14">
      <c r="A946" s="4" t="s">
        <v>2333</v>
      </c>
      <c r="B946" s="5" t="s">
        <v>2223</v>
      </c>
      <c r="C946" s="6" t="s">
        <v>29</v>
      </c>
      <c r="D946" s="6">
        <v>10.381</v>
      </c>
      <c r="E946" s="8">
        <v>538320</v>
      </c>
      <c r="F946" s="8">
        <v>4729</v>
      </c>
      <c r="G946" s="6">
        <v>0</v>
      </c>
      <c r="H946" s="8">
        <v>0</v>
      </c>
      <c r="I946" s="6">
        <v>121.5</v>
      </c>
      <c r="J946" s="6">
        <v>6</v>
      </c>
      <c r="K946" s="6">
        <v>3.73</v>
      </c>
      <c r="L946" s="6">
        <v>3.87</v>
      </c>
      <c r="M946" s="6">
        <v>7</v>
      </c>
      <c r="N946" s="6">
        <v>3.6</v>
      </c>
    </row>
    <row r="947" hidden="1" spans="1:14">
      <c r="A947" s="4" t="s">
        <v>2334</v>
      </c>
      <c r="B947" s="5" t="s">
        <v>2223</v>
      </c>
      <c r="C947" s="6" t="s">
        <v>47</v>
      </c>
      <c r="D947" s="6">
        <v>9.456</v>
      </c>
      <c r="E947" s="8">
        <v>2037861</v>
      </c>
      <c r="F947" s="8">
        <v>63729</v>
      </c>
      <c r="G947" s="6">
        <v>0</v>
      </c>
      <c r="H947" s="8">
        <v>0</v>
      </c>
      <c r="I947" s="6">
        <v>134.7</v>
      </c>
      <c r="J947" s="6">
        <v>6.5</v>
      </c>
      <c r="K947" s="6">
        <v>5.65</v>
      </c>
      <c r="L947" s="6">
        <v>8.15</v>
      </c>
      <c r="M947" s="6">
        <v>6.5</v>
      </c>
      <c r="N947" s="6">
        <v>3.6</v>
      </c>
    </row>
    <row r="948" hidden="1" spans="1:14">
      <c r="A948" s="4" t="s">
        <v>2335</v>
      </c>
      <c r="B948" s="5" t="s">
        <v>2223</v>
      </c>
      <c r="C948" s="6" t="s">
        <v>40</v>
      </c>
      <c r="D948" s="6">
        <v>8.077</v>
      </c>
      <c r="E948" s="8">
        <v>4332002</v>
      </c>
      <c r="F948" s="8">
        <v>88438</v>
      </c>
      <c r="G948" s="6">
        <v>0</v>
      </c>
      <c r="H948" s="8">
        <v>0</v>
      </c>
      <c r="I948" s="6">
        <v>124.8</v>
      </c>
      <c r="J948" s="6">
        <v>4</v>
      </c>
      <c r="K948" s="6">
        <v>5.13</v>
      </c>
      <c r="L948" s="6">
        <v>9.69</v>
      </c>
      <c r="M948" s="6">
        <v>8.2</v>
      </c>
      <c r="N948" s="6">
        <v>1.65</v>
      </c>
    </row>
    <row r="949" hidden="1" spans="1:14">
      <c r="A949" s="4" t="s">
        <v>2336</v>
      </c>
      <c r="B949" s="5" t="s">
        <v>2223</v>
      </c>
      <c r="C949" s="6" t="s">
        <v>48</v>
      </c>
      <c r="D949" s="6">
        <v>8.795</v>
      </c>
      <c r="E949" s="8">
        <v>2400953</v>
      </c>
      <c r="F949" s="8">
        <v>53205</v>
      </c>
      <c r="G949" s="6">
        <v>0</v>
      </c>
      <c r="H949" s="8">
        <v>0</v>
      </c>
      <c r="I949" s="6">
        <v>134.7</v>
      </c>
      <c r="J949" s="6">
        <v>6.5</v>
      </c>
      <c r="K949" s="6">
        <v>5.65</v>
      </c>
      <c r="L949" s="6">
        <v>8.15</v>
      </c>
      <c r="M949" s="6">
        <v>6.7</v>
      </c>
      <c r="N949" s="6">
        <v>5</v>
      </c>
    </row>
    <row r="950" hidden="1" spans="1:14">
      <c r="A950" s="4" t="s">
        <v>2337</v>
      </c>
      <c r="B950" s="5" t="s">
        <v>2223</v>
      </c>
      <c r="C950" s="6" t="s">
        <v>47</v>
      </c>
      <c r="D950" s="6">
        <v>9.638</v>
      </c>
      <c r="E950" s="8">
        <v>1282413</v>
      </c>
      <c r="F950" s="8">
        <v>6926</v>
      </c>
      <c r="G950" s="6">
        <v>0</v>
      </c>
      <c r="H950" s="8">
        <v>0</v>
      </c>
      <c r="I950" s="6">
        <v>134.7</v>
      </c>
      <c r="J950" s="6">
        <v>6.5</v>
      </c>
      <c r="K950" s="6">
        <v>5.65</v>
      </c>
      <c r="L950" s="6">
        <v>8.15</v>
      </c>
      <c r="M950" s="6">
        <v>6.5</v>
      </c>
      <c r="N950" s="6">
        <v>3.6</v>
      </c>
    </row>
    <row r="951" hidden="1" spans="1:14">
      <c r="A951" s="4" t="s">
        <v>2338</v>
      </c>
      <c r="B951" s="5" t="s">
        <v>2223</v>
      </c>
      <c r="C951" s="6" t="s">
        <v>44</v>
      </c>
      <c r="D951" s="6">
        <v>10.603</v>
      </c>
      <c r="E951" s="8">
        <v>2312940</v>
      </c>
      <c r="F951" s="8">
        <v>67491</v>
      </c>
      <c r="G951" s="6">
        <v>0</v>
      </c>
      <c r="H951" s="8">
        <v>0</v>
      </c>
      <c r="I951" s="6">
        <v>130.3</v>
      </c>
      <c r="J951" s="6">
        <v>6.25</v>
      </c>
      <c r="K951" s="6">
        <v>6.7</v>
      </c>
      <c r="L951" s="6">
        <v>6.99</v>
      </c>
      <c r="M951" s="6">
        <v>6.7</v>
      </c>
      <c r="N951" s="6">
        <v>1.8</v>
      </c>
    </row>
    <row r="952" hidden="1" spans="1:14">
      <c r="A952" s="4" t="s">
        <v>2339</v>
      </c>
      <c r="B952" s="5" t="s">
        <v>2223</v>
      </c>
      <c r="C952" s="6" t="s">
        <v>31</v>
      </c>
      <c r="D952" s="6">
        <v>9.341</v>
      </c>
      <c r="E952" s="8">
        <v>1115327</v>
      </c>
      <c r="F952" s="8">
        <v>30682</v>
      </c>
      <c r="G952" s="6">
        <v>0</v>
      </c>
      <c r="H952" s="8">
        <v>0</v>
      </c>
      <c r="I952" s="6">
        <v>121.5</v>
      </c>
      <c r="J952" s="6">
        <v>5.4</v>
      </c>
      <c r="K952" s="6">
        <v>3.73</v>
      </c>
      <c r="L952" s="6">
        <v>3.87</v>
      </c>
      <c r="M952" s="6">
        <v>7.8</v>
      </c>
      <c r="N952" s="6">
        <v>0.7</v>
      </c>
    </row>
    <row r="953" hidden="1" spans="1:14">
      <c r="A953" s="4" t="s">
        <v>2340</v>
      </c>
      <c r="B953" s="5" t="s">
        <v>2223</v>
      </c>
      <c r="C953" s="6" t="s">
        <v>46</v>
      </c>
      <c r="D953" s="6">
        <v>9.221</v>
      </c>
      <c r="E953" s="8">
        <v>2490348</v>
      </c>
      <c r="F953" s="8">
        <v>54023</v>
      </c>
      <c r="G953" s="6">
        <v>0</v>
      </c>
      <c r="H953" s="8">
        <v>0</v>
      </c>
      <c r="I953" s="6">
        <v>134.7</v>
      </c>
      <c r="J953" s="6">
        <v>6.5</v>
      </c>
      <c r="K953" s="6">
        <v>5.65</v>
      </c>
      <c r="L953" s="6">
        <v>8.15</v>
      </c>
      <c r="M953" s="6">
        <v>6.6</v>
      </c>
      <c r="N953" s="6">
        <v>9.7</v>
      </c>
    </row>
    <row r="954" hidden="1" spans="1:14">
      <c r="A954" s="4" t="s">
        <v>2341</v>
      </c>
      <c r="B954" s="5" t="s">
        <v>2223</v>
      </c>
      <c r="C954" s="6" t="s">
        <v>43</v>
      </c>
      <c r="D954" s="6">
        <v>9.262</v>
      </c>
      <c r="E954" s="8">
        <v>106320</v>
      </c>
      <c r="F954" s="8">
        <v>3689</v>
      </c>
      <c r="G954" s="6">
        <v>0</v>
      </c>
      <c r="H954" s="8">
        <v>0</v>
      </c>
      <c r="I954" s="6">
        <v>130.3</v>
      </c>
      <c r="J954" s="6">
        <v>5.9</v>
      </c>
      <c r="K954" s="6">
        <v>6.7</v>
      </c>
      <c r="L954" s="6">
        <v>6.99</v>
      </c>
      <c r="M954" s="6">
        <v>7.2</v>
      </c>
      <c r="N954" s="6">
        <v>4.5</v>
      </c>
    </row>
    <row r="955" hidden="1" spans="1:14">
      <c r="A955" s="4" t="s">
        <v>2342</v>
      </c>
      <c r="B955" s="5" t="s">
        <v>2223</v>
      </c>
      <c r="C955" s="6" t="s">
        <v>42</v>
      </c>
      <c r="D955" s="6">
        <v>8.801</v>
      </c>
      <c r="E955" s="8">
        <v>442509</v>
      </c>
      <c r="F955" s="8">
        <v>15228</v>
      </c>
      <c r="G955" s="6">
        <v>0</v>
      </c>
      <c r="H955" s="8">
        <v>0</v>
      </c>
      <c r="I955" s="6">
        <v>130.3</v>
      </c>
      <c r="J955" s="6">
        <v>4.9</v>
      </c>
      <c r="K955" s="6">
        <v>6.7</v>
      </c>
      <c r="L955" s="6">
        <v>6.99</v>
      </c>
      <c r="M955" s="6">
        <v>6.6</v>
      </c>
      <c r="N955" s="6">
        <v>5.6</v>
      </c>
    </row>
    <row r="956" hidden="1" spans="1:14">
      <c r="A956" s="4" t="s">
        <v>2343</v>
      </c>
      <c r="B956" s="5" t="s">
        <v>2223</v>
      </c>
      <c r="C956" s="6" t="s">
        <v>44</v>
      </c>
      <c r="D956" s="6">
        <v>9.339</v>
      </c>
      <c r="E956" s="8">
        <v>2628079</v>
      </c>
      <c r="F956" s="8">
        <v>12736</v>
      </c>
      <c r="G956" s="6">
        <v>0</v>
      </c>
      <c r="H956" s="8">
        <v>0</v>
      </c>
      <c r="I956" s="6">
        <v>130.3</v>
      </c>
      <c r="J956" s="6">
        <v>6.25</v>
      </c>
      <c r="K956" s="6">
        <v>6.7</v>
      </c>
      <c r="L956" s="6">
        <v>6.99</v>
      </c>
      <c r="M956" s="6">
        <v>6.7</v>
      </c>
      <c r="N956" s="6">
        <v>1.8</v>
      </c>
    </row>
    <row r="957" hidden="1" spans="1:14">
      <c r="A957" s="4" t="s">
        <v>2344</v>
      </c>
      <c r="B957" s="5" t="s">
        <v>2223</v>
      </c>
      <c r="C957" s="6" t="s">
        <v>72</v>
      </c>
      <c r="D957" s="6">
        <v>8.857</v>
      </c>
      <c r="E957" s="8">
        <v>1362203</v>
      </c>
      <c r="F957" s="8">
        <v>13817</v>
      </c>
      <c r="G957" s="6">
        <v>0</v>
      </c>
      <c r="H957" s="8">
        <v>0</v>
      </c>
      <c r="I957" s="6">
        <v>120</v>
      </c>
      <c r="J957" s="6">
        <v>6.5</v>
      </c>
      <c r="K957" s="6">
        <v>4.87</v>
      </c>
      <c r="L957" s="6">
        <v>6.5</v>
      </c>
      <c r="M957" s="6">
        <v>6.5</v>
      </c>
      <c r="N957" s="6">
        <v>4</v>
      </c>
    </row>
    <row r="958" hidden="1" spans="1:14">
      <c r="A958" s="4" t="s">
        <v>2345</v>
      </c>
      <c r="B958" s="5" t="s">
        <v>2223</v>
      </c>
      <c r="C958" s="6" t="s">
        <v>35</v>
      </c>
      <c r="D958" s="6">
        <v>10.203</v>
      </c>
      <c r="E958" s="8">
        <v>1612016</v>
      </c>
      <c r="F958" s="8">
        <v>19068</v>
      </c>
      <c r="G958" s="6">
        <v>0</v>
      </c>
      <c r="H958" s="8">
        <v>0</v>
      </c>
      <c r="I958" s="6">
        <v>118.2</v>
      </c>
      <c r="J958" s="6">
        <v>4</v>
      </c>
      <c r="K958" s="6">
        <v>6.62</v>
      </c>
      <c r="L958" s="6">
        <v>-5.78</v>
      </c>
      <c r="M958" s="6">
        <v>10.3</v>
      </c>
      <c r="N958" s="6">
        <v>-1.6</v>
      </c>
    </row>
    <row r="959" hidden="1" spans="1:14">
      <c r="A959" s="4" t="s">
        <v>2346</v>
      </c>
      <c r="B959" s="5" t="s">
        <v>2223</v>
      </c>
      <c r="C959" s="6" t="s">
        <v>30</v>
      </c>
      <c r="D959" s="6">
        <v>8.981</v>
      </c>
      <c r="E959" s="8">
        <v>2011696</v>
      </c>
      <c r="F959" s="8">
        <v>42120</v>
      </c>
      <c r="G959" s="6">
        <v>0</v>
      </c>
      <c r="H959" s="8">
        <v>0</v>
      </c>
      <c r="I959" s="6">
        <v>121.5</v>
      </c>
      <c r="J959" s="6">
        <v>5.75</v>
      </c>
      <c r="K959" s="6">
        <v>3.73</v>
      </c>
      <c r="L959" s="6">
        <v>3.87</v>
      </c>
      <c r="M959" s="6">
        <v>8.4</v>
      </c>
      <c r="N959" s="6">
        <v>0.6</v>
      </c>
    </row>
    <row r="960" hidden="1" spans="1:14">
      <c r="A960" s="4" t="s">
        <v>2347</v>
      </c>
      <c r="B960" s="5" t="s">
        <v>2223</v>
      </c>
      <c r="C960" s="6" t="s">
        <v>33</v>
      </c>
      <c r="D960" s="6">
        <v>9.875</v>
      </c>
      <c r="E960" s="8">
        <v>1047619</v>
      </c>
      <c r="F960" s="8">
        <v>13244</v>
      </c>
      <c r="G960" s="6">
        <v>0</v>
      </c>
      <c r="H960" s="8">
        <v>0</v>
      </c>
      <c r="I960" s="6">
        <v>118.2</v>
      </c>
      <c r="J960" s="6">
        <v>4.4</v>
      </c>
      <c r="K960" s="6">
        <v>6.62</v>
      </c>
      <c r="L960" s="6">
        <v>-5.78</v>
      </c>
      <c r="M960" s="6">
        <v>20.8</v>
      </c>
      <c r="N960" s="6">
        <v>-37</v>
      </c>
    </row>
    <row r="961" hidden="1" spans="1:14">
      <c r="A961" s="4" t="s">
        <v>2348</v>
      </c>
      <c r="B961" s="5" t="s">
        <v>2223</v>
      </c>
      <c r="C961" s="6" t="s">
        <v>31</v>
      </c>
      <c r="D961" s="6">
        <v>8.17</v>
      </c>
      <c r="E961" s="8">
        <v>709185</v>
      </c>
      <c r="F961" s="8">
        <v>29769</v>
      </c>
      <c r="G961" s="6">
        <v>0</v>
      </c>
      <c r="H961" s="8">
        <v>0</v>
      </c>
      <c r="I961" s="6">
        <v>121.5</v>
      </c>
      <c r="J961" s="6">
        <v>5.4</v>
      </c>
      <c r="K961" s="6">
        <v>3.73</v>
      </c>
      <c r="L961" s="6">
        <v>3.87</v>
      </c>
      <c r="M961" s="6">
        <v>7.8</v>
      </c>
      <c r="N961" s="6">
        <v>0.7</v>
      </c>
    </row>
    <row r="962" hidden="1" spans="1:14">
      <c r="A962" s="4" t="s">
        <v>2349</v>
      </c>
      <c r="B962" s="5" t="s">
        <v>2223</v>
      </c>
      <c r="C962" s="6" t="s">
        <v>39</v>
      </c>
      <c r="D962" s="6">
        <v>8.574</v>
      </c>
      <c r="E962" s="8">
        <v>3176788</v>
      </c>
      <c r="F962" s="8">
        <v>62676</v>
      </c>
      <c r="G962" s="6">
        <v>0</v>
      </c>
      <c r="H962" s="8">
        <v>0</v>
      </c>
      <c r="I962" s="6">
        <v>124.8</v>
      </c>
      <c r="J962" s="6">
        <v>4</v>
      </c>
      <c r="K962" s="6">
        <v>5.13</v>
      </c>
      <c r="L962" s="6">
        <v>9.69</v>
      </c>
      <c r="M962" s="6">
        <v>8.7</v>
      </c>
      <c r="N962" s="6">
        <v>2.1</v>
      </c>
    </row>
    <row r="963" hidden="1" spans="1:14">
      <c r="A963" s="4" t="s">
        <v>2350</v>
      </c>
      <c r="B963" s="5" t="s">
        <v>2223</v>
      </c>
      <c r="C963" s="6" t="s">
        <v>37</v>
      </c>
      <c r="D963" s="6">
        <v>9.118</v>
      </c>
      <c r="E963" s="8">
        <v>1728865</v>
      </c>
      <c r="F963" s="8">
        <v>14786</v>
      </c>
      <c r="G963" s="6">
        <v>0</v>
      </c>
      <c r="H963" s="8">
        <v>0</v>
      </c>
      <c r="I963" s="6">
        <v>124.8</v>
      </c>
      <c r="J963" s="6">
        <v>4</v>
      </c>
      <c r="K963" s="6">
        <v>5.13</v>
      </c>
      <c r="L963" s="6">
        <v>9.69</v>
      </c>
      <c r="M963" s="6">
        <v>12.6</v>
      </c>
      <c r="N963" s="6">
        <v>45</v>
      </c>
    </row>
    <row r="964" hidden="1" spans="1:14">
      <c r="A964" s="4" t="s">
        <v>2351</v>
      </c>
      <c r="B964" s="5" t="s">
        <v>2223</v>
      </c>
      <c r="C964" s="6" t="s">
        <v>32</v>
      </c>
      <c r="D964" s="6">
        <v>8.719</v>
      </c>
      <c r="E964" s="8">
        <v>2714931</v>
      </c>
      <c r="F964" s="8">
        <v>108844</v>
      </c>
      <c r="G964" s="6">
        <v>0</v>
      </c>
      <c r="H964" s="8">
        <v>0</v>
      </c>
      <c r="I964" s="6">
        <v>121.5</v>
      </c>
      <c r="J964" s="6">
        <v>5.15</v>
      </c>
      <c r="K964" s="6">
        <v>3.73</v>
      </c>
      <c r="L964" s="6">
        <v>3.87</v>
      </c>
      <c r="M964" s="6">
        <v>9.1</v>
      </c>
      <c r="N964" s="6">
        <v>-16.7</v>
      </c>
    </row>
    <row r="965" hidden="1" spans="1:14">
      <c r="A965" s="4" t="s">
        <v>2352</v>
      </c>
      <c r="B965" s="5" t="s">
        <v>2223</v>
      </c>
      <c r="C965" s="6" t="s">
        <v>44</v>
      </c>
      <c r="D965" s="6">
        <v>9.156</v>
      </c>
      <c r="E965" s="8">
        <v>1368388</v>
      </c>
      <c r="F965" s="8">
        <v>44707</v>
      </c>
      <c r="G965" s="6">
        <v>0</v>
      </c>
      <c r="H965" s="8">
        <v>0</v>
      </c>
      <c r="I965" s="6">
        <v>130.3</v>
      </c>
      <c r="J965" s="6">
        <v>6.25</v>
      </c>
      <c r="K965" s="6">
        <v>6.7</v>
      </c>
      <c r="L965" s="6">
        <v>6.99</v>
      </c>
      <c r="M965" s="6">
        <v>6.7</v>
      </c>
      <c r="N965" s="6">
        <v>1.8</v>
      </c>
    </row>
    <row r="966" hidden="1" spans="1:14">
      <c r="A966" s="4" t="s">
        <v>2353</v>
      </c>
      <c r="B966" s="5" t="s">
        <v>2223</v>
      </c>
      <c r="C966" s="6" t="s">
        <v>32</v>
      </c>
      <c r="D966" s="6">
        <v>7.981</v>
      </c>
      <c r="E966" s="8">
        <v>3330326</v>
      </c>
      <c r="F966" s="8">
        <v>157535</v>
      </c>
      <c r="G966" s="6">
        <v>0</v>
      </c>
      <c r="H966" s="8">
        <v>0</v>
      </c>
      <c r="I966" s="6">
        <v>121.5</v>
      </c>
      <c r="J966" s="6">
        <v>5.15</v>
      </c>
      <c r="K966" s="6">
        <v>3.73</v>
      </c>
      <c r="L966" s="6">
        <v>3.87</v>
      </c>
      <c r="M966" s="6">
        <v>9.1</v>
      </c>
      <c r="N966" s="6">
        <v>-16.7</v>
      </c>
    </row>
    <row r="967" hidden="1" spans="1:14">
      <c r="A967" s="4" t="s">
        <v>2354</v>
      </c>
      <c r="B967" s="5" t="s">
        <v>2223</v>
      </c>
      <c r="C967" s="6" t="s">
        <v>36</v>
      </c>
      <c r="D967" s="6">
        <v>7.81</v>
      </c>
      <c r="E967" s="8">
        <v>163766</v>
      </c>
      <c r="F967" s="8">
        <v>66620</v>
      </c>
      <c r="G967" s="6">
        <v>1</v>
      </c>
      <c r="H967" s="8">
        <v>51245</v>
      </c>
      <c r="I967" s="6">
        <v>118.2</v>
      </c>
      <c r="J967" s="6">
        <v>4</v>
      </c>
      <c r="K967" s="6">
        <v>6.62</v>
      </c>
      <c r="L967" s="6">
        <v>-5.78</v>
      </c>
      <c r="M967" s="6">
        <v>9.3</v>
      </c>
      <c r="N967" s="6">
        <v>6.4</v>
      </c>
    </row>
    <row r="968" hidden="1" spans="1:14">
      <c r="A968" s="4" t="s">
        <v>2355</v>
      </c>
      <c r="B968" s="5" t="s">
        <v>2223</v>
      </c>
      <c r="C968" s="6" t="s">
        <v>32</v>
      </c>
      <c r="D968" s="6">
        <v>7.997</v>
      </c>
      <c r="E968" s="8">
        <v>4544572</v>
      </c>
      <c r="F968" s="8">
        <v>107432</v>
      </c>
      <c r="G968" s="6">
        <v>0</v>
      </c>
      <c r="H968" s="8">
        <v>0</v>
      </c>
      <c r="I968" s="6">
        <v>121.5</v>
      </c>
      <c r="J968" s="6">
        <v>5.15</v>
      </c>
      <c r="K968" s="6">
        <v>3.73</v>
      </c>
      <c r="L968" s="6">
        <v>3.87</v>
      </c>
      <c r="M968" s="6">
        <v>9.1</v>
      </c>
      <c r="N968" s="6">
        <v>-16.7</v>
      </c>
    </row>
    <row r="969" hidden="1" spans="1:14">
      <c r="A969" s="4" t="s">
        <v>2356</v>
      </c>
      <c r="B969" s="5" t="s">
        <v>2223</v>
      </c>
      <c r="C969" s="6" t="s">
        <v>35</v>
      </c>
      <c r="D969" s="6">
        <v>8.979</v>
      </c>
      <c r="E969" s="8">
        <v>632551</v>
      </c>
      <c r="F969" s="8">
        <v>342029</v>
      </c>
      <c r="G969" s="6">
        <v>1</v>
      </c>
      <c r="H969" s="8">
        <v>160999</v>
      </c>
      <c r="I969" s="6">
        <v>118.2</v>
      </c>
      <c r="J969" s="6">
        <v>4</v>
      </c>
      <c r="K969" s="6">
        <v>6.62</v>
      </c>
      <c r="L969" s="6">
        <v>-5.78</v>
      </c>
      <c r="M969" s="6">
        <v>10.3</v>
      </c>
      <c r="N969" s="6">
        <v>-1.6</v>
      </c>
    </row>
    <row r="970" hidden="1" spans="1:14">
      <c r="A970" s="4" t="s">
        <v>2357</v>
      </c>
      <c r="B970" s="5" t="s">
        <v>2223</v>
      </c>
      <c r="C970" s="6" t="s">
        <v>29</v>
      </c>
      <c r="D970" s="6">
        <v>9.458</v>
      </c>
      <c r="E970" s="8">
        <v>82645</v>
      </c>
      <c r="F970" s="8">
        <v>1617</v>
      </c>
      <c r="G970" s="6">
        <v>0</v>
      </c>
      <c r="H970" s="8">
        <v>0</v>
      </c>
      <c r="I970" s="6">
        <v>121.5</v>
      </c>
      <c r="J970" s="6">
        <v>6</v>
      </c>
      <c r="K970" s="6">
        <v>3.73</v>
      </c>
      <c r="L970" s="6">
        <v>3.87</v>
      </c>
      <c r="M970" s="6">
        <v>7</v>
      </c>
      <c r="N970" s="6">
        <v>3.6</v>
      </c>
    </row>
    <row r="971" hidden="1" spans="1:14">
      <c r="A971" s="4" t="s">
        <v>2358</v>
      </c>
      <c r="B971" s="5" t="s">
        <v>2223</v>
      </c>
      <c r="C971" s="6" t="s">
        <v>43</v>
      </c>
      <c r="D971" s="6">
        <v>9.151</v>
      </c>
      <c r="E971" s="8">
        <v>2102479</v>
      </c>
      <c r="F971" s="8">
        <v>75247</v>
      </c>
      <c r="G971" s="6">
        <v>0</v>
      </c>
      <c r="H971" s="8">
        <v>0</v>
      </c>
      <c r="I971" s="6">
        <v>130.3</v>
      </c>
      <c r="J971" s="6">
        <v>5.9</v>
      </c>
      <c r="K971" s="6">
        <v>6.7</v>
      </c>
      <c r="L971" s="6">
        <v>6.99</v>
      </c>
      <c r="M971" s="6">
        <v>7.2</v>
      </c>
      <c r="N971" s="6">
        <v>4.5</v>
      </c>
    </row>
    <row r="972" hidden="1" spans="1:14">
      <c r="A972" s="4" t="s">
        <v>2359</v>
      </c>
      <c r="B972" s="5" t="s">
        <v>2223</v>
      </c>
      <c r="C972" s="6" t="s">
        <v>29</v>
      </c>
      <c r="D972" s="6">
        <v>8.661</v>
      </c>
      <c r="E972" s="8">
        <v>3137919</v>
      </c>
      <c r="F972" s="8">
        <v>40064</v>
      </c>
      <c r="G972" s="6">
        <v>0</v>
      </c>
      <c r="H972" s="8">
        <v>0</v>
      </c>
      <c r="I972" s="6">
        <v>121.5</v>
      </c>
      <c r="J972" s="6">
        <v>6</v>
      </c>
      <c r="K972" s="6">
        <v>3.73</v>
      </c>
      <c r="L972" s="6">
        <v>3.87</v>
      </c>
      <c r="M972" s="6">
        <v>7</v>
      </c>
      <c r="N972" s="6">
        <v>3.6</v>
      </c>
    </row>
    <row r="973" hidden="1" spans="1:14">
      <c r="A973" s="4" t="s">
        <v>2360</v>
      </c>
      <c r="B973" s="5" t="s">
        <v>2223</v>
      </c>
      <c r="C973" s="6" t="s">
        <v>36</v>
      </c>
      <c r="D973" s="6">
        <v>8.335</v>
      </c>
      <c r="E973" s="8">
        <v>2466973</v>
      </c>
      <c r="F973" s="8">
        <v>2098944</v>
      </c>
      <c r="G973" s="6">
        <v>1</v>
      </c>
      <c r="H973" s="8">
        <v>1233504</v>
      </c>
      <c r="I973" s="6">
        <v>118.2</v>
      </c>
      <c r="J973" s="6">
        <v>4</v>
      </c>
      <c r="K973" s="6">
        <v>6.62</v>
      </c>
      <c r="L973" s="6">
        <v>-5.78</v>
      </c>
      <c r="M973" s="6">
        <v>9.3</v>
      </c>
      <c r="N973" s="6">
        <v>6.4</v>
      </c>
    </row>
    <row r="974" hidden="1" spans="1:14">
      <c r="A974" s="4" t="s">
        <v>2361</v>
      </c>
      <c r="B974" s="5" t="s">
        <v>2223</v>
      </c>
      <c r="C974" s="6" t="s">
        <v>41</v>
      </c>
      <c r="D974" s="6">
        <v>7.906</v>
      </c>
      <c r="E974" s="8">
        <v>2088688</v>
      </c>
      <c r="F974" s="8">
        <v>41846</v>
      </c>
      <c r="G974" s="6">
        <v>0</v>
      </c>
      <c r="H974" s="8">
        <v>0</v>
      </c>
      <c r="I974" s="6">
        <v>130.3</v>
      </c>
      <c r="J974" s="6">
        <v>4</v>
      </c>
      <c r="K974" s="6">
        <v>6.7</v>
      </c>
      <c r="L974" s="6">
        <v>6.99</v>
      </c>
      <c r="M974" s="6">
        <v>6.6</v>
      </c>
      <c r="N974" s="6">
        <v>13.8</v>
      </c>
    </row>
    <row r="975" hidden="1" spans="1:14">
      <c r="A975" s="4" t="s">
        <v>2362</v>
      </c>
      <c r="B975" s="5" t="s">
        <v>2223</v>
      </c>
      <c r="C975" s="6" t="s">
        <v>41</v>
      </c>
      <c r="D975" s="6">
        <v>8.023</v>
      </c>
      <c r="E975" s="8">
        <v>3582270</v>
      </c>
      <c r="F975" s="8">
        <v>101079</v>
      </c>
      <c r="G975" s="6">
        <v>0</v>
      </c>
      <c r="H975" s="8">
        <v>0</v>
      </c>
      <c r="I975" s="6">
        <v>130.3</v>
      </c>
      <c r="J975" s="6">
        <v>4</v>
      </c>
      <c r="K975" s="6">
        <v>6.7</v>
      </c>
      <c r="L975" s="6">
        <v>6.99</v>
      </c>
      <c r="M975" s="6">
        <v>6.6</v>
      </c>
      <c r="N975" s="6">
        <v>13.8</v>
      </c>
    </row>
    <row r="976" hidden="1" spans="1:14">
      <c r="A976" s="4" t="s">
        <v>2363</v>
      </c>
      <c r="B976" s="5" t="s">
        <v>2223</v>
      </c>
      <c r="C976" s="6" t="s">
        <v>30</v>
      </c>
      <c r="D976" s="6">
        <v>9.944</v>
      </c>
      <c r="E976" s="8">
        <v>352233</v>
      </c>
      <c r="F976" s="8">
        <v>16306</v>
      </c>
      <c r="G976" s="6">
        <v>0</v>
      </c>
      <c r="H976" s="8">
        <v>0</v>
      </c>
      <c r="I976" s="6">
        <v>121.5</v>
      </c>
      <c r="J976" s="6">
        <v>5.75</v>
      </c>
      <c r="K976" s="6">
        <v>3.73</v>
      </c>
      <c r="L976" s="6">
        <v>3.87</v>
      </c>
      <c r="M976" s="6">
        <v>8.4</v>
      </c>
      <c r="N976" s="6">
        <v>0.6</v>
      </c>
    </row>
    <row r="977" hidden="1" spans="1:14">
      <c r="A977" s="4" t="s">
        <v>2364</v>
      </c>
      <c r="B977" s="5" t="s">
        <v>2223</v>
      </c>
      <c r="C977" s="6" t="s">
        <v>34</v>
      </c>
      <c r="D977" s="6">
        <v>8.054</v>
      </c>
      <c r="E977" s="8">
        <v>1852260</v>
      </c>
      <c r="F977" s="8">
        <v>3140</v>
      </c>
      <c r="G977" s="6">
        <v>0</v>
      </c>
      <c r="H977" s="8">
        <v>0</v>
      </c>
      <c r="I977" s="6">
        <v>118.2</v>
      </c>
      <c r="J977" s="6">
        <v>4</v>
      </c>
      <c r="K977" s="6">
        <v>6.62</v>
      </c>
      <c r="L977" s="6">
        <v>-5.78</v>
      </c>
      <c r="M977" s="6">
        <v>13.2</v>
      </c>
      <c r="N977" s="6">
        <v>-8.6</v>
      </c>
    </row>
    <row r="978" hidden="1" spans="1:14">
      <c r="A978" s="4" t="s">
        <v>2365</v>
      </c>
      <c r="B978" s="5" t="s">
        <v>2223</v>
      </c>
      <c r="C978" s="6" t="s">
        <v>45</v>
      </c>
      <c r="D978" s="6">
        <v>9.368</v>
      </c>
      <c r="E978" s="8">
        <v>579723</v>
      </c>
      <c r="F978" s="8">
        <v>3143</v>
      </c>
      <c r="G978" s="6">
        <v>0</v>
      </c>
      <c r="H978" s="8">
        <v>0</v>
      </c>
      <c r="I978" s="6">
        <v>134.7</v>
      </c>
      <c r="J978" s="6">
        <v>6.5</v>
      </c>
      <c r="K978" s="6">
        <v>5.65</v>
      </c>
      <c r="L978" s="6">
        <v>8.15</v>
      </c>
      <c r="M978" s="6">
        <v>6.6</v>
      </c>
      <c r="N978" s="6">
        <v>4.1</v>
      </c>
    </row>
    <row r="979" hidden="1" spans="1:14">
      <c r="A979" s="4" t="s">
        <v>2366</v>
      </c>
      <c r="B979" s="5" t="s">
        <v>2223</v>
      </c>
      <c r="C979" s="6" t="s">
        <v>72</v>
      </c>
      <c r="D979" s="6">
        <v>9.562</v>
      </c>
      <c r="E979" s="8">
        <v>410462</v>
      </c>
      <c r="F979" s="8">
        <v>5409</v>
      </c>
      <c r="G979" s="6">
        <v>0</v>
      </c>
      <c r="H979" s="8">
        <v>0</v>
      </c>
      <c r="I979" s="6">
        <v>120</v>
      </c>
      <c r="J979" s="6">
        <v>6.5</v>
      </c>
      <c r="K979" s="6">
        <v>4.87</v>
      </c>
      <c r="L979" s="6">
        <v>6.5</v>
      </c>
      <c r="M979" s="6">
        <v>6.5</v>
      </c>
      <c r="N979" s="6">
        <v>4</v>
      </c>
    </row>
    <row r="980" hidden="1" spans="1:14">
      <c r="A980" s="4" t="s">
        <v>2367</v>
      </c>
      <c r="B980" s="5" t="s">
        <v>2223</v>
      </c>
      <c r="C980" s="6" t="s">
        <v>45</v>
      </c>
      <c r="D980" s="6">
        <v>9.703</v>
      </c>
      <c r="E980" s="8">
        <v>2247640</v>
      </c>
      <c r="F980" s="8">
        <v>48478</v>
      </c>
      <c r="G980" s="6">
        <v>0</v>
      </c>
      <c r="H980" s="8">
        <v>0</v>
      </c>
      <c r="I980" s="6">
        <v>134.7</v>
      </c>
      <c r="J980" s="6">
        <v>6.5</v>
      </c>
      <c r="K980" s="6">
        <v>5.65</v>
      </c>
      <c r="L980" s="6">
        <v>8.15</v>
      </c>
      <c r="M980" s="6">
        <v>6.6</v>
      </c>
      <c r="N980" s="6">
        <v>4.1</v>
      </c>
    </row>
    <row r="981" hidden="1" spans="1:14">
      <c r="A981" s="4" t="s">
        <v>2368</v>
      </c>
      <c r="B981" s="5" t="s">
        <v>2223</v>
      </c>
      <c r="C981" s="6" t="s">
        <v>72</v>
      </c>
      <c r="D981" s="6">
        <v>10.163</v>
      </c>
      <c r="E981" s="8">
        <v>1321084</v>
      </c>
      <c r="F981" s="8">
        <v>54301</v>
      </c>
      <c r="G981" s="6">
        <v>0</v>
      </c>
      <c r="H981" s="8">
        <v>0</v>
      </c>
      <c r="I981" s="6">
        <v>120</v>
      </c>
      <c r="J981" s="6">
        <v>6.5</v>
      </c>
      <c r="K981" s="6">
        <v>4.87</v>
      </c>
      <c r="L981" s="6">
        <v>6.5</v>
      </c>
      <c r="M981" s="6">
        <v>6.5</v>
      </c>
      <c r="N981" s="6">
        <v>4</v>
      </c>
    </row>
    <row r="982" hidden="1" spans="1:14">
      <c r="A982" s="4" t="s">
        <v>2369</v>
      </c>
      <c r="B982" s="5" t="s">
        <v>2223</v>
      </c>
      <c r="C982" s="6" t="s">
        <v>41</v>
      </c>
      <c r="D982" s="6">
        <v>8.779</v>
      </c>
      <c r="E982" s="8">
        <v>762193</v>
      </c>
      <c r="F982" s="8">
        <v>32360</v>
      </c>
      <c r="G982" s="6">
        <v>0</v>
      </c>
      <c r="H982" s="8">
        <v>0</v>
      </c>
      <c r="I982" s="6">
        <v>130.3</v>
      </c>
      <c r="J982" s="6">
        <v>4</v>
      </c>
      <c r="K982" s="6">
        <v>6.7</v>
      </c>
      <c r="L982" s="6">
        <v>6.99</v>
      </c>
      <c r="M982" s="6">
        <v>6.6</v>
      </c>
      <c r="N982" s="6">
        <v>13.8</v>
      </c>
    </row>
    <row r="983" hidden="1" spans="1:14">
      <c r="A983" s="4" t="s">
        <v>2370</v>
      </c>
      <c r="B983" s="5" t="s">
        <v>2223</v>
      </c>
      <c r="C983" s="6" t="s">
        <v>39</v>
      </c>
      <c r="D983" s="6">
        <v>7.771</v>
      </c>
      <c r="E983" s="8">
        <v>4706777</v>
      </c>
      <c r="F983" s="8">
        <v>150793</v>
      </c>
      <c r="G983" s="6">
        <v>0</v>
      </c>
      <c r="H983" s="8">
        <v>0</v>
      </c>
      <c r="I983" s="6">
        <v>124.8</v>
      </c>
      <c r="J983" s="6">
        <v>4</v>
      </c>
      <c r="K983" s="6">
        <v>5.13</v>
      </c>
      <c r="L983" s="6">
        <v>9.69</v>
      </c>
      <c r="M983" s="6">
        <v>8.7</v>
      </c>
      <c r="N983" s="6">
        <v>2.1</v>
      </c>
    </row>
    <row r="984" hidden="1" spans="1:14">
      <c r="A984" s="4" t="s">
        <v>2371</v>
      </c>
      <c r="B984" s="5" t="s">
        <v>2223</v>
      </c>
      <c r="C984" s="6" t="s">
        <v>31</v>
      </c>
      <c r="D984" s="6">
        <v>8.55</v>
      </c>
      <c r="E984" s="8">
        <v>2326300</v>
      </c>
      <c r="F984" s="8">
        <v>46504</v>
      </c>
      <c r="G984" s="6">
        <v>0</v>
      </c>
      <c r="H984" s="8">
        <v>0</v>
      </c>
      <c r="I984" s="6">
        <v>121.5</v>
      </c>
      <c r="J984" s="6">
        <v>5.4</v>
      </c>
      <c r="K984" s="6">
        <v>3.73</v>
      </c>
      <c r="L984" s="6">
        <v>3.87</v>
      </c>
      <c r="M984" s="6">
        <v>7.8</v>
      </c>
      <c r="N984" s="6">
        <v>0.7</v>
      </c>
    </row>
    <row r="985" hidden="1" spans="1:14">
      <c r="A985" s="4" t="s">
        <v>2372</v>
      </c>
      <c r="B985" s="5" t="s">
        <v>2223</v>
      </c>
      <c r="C985" s="6" t="s">
        <v>43</v>
      </c>
      <c r="D985" s="6">
        <v>10.332</v>
      </c>
      <c r="E985" s="8">
        <v>1191061</v>
      </c>
      <c r="F985" s="8">
        <v>43578</v>
      </c>
      <c r="G985" s="6">
        <v>0</v>
      </c>
      <c r="H985" s="8">
        <v>0</v>
      </c>
      <c r="I985" s="6">
        <v>130.3</v>
      </c>
      <c r="J985" s="6">
        <v>5.9</v>
      </c>
      <c r="K985" s="6">
        <v>6.7</v>
      </c>
      <c r="L985" s="6">
        <v>6.99</v>
      </c>
      <c r="M985" s="6">
        <v>7.2</v>
      </c>
      <c r="N985" s="6">
        <v>4.5</v>
      </c>
    </row>
    <row r="986" hidden="1" spans="1:14">
      <c r="A986" s="4" t="s">
        <v>2373</v>
      </c>
      <c r="B986" s="5" t="s">
        <v>2223</v>
      </c>
      <c r="C986" s="6" t="s">
        <v>45</v>
      </c>
      <c r="D986" s="6">
        <v>10.202</v>
      </c>
      <c r="E986" s="8">
        <v>1644916</v>
      </c>
      <c r="F986" s="8">
        <v>3038</v>
      </c>
      <c r="G986" s="6">
        <v>0</v>
      </c>
      <c r="H986" s="8">
        <v>0</v>
      </c>
      <c r="I986" s="6">
        <v>134.7</v>
      </c>
      <c r="J986" s="6">
        <v>6.5</v>
      </c>
      <c r="K986" s="6">
        <v>5.65</v>
      </c>
      <c r="L986" s="6">
        <v>8.15</v>
      </c>
      <c r="M986" s="6">
        <v>6.6</v>
      </c>
      <c r="N986" s="6">
        <v>4.1</v>
      </c>
    </row>
    <row r="987" hidden="1" spans="1:14">
      <c r="A987" s="4" t="s">
        <v>2374</v>
      </c>
      <c r="B987" s="5" t="s">
        <v>2223</v>
      </c>
      <c r="C987" s="6" t="s">
        <v>34</v>
      </c>
      <c r="D987" s="6">
        <v>9.607</v>
      </c>
      <c r="E987" s="8">
        <v>2312929</v>
      </c>
      <c r="F987" s="8">
        <v>1420545</v>
      </c>
      <c r="G987" s="6">
        <v>1</v>
      </c>
      <c r="H987" s="8">
        <v>867513</v>
      </c>
      <c r="I987" s="6">
        <v>118.2</v>
      </c>
      <c r="J987" s="6">
        <v>4</v>
      </c>
      <c r="K987" s="6">
        <v>6.62</v>
      </c>
      <c r="L987" s="6">
        <v>-5.78</v>
      </c>
      <c r="M987" s="6">
        <v>13.2</v>
      </c>
      <c r="N987" s="6">
        <v>-8.6</v>
      </c>
    </row>
    <row r="988" hidden="1" spans="1:14">
      <c r="A988" s="4" t="s">
        <v>2375</v>
      </c>
      <c r="B988" s="5" t="s">
        <v>2223</v>
      </c>
      <c r="C988" s="6" t="s">
        <v>39</v>
      </c>
      <c r="D988" s="6">
        <v>8.217</v>
      </c>
      <c r="E988" s="8">
        <v>1946822</v>
      </c>
      <c r="F988" s="8">
        <v>36033</v>
      </c>
      <c r="G988" s="6">
        <v>0</v>
      </c>
      <c r="H988" s="8">
        <v>0</v>
      </c>
      <c r="I988" s="6">
        <v>124.8</v>
      </c>
      <c r="J988" s="6">
        <v>4</v>
      </c>
      <c r="K988" s="6">
        <v>5.13</v>
      </c>
      <c r="L988" s="6">
        <v>9.69</v>
      </c>
      <c r="M988" s="6">
        <v>8.7</v>
      </c>
      <c r="N988" s="6">
        <v>2.1</v>
      </c>
    </row>
    <row r="989" hidden="1" spans="1:14">
      <c r="A989" s="4" t="s">
        <v>2376</v>
      </c>
      <c r="B989" s="5" t="s">
        <v>2223</v>
      </c>
      <c r="C989" s="6" t="s">
        <v>44</v>
      </c>
      <c r="D989" s="6">
        <v>10.006</v>
      </c>
      <c r="E989" s="8">
        <v>1636650</v>
      </c>
      <c r="F989" s="8">
        <v>35897</v>
      </c>
      <c r="G989" s="6">
        <v>0</v>
      </c>
      <c r="H989" s="8">
        <v>0</v>
      </c>
      <c r="I989" s="6">
        <v>130.3</v>
      </c>
      <c r="J989" s="6">
        <v>6.25</v>
      </c>
      <c r="K989" s="6">
        <v>6.7</v>
      </c>
      <c r="L989" s="6">
        <v>6.99</v>
      </c>
      <c r="M989" s="6">
        <v>6.7</v>
      </c>
      <c r="N989" s="6">
        <v>1.8</v>
      </c>
    </row>
    <row r="990" hidden="1" spans="1:14">
      <c r="A990" s="4" t="s">
        <v>2377</v>
      </c>
      <c r="B990" s="5" t="s">
        <v>2223</v>
      </c>
      <c r="C990" s="6" t="s">
        <v>29</v>
      </c>
      <c r="D990" s="6">
        <v>8.203</v>
      </c>
      <c r="E990" s="8">
        <v>3605347</v>
      </c>
      <c r="F990" s="8">
        <v>81532</v>
      </c>
      <c r="G990" s="6">
        <v>0</v>
      </c>
      <c r="H990" s="8">
        <v>0</v>
      </c>
      <c r="I990" s="6">
        <v>121.5</v>
      </c>
      <c r="J990" s="6">
        <v>6</v>
      </c>
      <c r="K990" s="6">
        <v>3.73</v>
      </c>
      <c r="L990" s="6">
        <v>3.87</v>
      </c>
      <c r="M990" s="6">
        <v>7</v>
      </c>
      <c r="N990" s="6">
        <v>3.6</v>
      </c>
    </row>
    <row r="991" hidden="1" spans="1:14">
      <c r="A991" s="4" t="s">
        <v>2378</v>
      </c>
      <c r="B991" s="5" t="s">
        <v>2223</v>
      </c>
      <c r="C991" s="6" t="s">
        <v>43</v>
      </c>
      <c r="D991" s="6">
        <v>8.745</v>
      </c>
      <c r="E991" s="8">
        <v>1490379</v>
      </c>
      <c r="F991" s="8">
        <v>9940</v>
      </c>
      <c r="G991" s="6">
        <v>0</v>
      </c>
      <c r="H991" s="8">
        <v>0</v>
      </c>
      <c r="I991" s="6">
        <v>130.3</v>
      </c>
      <c r="J991" s="6">
        <v>5.9</v>
      </c>
      <c r="K991" s="6">
        <v>6.7</v>
      </c>
      <c r="L991" s="6">
        <v>6.99</v>
      </c>
      <c r="M991" s="6">
        <v>7.2</v>
      </c>
      <c r="N991" s="6">
        <v>4.5</v>
      </c>
    </row>
    <row r="992" hidden="1" spans="1:14">
      <c r="A992" s="4" t="s">
        <v>2379</v>
      </c>
      <c r="B992" s="5" t="s">
        <v>2223</v>
      </c>
      <c r="C992" s="6" t="s">
        <v>47</v>
      </c>
      <c r="D992" s="6">
        <v>9.474</v>
      </c>
      <c r="E992" s="8">
        <v>295232</v>
      </c>
      <c r="F992" s="8">
        <v>12797</v>
      </c>
      <c r="G992" s="6">
        <v>0</v>
      </c>
      <c r="H992" s="8">
        <v>0</v>
      </c>
      <c r="I992" s="6">
        <v>134.7</v>
      </c>
      <c r="J992" s="6">
        <v>6.5</v>
      </c>
      <c r="K992" s="6">
        <v>5.65</v>
      </c>
      <c r="L992" s="6">
        <v>8.15</v>
      </c>
      <c r="M992" s="6">
        <v>6.5</v>
      </c>
      <c r="N992" s="6">
        <v>3.6</v>
      </c>
    </row>
    <row r="993" hidden="1" spans="1:14">
      <c r="A993" s="4" t="s">
        <v>2380</v>
      </c>
      <c r="B993" s="5" t="s">
        <v>2223</v>
      </c>
      <c r="C993" s="6" t="s">
        <v>38</v>
      </c>
      <c r="D993" s="6">
        <v>8.574</v>
      </c>
      <c r="E993" s="8">
        <v>1413755</v>
      </c>
      <c r="F993" s="8">
        <v>31374</v>
      </c>
      <c r="G993" s="6">
        <v>0</v>
      </c>
      <c r="H993" s="8">
        <v>0</v>
      </c>
      <c r="I993" s="6">
        <v>124.8</v>
      </c>
      <c r="J993" s="6">
        <v>4</v>
      </c>
      <c r="K993" s="6">
        <v>5.13</v>
      </c>
      <c r="L993" s="6">
        <v>9.69</v>
      </c>
      <c r="M993" s="6">
        <v>9.8</v>
      </c>
      <c r="N993" s="6">
        <v>8.7</v>
      </c>
    </row>
    <row r="994" hidden="1" spans="1:14">
      <c r="A994" s="4" t="s">
        <v>2381</v>
      </c>
      <c r="B994" s="5" t="s">
        <v>2223</v>
      </c>
      <c r="C994" s="6" t="s">
        <v>48</v>
      </c>
      <c r="D994" s="6">
        <v>9.125</v>
      </c>
      <c r="E994" s="8">
        <v>2035532</v>
      </c>
      <c r="F994" s="8">
        <v>72319</v>
      </c>
      <c r="G994" s="6">
        <v>0</v>
      </c>
      <c r="H994" s="8">
        <v>0</v>
      </c>
      <c r="I994" s="6">
        <v>134.7</v>
      </c>
      <c r="J994" s="6">
        <v>6.5</v>
      </c>
      <c r="K994" s="6">
        <v>5.65</v>
      </c>
      <c r="L994" s="6">
        <v>8.15</v>
      </c>
      <c r="M994" s="6">
        <v>6.7</v>
      </c>
      <c r="N994" s="6">
        <v>5</v>
      </c>
    </row>
    <row r="995" hidden="1" spans="1:14">
      <c r="A995" s="4" t="s">
        <v>2382</v>
      </c>
      <c r="B995" s="5" t="s">
        <v>2223</v>
      </c>
      <c r="C995" s="6" t="s">
        <v>41</v>
      </c>
      <c r="D995" s="6">
        <v>8.728</v>
      </c>
      <c r="E995" s="8">
        <v>733273</v>
      </c>
      <c r="F995" s="8">
        <v>11351</v>
      </c>
      <c r="G995" s="6">
        <v>0</v>
      </c>
      <c r="H995" s="8">
        <v>0</v>
      </c>
      <c r="I995" s="6">
        <v>130.3</v>
      </c>
      <c r="J995" s="6">
        <v>4</v>
      </c>
      <c r="K995" s="6">
        <v>6.7</v>
      </c>
      <c r="L995" s="6">
        <v>6.99</v>
      </c>
      <c r="M995" s="6">
        <v>6.6</v>
      </c>
      <c r="N995" s="6">
        <v>13.8</v>
      </c>
    </row>
    <row r="996" hidden="1" spans="1:14">
      <c r="A996" s="4" t="s">
        <v>2383</v>
      </c>
      <c r="B996" s="5" t="s">
        <v>2223</v>
      </c>
      <c r="C996" s="6" t="s">
        <v>72</v>
      </c>
      <c r="D996" s="6">
        <v>8.924</v>
      </c>
      <c r="E996" s="8">
        <v>576106</v>
      </c>
      <c r="F996" s="8">
        <v>25976</v>
      </c>
      <c r="G996" s="6">
        <v>0</v>
      </c>
      <c r="H996" s="8">
        <v>0</v>
      </c>
      <c r="I996" s="6">
        <v>120</v>
      </c>
      <c r="J996" s="6">
        <v>6.5</v>
      </c>
      <c r="K996" s="6">
        <v>4.87</v>
      </c>
      <c r="L996" s="6">
        <v>6.5</v>
      </c>
      <c r="M996" s="6">
        <v>6.5</v>
      </c>
      <c r="N996" s="6">
        <v>4</v>
      </c>
    </row>
    <row r="997" hidden="1" spans="1:14">
      <c r="A997" s="4" t="s">
        <v>2384</v>
      </c>
      <c r="B997" s="5" t="s">
        <v>2223</v>
      </c>
      <c r="C997" s="6" t="s">
        <v>34</v>
      </c>
      <c r="D997" s="6">
        <v>9.125</v>
      </c>
      <c r="E997" s="8">
        <v>2181302</v>
      </c>
      <c r="F997" s="8">
        <v>31117</v>
      </c>
      <c r="G997" s="6">
        <v>0</v>
      </c>
      <c r="H997" s="8">
        <v>0</v>
      </c>
      <c r="I997" s="6">
        <v>118.2</v>
      </c>
      <c r="J997" s="6">
        <v>4</v>
      </c>
      <c r="K997" s="6">
        <v>6.62</v>
      </c>
      <c r="L997" s="6">
        <v>-5.78</v>
      </c>
      <c r="M997" s="6">
        <v>13.2</v>
      </c>
      <c r="N997" s="6">
        <v>-8.6</v>
      </c>
    </row>
    <row r="998" hidden="1" spans="1:14">
      <c r="A998" s="4" t="s">
        <v>2385</v>
      </c>
      <c r="B998" s="5" t="s">
        <v>2223</v>
      </c>
      <c r="C998" s="6" t="s">
        <v>46</v>
      </c>
      <c r="D998" s="6">
        <v>9.644</v>
      </c>
      <c r="E998" s="8">
        <v>1798025</v>
      </c>
      <c r="F998" s="8">
        <v>73925</v>
      </c>
      <c r="G998" s="6">
        <v>0</v>
      </c>
      <c r="H998" s="8">
        <v>0</v>
      </c>
      <c r="I998" s="6">
        <v>134.7</v>
      </c>
      <c r="J998" s="6">
        <v>6.5</v>
      </c>
      <c r="K998" s="6">
        <v>5.65</v>
      </c>
      <c r="L998" s="6">
        <v>8.15</v>
      </c>
      <c r="M998" s="6">
        <v>6.6</v>
      </c>
      <c r="N998" s="6">
        <v>9.7</v>
      </c>
    </row>
    <row r="999" hidden="1" spans="1:14">
      <c r="A999" s="4" t="s">
        <v>2386</v>
      </c>
      <c r="B999" s="5" t="s">
        <v>2223</v>
      </c>
      <c r="C999" s="6" t="s">
        <v>37</v>
      </c>
      <c r="D999" s="6">
        <v>8.01</v>
      </c>
      <c r="E999" s="8">
        <v>3876953</v>
      </c>
      <c r="F999" s="8">
        <v>60089</v>
      </c>
      <c r="G999" s="6">
        <v>0</v>
      </c>
      <c r="H999" s="8">
        <v>0</v>
      </c>
      <c r="I999" s="6">
        <v>124.8</v>
      </c>
      <c r="J999" s="6">
        <v>4</v>
      </c>
      <c r="K999" s="6">
        <v>5.13</v>
      </c>
      <c r="L999" s="6">
        <v>9.69</v>
      </c>
      <c r="M999" s="6">
        <v>12.6</v>
      </c>
      <c r="N999" s="6">
        <v>45</v>
      </c>
    </row>
    <row r="1000" hidden="1" spans="1:14">
      <c r="A1000" s="4" t="s">
        <v>2387</v>
      </c>
      <c r="B1000" s="5" t="s">
        <v>2223</v>
      </c>
      <c r="C1000" s="6" t="s">
        <v>31</v>
      </c>
      <c r="D1000" s="6">
        <v>7.661</v>
      </c>
      <c r="E1000" s="8">
        <v>2450181</v>
      </c>
      <c r="F1000" s="8">
        <v>24248</v>
      </c>
      <c r="G1000" s="6">
        <v>0</v>
      </c>
      <c r="H1000" s="8">
        <v>0</v>
      </c>
      <c r="I1000" s="6">
        <v>121.5</v>
      </c>
      <c r="J1000" s="6">
        <v>5.4</v>
      </c>
      <c r="K1000" s="6">
        <v>3.73</v>
      </c>
      <c r="L1000" s="6">
        <v>3.87</v>
      </c>
      <c r="M1000" s="6">
        <v>7.8</v>
      </c>
      <c r="N1000" s="6">
        <v>0.7</v>
      </c>
    </row>
    <row r="1001" hidden="1" spans="1:14">
      <c r="A1001" s="9" t="s">
        <v>2388</v>
      </c>
      <c r="B1001" s="10" t="s">
        <v>2223</v>
      </c>
      <c r="C1001" s="11" t="s">
        <v>42</v>
      </c>
      <c r="D1001" s="11">
        <v>10.064</v>
      </c>
      <c r="E1001" s="12">
        <v>1103516</v>
      </c>
      <c r="F1001" s="12">
        <v>38816</v>
      </c>
      <c r="G1001" s="11">
        <v>0</v>
      </c>
      <c r="H1001" s="12">
        <v>0</v>
      </c>
      <c r="I1001" s="11">
        <v>130.3</v>
      </c>
      <c r="J1001" s="11">
        <v>4.9</v>
      </c>
      <c r="K1001" s="11">
        <v>6.7</v>
      </c>
      <c r="L1001" s="11">
        <v>6.99</v>
      </c>
      <c r="M1001" s="11">
        <v>6.6</v>
      </c>
      <c r="N1001" s="11">
        <v>5.6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SEGMENT EDA</vt:lpstr>
      <vt:lpstr>CHARTS</vt:lpstr>
      <vt:lpstr>MASTER LEVEL TABLE</vt:lpstr>
      <vt:lpstr>MACRO LEVEL TABLE</vt:lpstr>
      <vt:lpstr>EDA WORK</vt:lpstr>
      <vt:lpstr>LOAN PIVOT</vt:lpstr>
      <vt:lpstr>LOAN TABLE 1</vt:lpstr>
      <vt:lpstr>DUMMY LOAN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rajalaxmi k b</dc:creator>
  <cp:lastModifiedBy>Sankara _</cp:lastModifiedBy>
  <dcterms:created xsi:type="dcterms:W3CDTF">2025-07-21T18:15:00Z</dcterms:created>
  <dcterms:modified xsi:type="dcterms:W3CDTF">2026-02-11T23:46:12Z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237AA040CD0BC7DDC406BD68CA550D11_43</vt:lpwstr>
  </property>
  <property fmtid="{D5CDD505-2E9C-101B-9397-08002B2CF9AE}" pid="3" name="KSOProductBuildVer">
    <vt:lpwstr>1033-12.1.23155.23155</vt:lpwstr>
  </property>
</Properties>
</file>